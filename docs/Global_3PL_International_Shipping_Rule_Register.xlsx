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7445786bd24fea" /></Relationships>
</file>

<file path=xl/workbook.xml><?xml version="1.0" encoding="utf-8"?>
<x:workbook xmlns:x="http://schemas.openxmlformats.org/spreadsheetml/2006/main">
  <x:sheets>
    <x:sheet xmlns:r="http://schemas.openxmlformats.org/officeDocument/2006/relationships" name="Read Me" sheetId="1" r:id="R351810fe37f74d27"/>
    <x:sheet xmlns:r="http://schemas.openxmlformats.org/officeDocument/2006/relationships" name="Release Gate" sheetId="2" r:id="R3b6dc2101ca846fa"/>
    <x:sheet xmlns:r="http://schemas.openxmlformats.org/officeDocument/2006/relationships" name="Country Packs" sheetId="3" r:id="R8277980f3e2f4c0d"/>
    <x:sheet xmlns:r="http://schemas.openxmlformats.org/officeDocument/2006/relationships" name="Territory Overrides" sheetId="4" r:id="R5737a6f48ee946f4"/>
    <x:sheet xmlns:r="http://schemas.openxmlformats.org/officeDocument/2006/relationships" name="Rule Families" sheetId="5" r:id="R0e58c1a85cfa4c6f"/>
    <x:sheet xmlns:r="http://schemas.openxmlformats.org/officeDocument/2006/relationships" name="Commodity Controls" sheetId="6" r:id="R8049b94d40a34810"/>
    <x:sheet xmlns:r="http://schemas.openxmlformats.org/officeDocument/2006/relationships" name="Data Dictionary" sheetId="7" r:id="Rd0a1e282ca5a4acb"/>
    <x:sheet xmlns:r="http://schemas.openxmlformats.org/officeDocument/2006/relationships" name="Partner Adapters" sheetId="8" r:id="Rf95f0fd6280947c0"/>
    <x:sheet xmlns:r="http://schemas.openxmlformats.org/officeDocument/2006/relationships" name="Decision Model" sheetId="9" r:id="R332ab3c545844f6d"/>
    <x:sheet xmlns:r="http://schemas.openxmlformats.org/officeDocument/2006/relationships" name="Source Register" sheetId="10" r:id="R8d24b0f572354117"/>
    <x:sheet xmlns:r="http://schemas.openxmlformats.org/officeDocument/2006/relationships" name="Release Checklist" sheetId="11" r:id="R7150b28f1a994c44"/>
    <x:sheet xmlns:r="http://schemas.openxmlformats.org/officeDocument/2006/relationships" name="Change Log" sheetId="12" r:id="Red475f20283144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18">
    <x:font>
      <x:sz val="11"/>
      <x:name val="Carlito"/>
    </x:font>
    <x:font>
      <x:b/>
      <x:sz val="18"/>
      <x:color rgb="FFFFFFFF"/>
      <x:name val="Carlito"/>
    </x:font>
    <x:font>
      <x:i/>
      <x:sz val="10"/>
      <x:color rgb="FF24313D"/>
      <x:name val="Carlito"/>
    </x:font>
    <x:font>
      <x:b/>
      <x:sz val="9"/>
      <x:color rgb="FFFFFFFF"/>
      <x:name val="Carlito"/>
    </x:font>
    <x:font>
      <x:sz val="9"/>
      <x:color rgb="FF24313D"/>
      <x:name val="Carlito"/>
    </x:font>
    <x:font>
      <x:b/>
      <x:sz val="11"/>
      <x:color rgb="FFFFFFFF"/>
      <x:name val="Carlito"/>
    </x:font>
    <x:font>
      <x:b/>
      <x:sz val="10"/>
      <x:color rgb="FF24313D"/>
      <x:name val="Carlito"/>
    </x:font>
    <x:font>
      <x:b/>
      <x:sz val="17"/>
      <x:color rgb="FFFFFFFF"/>
      <x:name val="Carlito"/>
    </x:font>
    <x:font>
      <x:i/>
      <x:sz val="9"/>
      <x:color rgb="FF24313D"/>
      <x:name val="Carlito"/>
    </x:font>
    <x:font>
      <x:b/>
      <x:sz val="11"/>
      <x:color rgb="FF24313D"/>
      <x:name val="Carlito"/>
    </x:font>
    <x:font>
      <x:b/>
      <x:sz val="12"/>
      <x:color rgb="FF16324F"/>
      <x:name val="Carlito"/>
    </x:font>
    <x:font>
      <x:b/>
      <x:sz val="24"/>
      <x:color rgb="FFB42318"/>
      <x:name val="Carlito"/>
    </x:font>
    <x:font>
      <x:b/>
      <x:sz val="16"/>
      <x:color rgb="FFFFFFFF"/>
      <x:name val="Carlito"/>
    </x:font>
    <x:font>
      <x:sz val="7"/>
      <x:color rgb="FF24313D"/>
      <x:name val="Carlito"/>
    </x:font>
    <x:font>
      <x:b/>
      <x:sz val="7"/>
      <x:color rgb="FFB42318"/>
      <x:name val="Carlito"/>
    </x:font>
    <x:font>
      <x:sz val="8"/>
      <x:color rgb="FF24313D"/>
      <x:name val="Carlito"/>
    </x:font>
    <x:font>
      <x:b/>
      <x:sz val="8"/>
      <x:color rgb="FFE6812A"/>
      <x:name val="Carlito"/>
    </x:font>
    <x:font>
      <x:b/>
      <x:sz val="8"/>
      <x:color rgb="FF26734D"/>
      <x:name val="Carlito"/>
    </x:font>
  </x:fonts>
  <x:fills count="10">
    <x:fill>
      <x:patternFill patternType="none"/>
    </x:fill>
    <x:fill>
      <x:patternFill patternType="gray125"/>
    </x:fill>
    <x:fill>
      <x:patternFill patternType="solid">
        <x:fgColor rgb="FF16324F"/>
      </x:patternFill>
    </x:fill>
    <x:fill>
      <x:patternFill patternType="solid">
        <x:fgColor rgb="FFDDF3F5"/>
      </x:patternFill>
    </x:fill>
    <x:fill>
      <x:patternFill patternType="solid">
        <x:fgColor rgb="FF0F6B78"/>
      </x:patternFill>
    </x:fill>
    <x:fill>
      <x:patternFill patternType="solid">
        <x:fgColor rgb="FFE6812A"/>
      </x:patternFill>
    </x:fill>
    <x:fill>
      <x:patternFill patternType="solid">
        <x:fgColor rgb="FFFFF0E2"/>
      </x:patternFill>
    </x:fill>
    <x:fill>
      <x:patternFill patternType="solid">
        <x:fgColor rgb="FFF5F7F8"/>
      </x:patternFill>
    </x:fill>
    <x:fill>
      <x:patternFill patternType="solid">
        <x:fgColor rgb="FFFDE7E5"/>
      </x:patternFill>
    </x:fill>
    <x:fill>
      <x:patternFill patternType="solid">
        <x:fgColor rgb="FFE6F4EA"/>
      </x:patternFill>
    </x:fill>
  </x:fills>
  <x:borders count="19">
    <x:border/>
    <x:border>
      <x:left style="thin">
        <x:color rgb="FFCDD5DA"/>
      </x:left>
      <x:right style="thin">
        <x:color rgb="FFCDD5DA"/>
      </x:right>
      <x:top style="thin">
        <x:color rgb="FFCDD5DA"/>
      </x:top>
      <x:bottom style="thin">
        <x:color rgb="FFCDD5DA"/>
      </x:bottom>
    </x:border>
    <x:border>
      <x:left style="thin">
        <x:color rgb="FFE6EAED"/>
      </x:left>
      <x:right style="thin">
        <x:color rgb="FFE6EAED"/>
      </x:right>
      <x:top style="thin">
        <x:color rgb="FFE6EAED"/>
      </x:top>
      <x:bottom style="thin">
        <x:color rgb="FFE6EAED"/>
      </x:bottom>
    </x:border>
    <x:border>
      <x:left style="medium">
        <x:color rgb="FFE6812A"/>
      </x:left>
      <x:top style="medium">
        <x:color rgb="FFE6812A"/>
      </x:top>
    </x:border>
    <x:border>
      <x:top style="medium">
        <x:color rgb="FFE6812A"/>
      </x:top>
    </x:border>
    <x:border>
      <x:right style="medium">
        <x:color rgb="FFE6812A"/>
      </x:right>
      <x:top style="medium">
        <x:color rgb="FFE6812A"/>
      </x:top>
    </x:border>
    <x:border>
      <x:left style="medium">
        <x:color rgb="FFE6812A"/>
      </x:left>
    </x:border>
    <x:border>
      <x:right style="medium">
        <x:color rgb="FFE6812A"/>
      </x:right>
    </x:border>
    <x:border>
      <x:left style="medium">
        <x:color rgb="FFE6812A"/>
      </x:left>
      <x:bottom style="medium">
        <x:color rgb="FFE6812A"/>
      </x:bottom>
    </x:border>
    <x:border>
      <x:bottom style="medium">
        <x:color rgb="FFE6812A"/>
      </x:bottom>
    </x:border>
    <x:border>
      <x:right style="medium">
        <x:color rgb="FFE6812A"/>
      </x:right>
      <x:bottom style="medium">
        <x:color rgb="FFE6812A"/>
      </x:bottom>
    </x:border>
    <x:border>
      <x:left style="thick">
        <x:color rgb="FFB42318"/>
      </x:left>
      <x:top style="thick">
        <x:color rgb="FFB42318"/>
      </x:top>
    </x:border>
    <x:border>
      <x:top style="thick">
        <x:color rgb="FFB42318"/>
      </x:top>
    </x:border>
    <x:border>
      <x:right style="thick">
        <x:color rgb="FFB42318"/>
      </x:right>
      <x:top style="thick">
        <x:color rgb="FFB42318"/>
      </x:top>
    </x:border>
    <x:border>
      <x:left style="thick">
        <x:color rgb="FFB42318"/>
      </x:left>
    </x:border>
    <x:border>
      <x:right style="thick">
        <x:color rgb="FFB42318"/>
      </x:right>
    </x:border>
    <x:border>
      <x:left style="thick">
        <x:color rgb="FFB42318"/>
      </x:left>
      <x:bottom style="thick">
        <x:color rgb="FFB42318"/>
      </x:bottom>
    </x:border>
    <x:border>
      <x:bottom style="thick">
        <x:color rgb="FFB42318"/>
      </x:bottom>
    </x:border>
    <x:border>
      <x:right style="thick">
        <x:color rgb="FFB42318"/>
      </x:right>
      <x:bottom style="thick">
        <x:color rgb="FFB42318"/>
      </x:bottom>
    </x:border>
  </x:borders>
  <x:cellStyleXfs count="1">
    <x:xf numFmtId="0" fontId="0" fillId="0" borderId="0"/>
  </x:cellStyleXfs>
  <x:cellXfs count="1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3" xfId="0" applyNumberFormat="1" applyFont="1" applyFill="1" applyBorder="1" applyAlignment="1">
      <x:alignment wrapText="1"/>
    </x:xf>
    <x:xf numFmtId="0" fontId="6" fillId="6" borderId="4"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6"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8"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3" xfId="0" applyNumberFormat="1" applyFont="1" applyFill="1" applyBorder="1" applyAlignment="1">
      <x:alignment vertical="center" wrapText="1"/>
    </x:xf>
    <x:xf numFmtId="0" fontId="6" fillId="6" borderId="4" xfId="0" applyNumberFormat="1" applyFont="1" applyFill="1" applyBorder="1" applyAlignment="1">
      <x:alignment vertical="center" wrapText="1"/>
    </x:xf>
    <x:xf numFmtId="0" fontId="6" fillId="6" borderId="5" xfId="0" applyNumberFormat="1" applyFont="1" applyFill="1" applyBorder="1" applyAlignment="1">
      <x:alignment vertical="center" wrapText="1"/>
    </x:xf>
    <x:xf numFmtId="0" fontId="6" fillId="6" borderId="6"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7" xfId="0" applyNumberFormat="1" applyFont="1" applyFill="1" applyBorder="1" applyAlignment="1">
      <x:alignment vertical="center" wrapText="1"/>
    </x:xf>
    <x:xf numFmtId="0" fontId="6" fillId="6" borderId="8" xfId="0" applyNumberFormat="1" applyFont="1" applyFill="1" applyBorder="1" applyAlignment="1">
      <x:alignment vertical="center" wrapText="1"/>
    </x:xf>
    <x:xf numFmtId="0" fontId="6" fillId="6" borderId="9" xfId="0" applyNumberFormat="1" applyFont="1" applyFill="1" applyBorder="1" applyAlignment="1">
      <x:alignment vertical="center" wrapText="1"/>
    </x:xf>
    <x:xf numFmtId="0" fontId="6" fillId="6" borderId="10" xfId="0" applyNumberFormat="1" applyFont="1" applyFill="1" applyBorder="1" applyAlignment="1">
      <x:alignment vertical="center"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8" fillId="3" borderId="0" xfId="0" applyNumberFormat="1" applyFont="1" applyFill="1" applyBorder="1"/>
    <x:xf numFmtId="0" fontId="8" fillId="3" borderId="0" xfId="0" applyNumberFormat="1" applyFont="1" applyFill="1" applyBorder="1" applyAlignment="1">
      <x:alignment wrapText="1"/>
    </x:xf>
    <x:xf numFmtId="0" fontId="5" fillId="4" borderId="0" xfId="0" applyNumberFormat="1" applyFont="1" applyFill="1" applyBorder="1"/>
    <x:xf numFmtId="0" fontId="5" fillId="4" borderId="1"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2" xfId="0" applyNumberFormat="1" applyFont="1" applyFill="1" applyBorder="1"/>
    <x:xf numFmtId="0" fontId="10" fillId="0" borderId="0" xfId="0" applyNumberFormat="1" applyFont="1" applyFill="1" applyBorder="1"/>
    <x:xf numFmtId="0" fontId="10" fillId="0" borderId="2" xfId="0" applyNumberFormat="1" applyFont="1" applyFill="1" applyBorder="1"/>
    <x:xf numFmtId="0" fontId="5" fillId="4" borderId="0" xfId="0" applyNumberFormat="1" applyFont="1" applyFill="1" applyBorder="1" applyAlignment="1">
      <x:alignment horizontal="center"/>
    </x:xf>
    <x:xf numFmtId="0" fontId="0" fillId="8" borderId="0" xfId="0" applyNumberFormat="1" applyFont="1" applyFill="1" applyBorder="1"/>
    <x:xf numFmtId="0" fontId="11" fillId="8" borderId="0" xfId="0" applyNumberFormat="1" applyFont="1" applyFill="1" applyBorder="1"/>
    <x:xf numFmtId="0" fontId="11" fillId="8" borderId="11" xfId="0" applyNumberFormat="1" applyFont="1" applyFill="1" applyBorder="1"/>
    <x:xf numFmtId="0" fontId="11" fillId="8" borderId="12" xfId="0" applyNumberFormat="1" applyFont="1" applyFill="1" applyBorder="1"/>
    <x:xf numFmtId="0" fontId="11" fillId="8" borderId="13" xfId="0" applyNumberFormat="1" applyFont="1" applyFill="1" applyBorder="1"/>
    <x:xf numFmtId="0" fontId="11" fillId="8" borderId="14" xfId="0" applyNumberFormat="1" applyFont="1" applyFill="1" applyBorder="1"/>
    <x:xf numFmtId="0" fontId="11" fillId="8" borderId="15" xfId="0" applyNumberFormat="1" applyFont="1" applyFill="1" applyBorder="1"/>
    <x:xf numFmtId="0" fontId="11" fillId="8" borderId="16" xfId="0" applyNumberFormat="1" applyFont="1" applyFill="1" applyBorder="1"/>
    <x:xf numFmtId="0" fontId="11" fillId="8" borderId="17" xfId="0" applyNumberFormat="1" applyFont="1" applyFill="1" applyBorder="1"/>
    <x:xf numFmtId="0" fontId="11" fillId="8" borderId="18" xfId="0" applyNumberFormat="1" applyFont="1" applyFill="1" applyBorder="1"/>
    <x:xf numFmtId="0" fontId="11" fillId="8" borderId="11" xfId="0" applyNumberFormat="1" applyFont="1" applyFill="1" applyBorder="1" applyAlignment="1">
      <x:alignment horizontal="center"/>
    </x:xf>
    <x:xf numFmtId="0" fontId="11" fillId="8" borderId="12" xfId="0" applyNumberFormat="1" applyFont="1" applyFill="1" applyBorder="1" applyAlignment="1">
      <x:alignment horizontal="center"/>
    </x:xf>
    <x:xf numFmtId="0" fontId="11" fillId="8" borderId="13" xfId="0" applyNumberFormat="1" applyFont="1" applyFill="1" applyBorder="1" applyAlignment="1">
      <x:alignment horizontal="center"/>
    </x:xf>
    <x:xf numFmtId="0" fontId="11" fillId="8" borderId="14" xfId="0" applyNumberFormat="1" applyFont="1" applyFill="1" applyBorder="1" applyAlignment="1">
      <x:alignment horizontal="center"/>
    </x:xf>
    <x:xf numFmtId="0" fontId="11" fillId="8" borderId="0" xfId="0" applyNumberFormat="1" applyFont="1" applyFill="1" applyBorder="1" applyAlignment="1">
      <x:alignment horizontal="center"/>
    </x:xf>
    <x:xf numFmtId="0" fontId="11" fillId="8" borderId="15" xfId="0" applyNumberFormat="1" applyFont="1" applyFill="1" applyBorder="1" applyAlignment="1">
      <x:alignment horizontal="center"/>
    </x:xf>
    <x:xf numFmtId="0" fontId="11" fillId="8" borderId="16" xfId="0" applyNumberFormat="1" applyFont="1" applyFill="1" applyBorder="1" applyAlignment="1">
      <x:alignment horizontal="center"/>
    </x:xf>
    <x:xf numFmtId="0" fontId="11" fillId="8" borderId="17" xfId="0" applyNumberFormat="1" applyFont="1" applyFill="1" applyBorder="1" applyAlignment="1">
      <x:alignment horizontal="center"/>
    </x:xf>
    <x:xf numFmtId="0" fontId="11" fillId="8" borderId="18" xfId="0" applyNumberFormat="1" applyFont="1" applyFill="1" applyBorder="1" applyAlignment="1">
      <x:alignment horizontal="center"/>
    </x:xf>
    <x:xf numFmtId="0" fontId="11" fillId="8" borderId="11" xfId="0" applyNumberFormat="1" applyFont="1" applyFill="1" applyBorder="1" applyAlignment="1">
      <x:alignment horizontal="center" vertical="center"/>
    </x:xf>
    <x:xf numFmtId="0" fontId="11" fillId="8" borderId="12" xfId="0" applyNumberFormat="1" applyFont="1" applyFill="1" applyBorder="1" applyAlignment="1">
      <x:alignment horizontal="center" vertical="center"/>
    </x:xf>
    <x:xf numFmtId="0" fontId="11" fillId="8" borderId="13" xfId="0" applyNumberFormat="1" applyFont="1" applyFill="1" applyBorder="1" applyAlignment="1">
      <x:alignment horizontal="center" vertical="center"/>
    </x:xf>
    <x:xf numFmtId="0" fontId="11" fillId="8" borderId="14" xfId="0" applyNumberFormat="1" applyFont="1" applyFill="1" applyBorder="1" applyAlignment="1">
      <x:alignment horizontal="center" vertical="center"/>
    </x:xf>
    <x:xf numFmtId="0" fontId="11" fillId="8" borderId="0" xfId="0" applyNumberFormat="1" applyFont="1" applyFill="1" applyBorder="1" applyAlignment="1">
      <x:alignment horizontal="center" vertical="center"/>
    </x:xf>
    <x:xf numFmtId="0" fontId="11" fillId="8" borderId="15" xfId="0" applyNumberFormat="1" applyFont="1" applyFill="1" applyBorder="1" applyAlignment="1">
      <x:alignment horizontal="center" vertical="center"/>
    </x:xf>
    <x:xf numFmtId="0" fontId="11" fillId="8" borderId="16" xfId="0" applyNumberFormat="1" applyFont="1" applyFill="1" applyBorder="1" applyAlignment="1">
      <x:alignment horizontal="center" vertical="center"/>
    </x:xf>
    <x:xf numFmtId="0" fontId="11" fillId="8" borderId="17" xfId="0" applyNumberFormat="1" applyFont="1" applyFill="1" applyBorder="1" applyAlignment="1">
      <x:alignment horizontal="center" vertical="center"/>
    </x:xf>
    <x:xf numFmtId="0" fontId="11" fillId="8" borderId="18" xfId="0" applyNumberFormat="1" applyFont="1" applyFill="1" applyBorder="1" applyAlignment="1">
      <x:alignment horizontal="center" vertical="center"/>
    </x:xf>
    <x:xf numFmtId="0" fontId="12" fillId="2" borderId="0" xfId="0" applyNumberFormat="1" applyFont="1" applyFill="1" applyBorder="1"/>
    <x:xf numFmtId="0" fontId="12" fillId="2" borderId="0" xfId="0" applyNumberFormat="1" applyFont="1" applyFill="1" applyBorder="1" applyAlignment="1">
      <x:alignment vertical="center"/>
    </x:xf>
    <x:xf numFmtId="0" fontId="8" fillId="3"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3" fillId="0" borderId="0" xfId="0" applyNumberFormat="1" applyFont="1" applyFill="1" applyBorder="1"/>
    <x:xf numFmtId="0" fontId="13" fillId="0" borderId="0" xfId="0" applyNumberFormat="1" applyFont="1" applyFill="1" applyBorder="1">
      <x:extLst>
        <x:ext uri="{C7286773-470A-42A8-94C5-96B5CB345126}">
          <xfpb:xfComplement xmlns:xfpb="http://schemas.microsoft.com/office/spreadsheetml/2022/featurepropertybag" i="0"/>
        </x:ext>
      </x:extLst>
    </x:xf>
    <x:xf numFmtId="0" fontId="13" fillId="0" borderId="2" xfId="0" applyNumberFormat="1" applyFont="1" applyFill="1" applyBorder="1"/>
    <x:xf numFmtId="0" fontId="13" fillId="0" borderId="2" xfId="0" applyNumberFormat="1" applyFont="1" applyFill="1" applyBorder="1">
      <x:extLst>
        <x:ext uri="{C7286773-470A-42A8-94C5-96B5CB345126}">
          <xfpb:xfComplement xmlns:xfpb="http://schemas.microsoft.com/office/spreadsheetml/2022/featurepropertybag" i="0"/>
        </x:ext>
      </x:extLst>
    </x:xf>
    <x:xf numFmtId="0" fontId="13" fillId="0" borderId="2" xfId="0" applyNumberFormat="1" applyFont="1" applyFill="1" applyBorder="1" applyAlignment="1">
      <x:alignment wrapText="1"/>
    </x:xf>
    <x:xf numFmtId="0" fontId="13"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13" fillId="0" borderId="2" xfId="0" applyNumberFormat="1" applyFont="1" applyFill="1" applyBorder="1" applyAlignment="1">
      <x:alignment vertical="top" wrapText="1"/>
    </x:xf>
    <x:xf numFmtId="0" fontId="13"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3" fillId="7" borderId="2" xfId="0" applyNumberFormat="1" applyFont="1" applyFill="1" applyBorder="1" applyAlignment="1">
      <x:alignment vertical="top" wrapText="1"/>
    </x:xf>
    <x:xf numFmtId="0" fontId="13" fillId="7"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3" fillId="7"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13" fillId="0"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0" fontId="13" fillId="7"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0" fontId="13" fillId="0"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13" fillId="8" borderId="2" xfId="0" applyNumberFormat="1" applyFont="1" applyFill="1" applyBorder="1" applyAlignment="1">
      <x:alignment vertical="top" wrapText="1"/>
    </x:xf>
    <x:xf numFmtId="0" fontId="14" fillId="8" borderId="2" xfId="0" applyNumberFormat="1" applyFont="1" applyFill="1" applyBorder="1" applyAlignment="1">
      <x:alignment vertical="top" wrapText="1"/>
    </x:xf>
    <x:xf numFmtId="0" fontId="15" fillId="0" borderId="0" xfId="0" applyNumberFormat="1" applyFont="1" applyFill="1" applyBorder="1"/>
    <x:xf numFmtId="0" fontId="15" fillId="0" borderId="2" xfId="0" applyNumberFormat="1" applyFont="1" applyFill="1" applyBorder="1"/>
    <x:xf numFmtId="0" fontId="15" fillId="0" borderId="2" xfId="0" applyNumberFormat="1" applyFont="1" applyFill="1" applyBorder="1" applyAlignment="1">
      <x:alignment wrapText="1"/>
    </x:xf>
    <x:xf numFmtId="0" fontId="15" fillId="0" borderId="2" xfId="0" applyNumberFormat="1" applyFont="1" applyFill="1" applyBorder="1" applyAlignment="1">
      <x:alignment vertical="top" wrapText="1"/>
    </x:xf>
    <x:xf numFmtId="0" fontId="15" fillId="7"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15" fillId="6" borderId="2" xfId="0" applyNumberFormat="1" applyFont="1" applyFill="1" applyBorder="1" applyAlignment="1">
      <x:alignment vertical="top" wrapText="1"/>
    </x:xf>
    <x:xf numFmtId="0" fontId="16" fillId="6" borderId="2" xfId="0" applyNumberFormat="1" applyFont="1" applyFill="1" applyBorder="1" applyAlignment="1">
      <x:alignment vertical="top" wrapText="1"/>
    </x:xf>
    <x:xf numFmtId="0" fontId="15" fillId="9" borderId="2" xfId="0" applyNumberFormat="1" applyFont="1" applyFill="1" applyBorder="1" applyAlignment="1">
      <x:alignment vertical="top" wrapText="1"/>
    </x:xf>
    <x:xf numFmtId="0" fontId="17" fillId="9"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4ca2f6dd2d4d31" /><Relationship Type="http://schemas.openxmlformats.org/officeDocument/2006/relationships/theme" Target="/xl/theme/theme1.xml" Id="Rb83d046803904f19" /><Relationship Type="http://schemas.microsoft.com/office/2022/11/relationships/FeaturePropertyBag" Target="/xl/featurePropertyBag/featurePropertyBag.xml" Id="Ra0714b30147a4b5a" /><Relationship Type="http://schemas.openxmlformats.org/officeDocument/2006/relationships/sharedStrings" Target="/xl/sharedStrings.xml" Id="Rd3e320185d354ce8" /><Relationship Type="http://schemas.openxmlformats.org/officeDocument/2006/relationships/worksheet" Target="/xl/worksheets/sheet1.xml" Id="R351810fe37f74d27" /><Relationship Type="http://schemas.openxmlformats.org/officeDocument/2006/relationships/worksheet" Target="/xl/worksheets/sheet2.xml" Id="R3b6dc2101ca846fa" /><Relationship Type="http://schemas.openxmlformats.org/officeDocument/2006/relationships/worksheet" Target="/xl/worksheets/sheet3.xml" Id="R8277980f3e2f4c0d" /><Relationship Type="http://schemas.openxmlformats.org/officeDocument/2006/relationships/worksheet" Target="/xl/worksheets/sheet4.xml" Id="R5737a6f48ee946f4" /><Relationship Type="http://schemas.openxmlformats.org/officeDocument/2006/relationships/worksheet" Target="/xl/worksheets/sheet5.xml" Id="R0e58c1a85cfa4c6f" /><Relationship Type="http://schemas.openxmlformats.org/officeDocument/2006/relationships/worksheet" Target="/xl/worksheets/sheet6.xml" Id="R8049b94d40a34810" /><Relationship Type="http://schemas.openxmlformats.org/officeDocument/2006/relationships/worksheet" Target="/xl/worksheets/sheet7.xml" Id="Rd0a1e282ca5a4acb" /><Relationship Type="http://schemas.openxmlformats.org/officeDocument/2006/relationships/worksheet" Target="/xl/worksheets/sheet8.xml" Id="Rf95f0fd6280947c0" /><Relationship Type="http://schemas.openxmlformats.org/officeDocument/2006/relationships/worksheet" Target="/xl/worksheets/sheet9.xml" Id="R332ab3c545844f6d" /><Relationship Type="http://schemas.openxmlformats.org/officeDocument/2006/relationships/worksheet" Target="/xl/worksheets/sheet10.xml" Id="R8d24b0f572354117" /><Relationship Type="http://schemas.openxmlformats.org/officeDocument/2006/relationships/worksheet" Target="/xl/worksheets/sheet11.xml" Id="R7150b28f1a994c44" /><Relationship Type="http://schemas.openxmlformats.org/officeDocument/2006/relationships/worksheet" Target="/xl/worksheets/sheet12.xml" Id="Red475f20283144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85"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8" customHeight="1">
      <x:c r="A1" s="3" t="str">
        <x:v>Worldwide 3PL International Shipping Rule Register</x:v>
      </x:c>
      <x:c r="B1" s="3"/>
      <x:c r="C1" s="3"/>
      <x:c r="D1" s="3"/>
      <x:c r="E1" s="3"/>
      <x:c r="F1" s="3"/>
      <x:c r="G1" s="3"/>
      <x:c r="H1" s="3"/>
    </x:row>
    <x:row r="2">
      <x:c r="A2" s="6" t="str">
        <x:v>Baseline specification register • as of 2026-07-25 • parcel/express, postal packets and air freight • indirect filings only</x:v>
      </x:c>
      <x:c r="B2" s="6"/>
      <x:c r="C2" s="6"/>
      <x:c r="D2" s="6"/>
      <x:c r="E2" s="6"/>
      <x:c r="F2" s="6"/>
      <x:c r="G2" s="6"/>
      <x:c r="H2" s="6"/>
    </x:row>
    <x:row r="4" ht="44" customHeight="1">
      <x:c r="A4" s="11" t="str">
        <x:v>Purpose</x:v>
      </x:c>
      <x:c r="B4" s="15" t="str">
        <x:v>Implementation control register accompanying the master software requirements specification.</x:v>
      </x:c>
    </x:row>
    <x:row r="5" ht="44" customHeight="1">
      <x:c r="A5" s="11" t="str">
        <x:v>Product</x:v>
      </x:c>
      <x:c r="B5" s="15" t="str">
        <x:v>New multi-tenant SaaS for independent warehouse and fulfilment 3PL operators worldwide.</x:v>
      </x:c>
    </x:row>
    <x:row r="6" ht="44" customHeight="1">
      <x:c r="A6" s="11" t="str">
        <x:v>Coverage</x:v>
      </x:c>
      <x:c r="B6" s="15" t="str">
        <x:v>249 officially assigned ISO 3166-1 countries/territories plus the XK user-assigned operational override, and a separate special-territory override register.</x:v>
      </x:c>
    </x:row>
    <x:row r="7" ht="44" customHeight="1">
      <x:c r="A7" s="11" t="str">
        <x:v>Release meaning</x:v>
      </x:c>
      <x:c r="B7" s="15" t="str">
        <x:v>Registry presence is not permission to ship. Every origin/destination/mode/commodity/carrier capability is BLOCKED until the corresponding country pack and release gates are approved.</x:v>
      </x:c>
    </x:row>
    <x:row r="8" ht="44" customHeight="1">
      <x:c r="A8" s="11" t="str">
        <x:v>Legal boundary</x:v>
      </x:c>
      <x:c r="B8" s="15" t="str">
        <x:v>The SaaS transmits customs/government data only through approved carrier, postal or contracted filing-partner APIs. It does not act as authority, carrier, postal operator, customs broker, freight forwarder, IOR/EOR or regulated agent.</x:v>
      </x:c>
    </x:row>
    <x:row r="9" ht="44" customHeight="1">
      <x:c r="A9" s="11" t="str">
        <x:v>Commodities</x:v>
      </x:c>
      <x:c r="B9" s="15" t="str">
        <x:v>General goods; DG/lithium; food/perishables/cold chain; pharma/devices; alcohol/tobacco; dual-use; high-value/art/precious; personal effects/gifts/samples; returns and temporary movements.</x:v>
      </x:c>
    </x:row>
    <x:row r="10" ht="44" customHeight="1">
      <x:c r="A10" s="11" t="str">
        <x:v>Flows</x:v>
      </x:c>
      <x:c r="B10" s="15" t="str">
        <x:v>B2C, B2B, C2C/personal, DDP, DAP, returns, temporary export/re-import, gifts and samples.</x:v>
      </x:c>
    </x:row>
    <x:row r="11" ht="44" customHeight="1">
      <x:c r="A11" s="11" t="str">
        <x:v>Decision rule</x:v>
      </x:c>
      <x:c r="B11" s="15" t="str">
        <x:v>Unknown, stale, incomplete, conflicting or unapproved data fails closed as UNKNOWN_BLOCKED.</x:v>
      </x:c>
    </x:row>
    <x:row r="12" ht="44" customHeight="1">
      <x:c r="A12" s="11" t="str">
        <x:v>Source rule</x:v>
      </x:c>
      <x:c r="B12" s="15" t="str">
        <x:v>Only official or licensed authoritative sources may create executable production rules; every rule is effective-dated, cited, approved and regression-tested.</x:v>
      </x:c>
    </x:row>
    <x:row r="13" ht="44" customHeight="1">
      <x:c r="A13" s="11" t="str">
        <x:v>Maintenance</x:v>
      </x:c>
      <x:c r="B13" s="15" t="str">
        <x:v>Treat this workbook as a governed register, not static legal advice. Country-pack owners must monitor authority, carrier and treaty changes and publish versioned replacements.</x:v>
      </x:c>
    </x:row>
    <x:row r="14" ht="44" customHeight="1">
      <x:c r="A14" s="11" t="str">
        <x:v>Workbook use</x:v>
      </x:c>
      <x:c r="B14" s="15" t="str">
        <x:v>Filter Rule Families by domain/priority; use Country Packs and Territory Overrides as launch work queues; Release Gate summarizes readiness; Source Register drives monitoring.</x:v>
      </x:c>
    </x:row>
    <x:row r="15" ht="44" customHeight="1">
      <x:c r="A15" s="11" t="str">
        <x:v>Companion artifact</x:v>
      </x:c>
      <x:c r="B15" s="15" t="str">
        <x:v>See Global 3PL International Shipping Software — Master Requirements Specification (.docx).</x:v>
      </x:c>
    </x:row>
    <x:row r="17">
      <x:c r="A17" s="17" t="str">
        <x:v>Mandatory interpretation</x:v>
      </x:c>
      <x:c r="B17" s="17"/>
      <x:c r="C17" s="17"/>
      <x:c r="D17" s="17"/>
      <x:c r="E17" s="17"/>
      <x:c r="F17" s="17"/>
      <x:c r="G17" s="17"/>
      <x:c r="H17" s="17"/>
    </x:row>
    <x:row r="18">
      <x:c r="A18" s="37" t="str">
        <x:v>This register is a build and governance specification. It deliberately does not mark unverified country laws as production-ready. The release objective is worldwide coverage through maintained country/territory packs; the safe executable default is blocked until a named owner has validated national law, special-territory treatment, carrier capability, commodity controls, privacy/data transfers and test evidence.</x:v>
      </x:c>
      <x:c r="B18" s="38"/>
      <x:c r="C18" s="38"/>
      <x:c r="D18" s="38"/>
      <x:c r="E18" s="38"/>
      <x:c r="F18" s="38"/>
      <x:c r="G18" s="38"/>
      <x:c r="H18" s="39"/>
    </x:row>
    <x:row r="19">
      <x:c r="A19" s="40"/>
      <x:c r="B19" s="41"/>
      <x:c r="C19" s="41"/>
      <x:c r="D19" s="41"/>
      <x:c r="E19" s="41"/>
      <x:c r="F19" s="41"/>
      <x:c r="G19" s="41"/>
      <x:c r="H19" s="42"/>
    </x:row>
    <x:row r="20">
      <x:c r="A20" s="40"/>
      <x:c r="B20" s="41"/>
      <x:c r="C20" s="41"/>
      <x:c r="D20" s="41"/>
      <x:c r="E20" s="41"/>
      <x:c r="F20" s="41"/>
      <x:c r="G20" s="41"/>
      <x:c r="H20" s="42"/>
    </x:row>
    <x:row r="21">
      <x:c r="A21" s="43"/>
      <x:c r="B21" s="44"/>
      <x:c r="C21" s="44"/>
      <x:c r="D21" s="44"/>
      <x:c r="E21" s="44"/>
      <x:c r="F21" s="44"/>
      <x:c r="G21" s="44"/>
      <x:c r="H21" s="45"/>
    </x:row>
  </x:sheetData>
  <x:mergeCells>
    <x:mergeCell ref="A1:H1"/>
    <x:mergeCell ref="A2:H2"/>
    <x:mergeCell ref="A17:H17"/>
    <x:mergeCell ref="A18:H18"/>
    <x:mergeCell ref="A19:H19"/>
    <x:mergeCell ref="A20:H20"/>
    <x:mergeCell ref="A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4" hidden="0" customWidth="1"/>
    <x:col min="4" max="4" width="21" hidden="0" customWidth="1"/>
    <x:col min="5" max="5" width="21" hidden="0" customWidth="1"/>
    <x:col min="6" max="6" width="21" hidden="0" customWidth="1"/>
  </x:cols>
  <x:sheetData>
    <x:row r="1" ht="36" customHeight="1">
      <x:c r="A1" s="47" t="str">
        <x:v>Worldwide Release Gate</x:v>
      </x:c>
      <x:c r="B1" s="47"/>
      <x:c r="C1" s="47"/>
      <x:c r="D1" s="47"/>
      <x:c r="E1" s="47"/>
      <x:c r="F1" s="47"/>
    </x:row>
    <x:row r="2">
      <x:c r="A2" s="49" t="str">
        <x:v>Formula-driven baseline. A country record is coverage inventory; production requires zero blocked packs within the claimed launch scope and every release checklist item passed.</x:v>
      </x:c>
      <x:c r="B2" s="49"/>
      <x:c r="C2" s="49"/>
      <x:c r="D2" s="49"/>
      <x:c r="E2" s="49"/>
      <x:c r="F2" s="49"/>
    </x:row>
    <x:row r="4">
      <x:c r="A4" s="51" t="str">
        <x:v>Metric</x:v>
      </x:c>
      <x:c r="B4" s="51" t="str">
        <x:v>Value</x:v>
      </x:c>
      <x:c r="D4" s="57" t="str">
        <x:v>Overall baseline decision</x:v>
      </x:c>
      <x:c r="E4" s="57"/>
      <x:c r="F4" s="57"/>
    </x:row>
    <x:row r="5">
      <x:c r="A5" s="54" t="str">
        <x:v>Country/territory pack records</x:v>
      </x:c>
      <x:c r="B5" s="56" t="n">
        <x:f>COUNTA('Country Packs'!A5:A254)</x:f>
        <x:v>250</x:v>
      </x:c>
      <x:c r="D5" s="77" t="str">
        <x:f>IF(AND(B6&gt;=249,B8=0,B15=0),"GO","NO-GO")</x:f>
        <x:v>NO-GO</x:v>
      </x:c>
      <x:c r="E5" s="78"/>
      <x:c r="F5" s="79"/>
    </x:row>
    <x:row r="6">
      <x:c r="A6" s="54" t="str">
        <x:v>Official ISO 3166-1 assigned records</x:v>
      </x:c>
      <x:c r="B6" s="56" t="n">
        <x:f>COUNTIF('Country Packs'!F5:F254,"ISO 3166-1 assigned")</x:f>
        <x:v>249</x:v>
      </x:c>
      <x:c r="D6" s="80"/>
      <x:c r="E6" s="81"/>
      <x:c r="F6" s="82"/>
    </x:row>
    <x:row r="7">
      <x:c r="A7" s="54" t="str">
        <x:v>Operational user-assigned overrides</x:v>
      </x:c>
      <x:c r="B7" s="56" t="n">
        <x:f>COUNTIF('Country Packs'!F5:F254,"User-assigned operational override")</x:f>
        <x:v>1</x:v>
      </x:c>
      <x:c r="D7" s="80"/>
      <x:c r="E7" s="81"/>
      <x:c r="F7" s="82"/>
    </x:row>
    <x:row r="8">
      <x:c r="A8" s="54" t="str">
        <x:v>Packs blocked pending validation</x:v>
      </x:c>
      <x:c r="B8" s="56" t="n">
        <x:f>COUNTIF('Country Packs'!AD5:AD254,"BLOCKED_PENDING_VALIDATION")</x:f>
        <x:v>250</x:v>
      </x:c>
      <x:c r="D8" s="83"/>
      <x:c r="E8" s="84"/>
      <x:c r="F8" s="85"/>
    </x:row>
    <x:row r="9">
      <x:c r="A9" s="54" t="str">
        <x:v>Production-ready packs</x:v>
      </x:c>
      <x:c r="B9" s="56" t="n">
        <x:f>COUNTIF('Country Packs'!AD5:AD254,"PRODUCTION_READY")</x:f>
        <x:v>0</x:v>
      </x:c>
    </x:row>
    <x:row r="10">
      <x:c r="A10" s="54" t="str">
        <x:v>Normative requirements</x:v>
      </x:c>
      <x:c r="B10" s="56" t="n">
        <x:f>COUNTA('Rule Families'!A5:A229)</x:f>
        <x:v>225</x:v>
      </x:c>
      <x:c r="D10" s="37" t="str">
        <x:v>Expected baseline: NO-GO. This is intentional. Every country/territory and capability starts blocked until verified against current national/territorial law, partner contracts and regression tests. Change a pack to PRODUCTION_READY only through the signed release checklist.</x:v>
      </x:c>
      <x:c r="E10" s="38"/>
      <x:c r="F10" s="39"/>
    </x:row>
    <x:row r="11">
      <x:c r="A11" s="54" t="str">
        <x:v>MUST requirements</x:v>
      </x:c>
      <x:c r="B11" s="56" t="n">
        <x:f>COUNTIF('Rule Families'!D5:D229,"MUST")</x:f>
        <x:v>225</x:v>
      </x:c>
      <x:c r="D11" s="40"/>
      <x:c r="E11" s="41"/>
      <x:c r="F11" s="42"/>
    </x:row>
    <x:row r="12">
      <x:c r="A12" s="54" t="str">
        <x:v>Authoritative source records</x:v>
      </x:c>
      <x:c r="B12" s="56" t="n">
        <x:f>COUNTA('Source Register'!A5:A98)</x:f>
        <x:v>94</x:v>
      </x:c>
      <x:c r="D12" s="40"/>
      <x:c r="E12" s="41"/>
      <x:c r="F12" s="42"/>
    </x:row>
    <x:row r="13">
      <x:c r="A13" s="54" t="str">
        <x:v>Active source records</x:v>
      </x:c>
      <x:c r="B13" s="56" t="n">
        <x:f>COUNTIF('Source Register'!M5:M98,"ACTIVE")</x:f>
        <x:v>94</x:v>
      </x:c>
      <x:c r="D13" s="40"/>
      <x:c r="E13" s="41"/>
      <x:c r="F13" s="42"/>
    </x:row>
    <x:row r="14">
      <x:c r="A14" s="54" t="str">
        <x:v>Release checklist PASS</x:v>
      </x:c>
      <x:c r="B14" s="56" t="n">
        <x:f>COUNTIF('Release Checklist'!F5:F32,"PASS")</x:f>
        <x:v>1</x:v>
      </x:c>
      <x:c r="D14" s="40"/>
      <x:c r="E14" s="41"/>
      <x:c r="F14" s="42"/>
    </x:row>
    <x:row r="15">
      <x:c r="A15" s="54" t="str">
        <x:v>Release checklist not PASS</x:v>
      </x:c>
      <x:c r="B15" s="56" t="n">
        <x:f>COUNTA('Release Checklist'!A5:A32)-B14</x:f>
        <x:v>27</x:v>
      </x:c>
      <x:c r="D15" s="43"/>
      <x:c r="E15" s="44"/>
      <x:c r="F15" s="45"/>
    </x:row>
  </x:sheetData>
  <x:mergeCells>
    <x:mergeCell ref="A1:F1"/>
    <x:mergeCell ref="A2:F2"/>
    <x:mergeCell ref="D4:F4"/>
    <x:mergeCell ref="D5:F8"/>
    <x:mergeCell ref="D10:F1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8" hidden="0" customWidth="1"/>
    <x:col min="4" max="4" width="9" hidden="0" customWidth="1"/>
    <x:col min="5" max="5" width="8" hidden="0" customWidth="1"/>
    <x:col min="6" max="6" width="22" hidden="0" customWidth="1"/>
    <x:col min="7" max="7" width="24" hidden="0" customWidth="1"/>
    <x:col min="8" max="8" width="28" hidden="0" customWidth="1"/>
    <x:col min="9" max="9" width="14" hidden="0" customWidth="1"/>
    <x:col min="10" max="10" width="18" hidden="0" customWidth="1"/>
    <x:col min="11" max="11" width="34" hidden="0" customWidth="1"/>
    <x:col min="12" max="12" width="34" hidden="0" customWidth="1"/>
    <x:col min="13" max="13" width="34" hidden="0" customWidth="1"/>
    <x:col min="14" max="14" width="34" hidden="0" customWidth="1"/>
    <x:col min="15" max="15" width="36" hidden="0" customWidth="1"/>
    <x:col min="16" max="16" width="40" hidden="0" customWidth="1"/>
    <x:col min="17" max="17" width="34" hidden="0" customWidth="1"/>
    <x:col min="18" max="18" width="34" hidden="0" customWidth="1"/>
    <x:col min="19" max="19" width="34" hidden="0" customWidth="1"/>
    <x:col min="20" max="20" width="34" hidden="0" customWidth="1"/>
    <x:col min="21" max="21" width="34" hidden="0" customWidth="1"/>
    <x:col min="22" max="22" width="36" hidden="0" customWidth="1"/>
    <x:col min="23" max="23" width="36" hidden="0" customWidth="1"/>
    <x:col min="24" max="24" width="36" hidden="0" customWidth="1"/>
    <x:col min="25" max="25" width="14" hidden="0" customWidth="1"/>
    <x:col min="26" max="26" width="14" hidden="0" customWidth="1"/>
    <x:col min="27" max="27" width="14" hidden="0" customWidth="1"/>
    <x:col min="28" max="28" width="14" hidden="0" customWidth="1"/>
    <x:col min="29" max="29" width="14" hidden="0" customWidth="1"/>
    <x:col min="30" max="30" width="28" hidden="0" customWidth="1"/>
    <x:col min="31" max="31" width="16" hidden="0" customWidth="1"/>
    <x:col min="32" max="32" width="24" hidden="0" customWidth="1"/>
    <x:col min="33" max="33" width="48" hidden="0" customWidth="1"/>
    <x:col min="34" max="34" width="14" hidden="0" customWidth="1"/>
    <x:col min="35" max="35" width="14" hidden="0" customWidth="1"/>
    <x:col min="36" max="36" width="42" hidden="0" customWidth="1"/>
  </x:cols>
  <x:sheetData>
    <x:row r="1" ht="32" customHeight="1">
      <x:c r="A1" s="87" t="str">
        <x:v>All-country and territory pack register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c r="AC1" s="87"/>
      <x:c r="AD1" s="87"/>
      <x:c r="AE1" s="87"/>
      <x:c r="AF1" s="87"/>
      <x:c r="AG1" s="87"/>
      <x:c r="AH1" s="87"/>
      <x:c r="AI1" s="87"/>
      <x:c r="AJ1" s="87"/>
    </x:row>
    <x:row r="2" ht="34" customHeight="1">
      <x:c r="A2" s="88" t="str">
        <x:v>As of 2026-07-25. Includes every officially assigned ISO 3166-1 entry plus XK as a user-assigned operational override. All capabilities start blocked pending local validation.</x:v>
      </x:c>
      <x:c r="B2" s="88"/>
      <x:c r="C2" s="88"/>
      <x:c r="D2" s="88"/>
      <x:c r="E2" s="88"/>
      <x:c r="F2" s="88"/>
      <x:c r="G2" s="88"/>
      <x:c r="H2" s="88"/>
      <x:c r="I2" s="88"/>
      <x:c r="J2" s="88"/>
      <x:c r="K2" s="88"/>
      <x:c r="L2" s="88"/>
      <x:c r="M2" s="88"/>
      <x:c r="N2" s="88"/>
      <x:c r="O2" s="88"/>
      <x:c r="P2" s="88"/>
      <x:c r="Q2" s="88"/>
      <x:c r="R2" s="88"/>
      <x:c r="S2" s="88"/>
      <x:c r="T2" s="88"/>
      <x:c r="U2" s="88"/>
      <x:c r="V2" s="88"/>
      <x:c r="W2" s="88"/>
      <x:c r="X2" s="88"/>
      <x:c r="Y2" s="88"/>
      <x:c r="Z2" s="88"/>
      <x:c r="AA2" s="88"/>
      <x:c r="AB2" s="88"/>
      <x:c r="AC2" s="88"/>
      <x:c r="AD2" s="88"/>
      <x:c r="AE2" s="88"/>
      <x:c r="AF2" s="88"/>
      <x:c r="AG2" s="88"/>
      <x:c r="AH2" s="88"/>
      <x:c r="AI2" s="88"/>
      <x:c r="AJ2" s="88"/>
    </x:row>
    <x:row r="4" ht="34" customHeight="1">
      <x:c r="A4" s="89" t="str">
        <x:v>Pack ID</x:v>
      </x:c>
      <x:c r="B4" s="89" t="str">
        <x:v>Country / territory</x:v>
      </x:c>
      <x:c r="C4" s="89" t="str">
        <x:v>ISO2</x:v>
      </x:c>
      <x:c r="D4" s="89" t="str">
        <x:v>ISO3</x:v>
      </x:c>
      <x:c r="E4" s="89" t="str">
        <x:v>M49</x:v>
      </x:c>
      <x:c r="F4" s="89" t="str">
        <x:v>Code status</x:v>
      </x:c>
      <x:c r="G4" s="89" t="str">
        <x:v>Entity type</x:v>
      </x:c>
      <x:c r="H4" s="89" t="str">
        <x:v>Parent / administrative context</x:v>
      </x:c>
      <x:c r="I4" s="89" t="str">
        <x:v>UN region</x:v>
      </x:c>
      <x:c r="J4" s="89" t="str">
        <x:v>UN subregion</x:v>
      </x:c>
      <x:c r="K4" s="89" t="str">
        <x:v>Customs / fiscal profile</x:v>
      </x:c>
      <x:c r="L4" s="89" t="str">
        <x:v>Postal baseline</x:v>
      </x:c>
      <x:c r="M4" s="89" t="str">
        <x:v>Air / PLACI baseline</x:v>
      </x:c>
      <x:c r="N4" s="89" t="str">
        <x:v>Privacy / transfer baseline</x:v>
      </x:c>
      <x:c r="O4" s="89" t="str">
        <x:v>Sanctions / export-control baseline</x:v>
      </x:c>
      <x:c r="P4" s="89" t="str">
        <x:v>Current regulatory snapshot</x:v>
      </x:c>
      <x:c r="Q4" s="89" t="str">
        <x:v>General merchandise</x:v>
      </x:c>
      <x:c r="R4" s="89" t="str">
        <x:v>DG / lithium</x:v>
      </x:c>
      <x:c r="S4" s="89" t="str">
        <x:v>Food / cold chain</x:v>
      </x:c>
      <x:c r="T4" s="89" t="str">
        <x:v>Pharma / devices</x:v>
      </x:c>
      <x:c r="U4" s="89" t="str">
        <x:v>Alcohol / tobacco</x:v>
      </x:c>
      <x:c r="V4" s="89" t="str">
        <x:v>Dual-use / export controlled</x:v>
      </x:c>
      <x:c r="W4" s="89" t="str">
        <x:v>High-value / art / precious</x:v>
      </x:c>
      <x:c r="X4" s="89" t="str">
        <x:v>Personal / gifts / samples</x:v>
      </x:c>
      <x:c r="Y4" s="89" t="str">
        <x:v>Inbound enabled</x:v>
      </x:c>
      <x:c r="Z4" s="89" t="str">
        <x:v>Outbound enabled</x:v>
      </x:c>
      <x:c r="AA4" s="89" t="str">
        <x:v>Parcel enabled</x:v>
      </x:c>
      <x:c r="AB4" s="89" t="str">
        <x:v>Postal enabled</x:v>
      </x:c>
      <x:c r="AC4" s="89" t="str">
        <x:v>Air enabled</x:v>
      </x:c>
      <x:c r="AD4" s="89" t="str">
        <x:v>Pack status</x:v>
      </x:c>
      <x:c r="AE4" s="89" t="str">
        <x:v>Legal review</x:v>
      </x:c>
      <x:c r="AF4" s="89" t="str">
        <x:v>Owner</x:v>
      </x:c>
      <x:c r="AG4" s="89" t="str">
        <x:v>Required source IDs</x:v>
      </x:c>
      <x:c r="AH4" s="89" t="str">
        <x:v>Last checked</x:v>
      </x:c>
      <x:c r="AI4" s="89" t="str">
        <x:v>Next review</x:v>
      </x:c>
      <x:c r="AJ4" s="89" t="str">
        <x:v>Notes</x:v>
      </x:c>
    </x:row>
    <x:row r="5" ht="54" customHeight="1">
      <x:c r="A5" s="99" t="str">
        <x:v>CP-AF</x:v>
      </x:c>
      <x:c r="B5" s="99" t="str">
        <x:v>Afghanistan</x:v>
      </x:c>
      <x:c r="C5" s="99" t="str">
        <x:v>AF</x:v>
      </x:c>
      <x:c r="D5" s="99" t="str">
        <x:v>AFG</x:v>
      </x:c>
      <x:c r="E5" s="99" t="str">
        <x:v>004</x:v>
      </x:c>
      <x:c r="F5" s="99" t="str">
        <x:v>ISO 3166-1 assigned</x:v>
      </x:c>
      <x:c r="G5" s="99" t="str">
        <x:v>Independent state</x:v>
      </x:c>
      <x:c r="H5" s="99" t="str">
        <x:v>Self-administered for pack indexing; legal status follows authoritative sources</x:v>
      </x:c>
      <x:c r="I5" s="99" t="str">
        <x:v>Asia</x:v>
      </x:c>
      <x:c r="J5" s="99" t="str">
        <x:v>Southern Asia</x:v>
      </x:c>
      <x:c r="K5" s="99" t="str">
        <x:v>National/territorial customs framework—local validation required</x:v>
      </x:c>
      <x:c r="L5" s="99" t="str">
        <x:v>UPU/operator contract, bilateral rules, EAD/message versions and serviceability must be validated</x:v>
      </x:c>
      <x:c r="M5" s="99" t="str">
        <x:v>ICAO state rules, PLACI regime, security status, carrier routing and serviceability must be validated</x:v>
      </x:c>
      <x:c r="N5" s="99" t="str">
        <x:v>Country-pack privacy law and transfer mechanism required</x:v>
      </x:c>
      <x:c r="O5" s="99" t="str">
        <x:v>Screen live lists for every applicable nexus; resolve ownership, sectoral, end-use and licence controls</x:v>
      </x:c>
      <x:c r="P5" s="99" t="str">
        <x:v>No static legal conclusion. Validate current national/territorial customs, tax, licensing, product, privacy and carrier sources before activation.</x:v>
      </x:c>
      <x:c r="Q5" s="99" t="str">
        <x:v>BLOCKED until tariff, prohibitions, documents and carrier services approved</x:v>
      </x:c>
      <x:c r="R5" s="99" t="str">
        <x:v>BLOCKED until ICAO/state/operator variations and certified review path approved</x:v>
      </x:c>
      <x:c r="S5" s="99" t="str">
        <x:v>BLOCKED until SPS/agency/temperature rules and external filing path approved</x:v>
      </x:c>
      <x:c r="T5" s="99" t="str">
        <x:v>BLOCKED until product/site/importer authorizations and quality path approved</x:v>
      </x:c>
      <x:c r="U5" s="99" t="str">
        <x:v>BLOCKED until excise/licences/age/carrier contract approved</x:v>
      </x:c>
      <x:c r="V5" s="99" t="str">
        <x:v>BLOCKED until classification/end-use/licensing and sanctions path approved</x:v>
      </x:c>
      <x:c r="W5" s="99" t="str">
        <x:v>BLOCKED until provenance/security/insurance/carrier limits approved</x:v>
      </x:c>
      <x:c r="X5" s="99" t="str">
        <x:v>BLOCKED until purpose, values, relief evidence and restrictions approved</x:v>
      </x:c>
      <x:c r="Y5" s="103" t="b">
        <x:v>0</x:v>
      </x:c>
      <x:c r="Z5" s="103" t="b">
        <x:v>0</x:v>
      </x:c>
      <x:c r="AA5" s="103" t="b">
        <x:v>0</x:v>
      </x:c>
      <x:c r="AB5" s="103" t="b">
        <x:v>0</x:v>
      </x:c>
      <x:c r="AC5" s="103" t="b">
        <x:v>0</x:v>
      </x:c>
      <x:c r="AD5" s="106" t="str">
        <x:v>BLOCKED_PENDING_VALIDATION</x:v>
      </x:c>
      <x:c r="AE5" s="99" t="str">
        <x:v>NOT_STARTED</x:v>
      </x:c>
      <x:c r="AF5" s="99" t="str">
        <x:v>Unassigned country-pack owner</x:v>
      </x:c>
      <x:c r="AG5" s="99" t="str">
        <x:v>SRC-CUS-001, SRC-CUS-005, SRC-CUS-007, SRC-DAT-001, SRC-POST-001, SRC-PRV-001</x:v>
      </x:c>
      <x:c r="AH5" s="99" t="str">
        <x:v>2026-07-25</x:v>
      </x:c>
      <x:c r="AI5" s="99" t="str">
        <x:v>2026-08-25</x:v>
      </x:c>
      <x:c r="AJ5" s="99" t="str">
        <x:v>Registry coverage only. Production readiness is capability-specific and requires the release checklist.</x:v>
      </x:c>
    </x:row>
    <x:row r="6" ht="54" customHeight="1">
      <x:c r="A6" s="97" t="str">
        <x:v>CP-AX</x:v>
      </x:c>
      <x:c r="B6" s="97" t="str">
        <x:v>Åland Islands</x:v>
      </x:c>
      <x:c r="C6" s="97" t="str">
        <x:v>AX</x:v>
      </x:c>
      <x:c r="D6" s="97" t="str">
        <x:v>ALA</x:v>
      </x:c>
      <x:c r="E6" s="97" t="str">
        <x:v>248</x:v>
      </x:c>
      <x:c r="F6" s="97" t="str">
        <x:v>ISO 3166-1 assigned</x:v>
      </x:c>
      <x:c r="G6" s="97" t="str">
        <x:v>Territory, dependency or special-area record</x:v>
      </x:c>
      <x:c r="H6" s="97" t="str">
        <x:v>Finland</x:v>
      </x:c>
      <x:c r="I6" s="97" t="str">
        <x:v>Europe</x:v>
      </x:c>
      <x:c r="J6" s="97" t="str">
        <x:v>Northern Europe</x:v>
      </x:c>
      <x:c r="K6" s="97" t="str">
        <x:v>National/territorial customs framework—local validation required</x:v>
      </x:c>
      <x:c r="L6" s="97" t="str">
        <x:v>UPU/operator contract, bilateral rules, EAD/message versions and serviceability must be validated</x:v>
      </x:c>
      <x:c r="M6" s="97" t="str">
        <x:v>ICAO state rules, PLACI regime, security status, carrier routing and serviceability must be validated</x:v>
      </x:c>
      <x:c r="N6" s="97" t="str">
        <x:v>Country-pack privacy law and transfer mechanism required</x:v>
      </x:c>
      <x:c r="O6" s="97" t="str">
        <x:v>Screen live lists for every applicable nexus; resolve ownership, sectoral, end-use and licence controls</x:v>
      </x:c>
      <x:c r="P6" s="97" t="str">
        <x:v>No static legal conclusion. Validate current national/territorial customs, tax, licensing, product, privacy and carrier sources before activation.</x:v>
      </x:c>
      <x:c r="Q6" s="97" t="str">
        <x:v>BLOCKED until tariff, prohibitions, documents and carrier services approved</x:v>
      </x:c>
      <x:c r="R6" s="97" t="str">
        <x:v>BLOCKED until ICAO/state/operator variations and certified review path approved</x:v>
      </x:c>
      <x:c r="S6" s="97" t="str">
        <x:v>BLOCKED until SPS/agency/temperature rules and external filing path approved</x:v>
      </x:c>
      <x:c r="T6" s="97" t="str">
        <x:v>BLOCKED until product/site/importer authorizations and quality path approved</x:v>
      </x:c>
      <x:c r="U6" s="97" t="str">
        <x:v>BLOCKED until excise/licences/age/carrier contract approved</x:v>
      </x:c>
      <x:c r="V6" s="97" t="str">
        <x:v>BLOCKED until classification/end-use/licensing and sanctions path approved</x:v>
      </x:c>
      <x:c r="W6" s="97" t="str">
        <x:v>BLOCKED until provenance/security/insurance/carrier limits approved</x:v>
      </x:c>
      <x:c r="X6" s="97" t="str">
        <x:v>BLOCKED until purpose, values, relief evidence and restrictions approved</x:v>
      </x:c>
      <x:c r="Y6" s="104" t="b">
        <x:v>0</x:v>
      </x:c>
      <x:c r="Z6" s="104" t="b">
        <x:v>0</x:v>
      </x:c>
      <x:c r="AA6" s="104" t="b">
        <x:v>0</x:v>
      </x:c>
      <x:c r="AB6" s="104" t="b">
        <x:v>0</x:v>
      </x:c>
      <x:c r="AC6" s="104" t="b">
        <x:v>0</x:v>
      </x:c>
      <x:c r="AD6" s="106" t="str">
        <x:v>BLOCKED_PENDING_VALIDATION</x:v>
      </x:c>
      <x:c r="AE6" s="97" t="str">
        <x:v>NOT_STARTED</x:v>
      </x:c>
      <x:c r="AF6" s="97" t="str">
        <x:v>Unassigned country-pack owner</x:v>
      </x:c>
      <x:c r="AG6" s="97" t="str">
        <x:v>SRC-CUS-001, SRC-CUS-005, SRC-CUS-007, SRC-DAT-001, SRC-POST-001, SRC-PRV-001</x:v>
      </x:c>
      <x:c r="AH6" s="97" t="str">
        <x:v>2026-07-25</x:v>
      </x:c>
      <x:c r="AI6" s="97" t="str">
        <x:v>2026-08-25</x:v>
      </x:c>
      <x:c r="AJ6" s="97" t="str">
        <x:v>Registry coverage only. Production readiness is capability-specific and requires the release checklist.</x:v>
      </x:c>
    </x:row>
    <x:row r="7" ht="54" customHeight="1">
      <x:c r="A7" s="99" t="str">
        <x:v>CP-AL</x:v>
      </x:c>
      <x:c r="B7" s="99" t="str">
        <x:v>Albania</x:v>
      </x:c>
      <x:c r="C7" s="99" t="str">
        <x:v>AL</x:v>
      </x:c>
      <x:c r="D7" s="99" t="str">
        <x:v>ALB</x:v>
      </x:c>
      <x:c r="E7" s="99" t="str">
        <x:v>008</x:v>
      </x:c>
      <x:c r="F7" s="99" t="str">
        <x:v>ISO 3166-1 assigned</x:v>
      </x:c>
      <x:c r="G7" s="99" t="str">
        <x:v>Independent state</x:v>
      </x:c>
      <x:c r="H7" s="99" t="str">
        <x:v>Self-administered for pack indexing; legal status follows authoritative sources</x:v>
      </x:c>
      <x:c r="I7" s="99" t="str">
        <x:v>Europe</x:v>
      </x:c>
      <x:c r="J7" s="99" t="str">
        <x:v>Southeast Europe</x:v>
      </x:c>
      <x:c r="K7" s="99" t="str">
        <x:v>National/territorial customs framework—local validation required</x:v>
      </x:c>
      <x:c r="L7" s="99" t="str">
        <x:v>UPU/operator contract, bilateral rules, EAD/message versions and serviceability must be validated</x:v>
      </x:c>
      <x:c r="M7" s="99" t="str">
        <x:v>ICAO state rules, PLACI regime, security status, carrier routing and serviceability must be validated</x:v>
      </x:c>
      <x:c r="N7" s="99" t="str">
        <x:v>Country-pack privacy law and transfer mechanism required</x:v>
      </x:c>
      <x:c r="O7" s="99" t="str">
        <x:v>Screen live lists for every applicable nexus; resolve ownership, sectoral, end-use and licence controls</x:v>
      </x:c>
      <x:c r="P7" s="99" t="str">
        <x:v>No static legal conclusion. Validate current national/territorial customs, tax, licensing, product, privacy and carrier sources before activation.</x:v>
      </x:c>
      <x:c r="Q7" s="99" t="str">
        <x:v>BLOCKED until tariff, prohibitions, documents and carrier services approved</x:v>
      </x:c>
      <x:c r="R7" s="99" t="str">
        <x:v>BLOCKED until ICAO/state/operator variations and certified review path approved</x:v>
      </x:c>
      <x:c r="S7" s="99" t="str">
        <x:v>BLOCKED until SPS/agency/temperature rules and external filing path approved</x:v>
      </x:c>
      <x:c r="T7" s="99" t="str">
        <x:v>BLOCKED until product/site/importer authorizations and quality path approved</x:v>
      </x:c>
      <x:c r="U7" s="99" t="str">
        <x:v>BLOCKED until excise/licences/age/carrier contract approved</x:v>
      </x:c>
      <x:c r="V7" s="99" t="str">
        <x:v>BLOCKED until classification/end-use/licensing and sanctions path approved</x:v>
      </x:c>
      <x:c r="W7" s="99" t="str">
        <x:v>BLOCKED until provenance/security/insurance/carrier limits approved</x:v>
      </x:c>
      <x:c r="X7" s="99" t="str">
        <x:v>BLOCKED until purpose, values, relief evidence and restrictions approved</x:v>
      </x:c>
      <x:c r="Y7" s="103" t="b">
        <x:v>0</x:v>
      </x:c>
      <x:c r="Z7" s="103" t="b">
        <x:v>0</x:v>
      </x:c>
      <x:c r="AA7" s="103" t="b">
        <x:v>0</x:v>
      </x:c>
      <x:c r="AB7" s="103" t="b">
        <x:v>0</x:v>
      </x:c>
      <x:c r="AC7" s="103" t="b">
        <x:v>0</x:v>
      </x:c>
      <x:c r="AD7" s="106" t="str">
        <x:v>BLOCKED_PENDING_VALIDATION</x:v>
      </x:c>
      <x:c r="AE7" s="99" t="str">
        <x:v>NOT_STARTED</x:v>
      </x:c>
      <x:c r="AF7" s="99" t="str">
        <x:v>Unassigned country-pack owner</x:v>
      </x:c>
      <x:c r="AG7" s="99" t="str">
        <x:v>SRC-CUS-001, SRC-CUS-005, SRC-CUS-007, SRC-DAT-001, SRC-POST-001, SRC-PRV-001</x:v>
      </x:c>
      <x:c r="AH7" s="99" t="str">
        <x:v>2026-07-25</x:v>
      </x:c>
      <x:c r="AI7" s="99" t="str">
        <x:v>2026-08-25</x:v>
      </x:c>
      <x:c r="AJ7" s="99" t="str">
        <x:v>Registry coverage only. Production readiness is capability-specific and requires the release checklist.</x:v>
      </x:c>
    </x:row>
    <x:row r="8" ht="54" customHeight="1">
      <x:c r="A8" s="97" t="str">
        <x:v>CP-DZ</x:v>
      </x:c>
      <x:c r="B8" s="97" t="str">
        <x:v>Algeria</x:v>
      </x:c>
      <x:c r="C8" s="97" t="str">
        <x:v>DZ</x:v>
      </x:c>
      <x:c r="D8" s="97" t="str">
        <x:v>DZA</x:v>
      </x:c>
      <x:c r="E8" s="97" t="str">
        <x:v>012</x:v>
      </x:c>
      <x:c r="F8" s="97" t="str">
        <x:v>ISO 3166-1 assigned</x:v>
      </x:c>
      <x:c r="G8" s="97" t="str">
        <x:v>Independent state</x:v>
      </x:c>
      <x:c r="H8" s="97" t="str">
        <x:v>Self-administered for pack indexing; legal status follows authoritative sources</x:v>
      </x:c>
      <x:c r="I8" s="97" t="str">
        <x:v>Africa</x:v>
      </x:c>
      <x:c r="J8" s="97" t="str">
        <x:v>Northern Africa</x:v>
      </x:c>
      <x:c r="K8" s="97" t="str">
        <x:v>National/territorial customs framework—local validation required</x:v>
      </x:c>
      <x:c r="L8" s="97" t="str">
        <x:v>UPU/operator contract, bilateral rules, EAD/message versions and serviceability must be validated</x:v>
      </x:c>
      <x:c r="M8" s="97" t="str">
        <x:v>ICAO state rules, PLACI regime, security status, carrier routing and serviceability must be validated</x:v>
      </x:c>
      <x:c r="N8" s="97" t="str">
        <x:v>Country-pack privacy law and transfer mechanism required</x:v>
      </x:c>
      <x:c r="O8" s="97" t="str">
        <x:v>Screen live lists for every applicable nexus; resolve ownership, sectoral, end-use and licence controls</x:v>
      </x:c>
      <x:c r="P8" s="97" t="str">
        <x:v>No static legal conclusion. Validate current national/territorial customs, tax, licensing, product, privacy and carrier sources before activation.</x:v>
      </x:c>
      <x:c r="Q8" s="97" t="str">
        <x:v>BLOCKED until tariff, prohibitions, documents and carrier services approved</x:v>
      </x:c>
      <x:c r="R8" s="97" t="str">
        <x:v>BLOCKED until ICAO/state/operator variations and certified review path approved</x:v>
      </x:c>
      <x:c r="S8" s="97" t="str">
        <x:v>BLOCKED until SPS/agency/temperature rules and external filing path approved</x:v>
      </x:c>
      <x:c r="T8" s="97" t="str">
        <x:v>BLOCKED until product/site/importer authorizations and quality path approved</x:v>
      </x:c>
      <x:c r="U8" s="97" t="str">
        <x:v>BLOCKED until excise/licences/age/carrier contract approved</x:v>
      </x:c>
      <x:c r="V8" s="97" t="str">
        <x:v>BLOCKED until classification/end-use/licensing and sanctions path approved</x:v>
      </x:c>
      <x:c r="W8" s="97" t="str">
        <x:v>BLOCKED until provenance/security/insurance/carrier limits approved</x:v>
      </x:c>
      <x:c r="X8" s="97" t="str">
        <x:v>BLOCKED until purpose, values, relief evidence and restrictions approved</x:v>
      </x:c>
      <x:c r="Y8" s="104" t="b">
        <x:v>0</x:v>
      </x:c>
      <x:c r="Z8" s="104" t="b">
        <x:v>0</x:v>
      </x:c>
      <x:c r="AA8" s="104" t="b">
        <x:v>0</x:v>
      </x:c>
      <x:c r="AB8" s="104" t="b">
        <x:v>0</x:v>
      </x:c>
      <x:c r="AC8" s="104" t="b">
        <x:v>0</x:v>
      </x:c>
      <x:c r="AD8" s="106" t="str">
        <x:v>BLOCKED_PENDING_VALIDATION</x:v>
      </x:c>
      <x:c r="AE8" s="97" t="str">
        <x:v>NOT_STARTED</x:v>
      </x:c>
      <x:c r="AF8" s="97" t="str">
        <x:v>Unassigned country-pack owner</x:v>
      </x:c>
      <x:c r="AG8" s="97" t="str">
        <x:v>SRC-CUS-001, SRC-CUS-005, SRC-CUS-007, SRC-DAT-001, SRC-POST-001, SRC-PRV-001</x:v>
      </x:c>
      <x:c r="AH8" s="97" t="str">
        <x:v>2026-07-25</x:v>
      </x:c>
      <x:c r="AI8" s="97" t="str">
        <x:v>2026-08-25</x:v>
      </x:c>
      <x:c r="AJ8" s="97" t="str">
        <x:v>Registry coverage only. Production readiness is capability-specific and requires the release checklist.</x:v>
      </x:c>
    </x:row>
    <x:row r="9" ht="54" customHeight="1">
      <x:c r="A9" s="99" t="str">
        <x:v>CP-AS</x:v>
      </x:c>
      <x:c r="B9" s="99" t="str">
        <x:v>American Samoa</x:v>
      </x:c>
      <x:c r="C9" s="99" t="str">
        <x:v>AS</x:v>
      </x:c>
      <x:c r="D9" s="99" t="str">
        <x:v>ASM</x:v>
      </x:c>
      <x:c r="E9" s="99" t="str">
        <x:v>016</x:v>
      </x:c>
      <x:c r="F9" s="99" t="str">
        <x:v>ISO 3166-1 assigned</x:v>
      </x:c>
      <x:c r="G9" s="99" t="str">
        <x:v>Territory, dependency or special-area record</x:v>
      </x:c>
      <x:c r="H9" s="99" t="str">
        <x:v>United States</x:v>
      </x:c>
      <x:c r="I9" s="99" t="str">
        <x:v>Oceania</x:v>
      </x:c>
      <x:c r="J9" s="99" t="str">
        <x:v>Polynesia</x:v>
      </x:c>
      <x:c r="K9" s="99" t="str">
        <x:v>National/territorial customs framework—local validation required</x:v>
      </x:c>
      <x:c r="L9" s="99" t="str">
        <x:v>UPU/operator contract, bilateral rules, EAD/message versions and serviceability must be validated</x:v>
      </x:c>
      <x:c r="M9" s="99" t="str">
        <x:v>ICAO state rules, PLACI regime, security status, carrier routing and serviceability must be validated</x:v>
      </x:c>
      <x:c r="N9" s="99" t="str">
        <x:v>Country-pack privacy law and transfer mechanism required</x:v>
      </x:c>
      <x:c r="O9" s="99" t="str">
        <x:v>Screen live lists for every applicable nexus; resolve ownership, sectoral, end-use and licence controls</x:v>
      </x:c>
      <x:c r="P9" s="99" t="str">
        <x:v>No static legal conclusion. Validate current national/territorial customs, tax, licensing, product, privacy and carrier sources before activation.</x:v>
      </x:c>
      <x:c r="Q9" s="99" t="str">
        <x:v>BLOCKED until tariff, prohibitions, documents and carrier services approved</x:v>
      </x:c>
      <x:c r="R9" s="99" t="str">
        <x:v>BLOCKED until ICAO/state/operator variations and certified review path approved</x:v>
      </x:c>
      <x:c r="S9" s="99" t="str">
        <x:v>BLOCKED until SPS/agency/temperature rules and external filing path approved</x:v>
      </x:c>
      <x:c r="T9" s="99" t="str">
        <x:v>BLOCKED until product/site/importer authorizations and quality path approved</x:v>
      </x:c>
      <x:c r="U9" s="99" t="str">
        <x:v>BLOCKED until excise/licences/age/carrier contract approved</x:v>
      </x:c>
      <x:c r="V9" s="99" t="str">
        <x:v>BLOCKED until classification/end-use/licensing and sanctions path approved</x:v>
      </x:c>
      <x:c r="W9" s="99" t="str">
        <x:v>BLOCKED until provenance/security/insurance/carrier limits approved</x:v>
      </x:c>
      <x:c r="X9" s="99" t="str">
        <x:v>BLOCKED until purpose, values, relief evidence and restrictions approved</x:v>
      </x:c>
      <x:c r="Y9" s="103" t="b">
        <x:v>0</x:v>
      </x:c>
      <x:c r="Z9" s="103" t="b">
        <x:v>0</x:v>
      </x:c>
      <x:c r="AA9" s="103" t="b">
        <x:v>0</x:v>
      </x:c>
      <x:c r="AB9" s="103" t="b">
        <x:v>0</x:v>
      </x:c>
      <x:c r="AC9" s="103" t="b">
        <x:v>0</x:v>
      </x:c>
      <x:c r="AD9" s="106" t="str">
        <x:v>BLOCKED_PENDING_VALIDATION</x:v>
      </x:c>
      <x:c r="AE9" s="99" t="str">
        <x:v>NOT_STARTED</x:v>
      </x:c>
      <x:c r="AF9" s="99" t="str">
        <x:v>Unassigned country-pack owner</x:v>
      </x:c>
      <x:c r="AG9" s="99" t="str">
        <x:v>SRC-CUS-001, SRC-CUS-005, SRC-CUS-007, SRC-DAT-001, SRC-POST-001, SRC-PRV-001, SRC-USA-001, SRC-USA-002, SRC-PRV-012</x:v>
      </x:c>
      <x:c r="AH9" s="99" t="str">
        <x:v>2026-07-25</x:v>
      </x:c>
      <x:c r="AI9" s="99" t="str">
        <x:v>2026-08-25</x:v>
      </x:c>
      <x:c r="AJ9" s="99" t="str">
        <x:v>Registry coverage only. Production readiness is capability-specific and requires the release checklist.</x:v>
      </x:c>
    </x:row>
    <x:row r="10" ht="54" customHeight="1">
      <x:c r="A10" s="97" t="str">
        <x:v>CP-AD</x:v>
      </x:c>
      <x:c r="B10" s="97" t="str">
        <x:v>Andorra</x:v>
      </x:c>
      <x:c r="C10" s="97" t="str">
        <x:v>AD</x:v>
      </x:c>
      <x:c r="D10" s="97" t="str">
        <x:v>AND</x:v>
      </x:c>
      <x:c r="E10" s="97" t="str">
        <x:v>020</x:v>
      </x:c>
      <x:c r="F10" s="97" t="str">
        <x:v>ISO 3166-1 assigned</x:v>
      </x:c>
      <x:c r="G10" s="97" t="str">
        <x:v>Independent state</x:v>
      </x:c>
      <x:c r="H10" s="97" t="str">
        <x:v>Self-administered for pack indexing; legal status follows authoritative sources</x:v>
      </x:c>
      <x:c r="I10" s="97" t="str">
        <x:v>Europe</x:v>
      </x:c>
      <x:c r="J10" s="97" t="str">
        <x:v>Southern Europe</x:v>
      </x:c>
      <x:c r="K10" s="97" t="str">
        <x:v>National/territorial customs framework—local validation required</x:v>
      </x:c>
      <x:c r="L10" s="97" t="str">
        <x:v>UPU/operator contract, bilateral rules, EAD/message versions and serviceability must be validated</x:v>
      </x:c>
      <x:c r="M10" s="97" t="str">
        <x:v>ICAO state rules, PLACI regime, security status, carrier routing and serviceability must be validated</x:v>
      </x:c>
      <x:c r="N10" s="97" t="str">
        <x:v>Country-pack privacy law and transfer mechanism required</x:v>
      </x:c>
      <x:c r="O10" s="97" t="str">
        <x:v>Screen live lists for every applicable nexus; resolve ownership, sectoral, end-use and licence controls</x:v>
      </x:c>
      <x:c r="P10" s="97" t="str">
        <x:v>No static legal conclusion. Validate current national/territorial customs, tax, licensing, product, privacy and carrier sources before activation.</x:v>
      </x:c>
      <x:c r="Q10" s="97" t="str">
        <x:v>BLOCKED until tariff, prohibitions, documents and carrier services approved</x:v>
      </x:c>
      <x:c r="R10" s="97" t="str">
        <x:v>BLOCKED until ICAO/state/operator variations and certified review path approved</x:v>
      </x:c>
      <x:c r="S10" s="97" t="str">
        <x:v>BLOCKED until SPS/agency/temperature rules and external filing path approved</x:v>
      </x:c>
      <x:c r="T10" s="97" t="str">
        <x:v>BLOCKED until product/site/importer authorizations and quality path approved</x:v>
      </x:c>
      <x:c r="U10" s="97" t="str">
        <x:v>BLOCKED until excise/licences/age/carrier contract approved</x:v>
      </x:c>
      <x:c r="V10" s="97" t="str">
        <x:v>BLOCKED until classification/end-use/licensing and sanctions path approved</x:v>
      </x:c>
      <x:c r="W10" s="97" t="str">
        <x:v>BLOCKED until provenance/security/insurance/carrier limits approved</x:v>
      </x:c>
      <x:c r="X10" s="97" t="str">
        <x:v>BLOCKED until purpose, values, relief evidence and restrictions approved</x:v>
      </x:c>
      <x:c r="Y10" s="104" t="b">
        <x:v>0</x:v>
      </x:c>
      <x:c r="Z10" s="104" t="b">
        <x:v>0</x:v>
      </x:c>
      <x:c r="AA10" s="104" t="b">
        <x:v>0</x:v>
      </x:c>
      <x:c r="AB10" s="104" t="b">
        <x:v>0</x:v>
      </x:c>
      <x:c r="AC10" s="104" t="b">
        <x:v>0</x:v>
      </x:c>
      <x:c r="AD10" s="106" t="str">
        <x:v>BLOCKED_PENDING_VALIDATION</x:v>
      </x:c>
      <x:c r="AE10" s="97" t="str">
        <x:v>NOT_STARTED</x:v>
      </x:c>
      <x:c r="AF10" s="97" t="str">
        <x:v>Unassigned country-pack owner</x:v>
      </x:c>
      <x:c r="AG10" s="97" t="str">
        <x:v>SRC-CUS-001, SRC-CUS-005, SRC-CUS-007, SRC-DAT-001, SRC-POST-001, SRC-PRV-001</x:v>
      </x:c>
      <x:c r="AH10" s="97" t="str">
        <x:v>2026-07-25</x:v>
      </x:c>
      <x:c r="AI10" s="97" t="str">
        <x:v>2026-08-25</x:v>
      </x:c>
      <x:c r="AJ10" s="97" t="str">
        <x:v>Registry coverage only. Production readiness is capability-specific and requires the release checklist.</x:v>
      </x:c>
    </x:row>
    <x:row r="11" ht="54" customHeight="1">
      <x:c r="A11" s="99" t="str">
        <x:v>CP-AO</x:v>
      </x:c>
      <x:c r="B11" s="99" t="str">
        <x:v>Angola</x:v>
      </x:c>
      <x:c r="C11" s="99" t="str">
        <x:v>AO</x:v>
      </x:c>
      <x:c r="D11" s="99" t="str">
        <x:v>AGO</x:v>
      </x:c>
      <x:c r="E11" s="99" t="str">
        <x:v>024</x:v>
      </x:c>
      <x:c r="F11" s="99" t="str">
        <x:v>ISO 3166-1 assigned</x:v>
      </x:c>
      <x:c r="G11" s="99" t="str">
        <x:v>Independent state</x:v>
      </x:c>
      <x:c r="H11" s="99" t="str">
        <x:v>Self-administered for pack indexing; legal status follows authoritative sources</x:v>
      </x:c>
      <x:c r="I11" s="99" t="str">
        <x:v>Africa</x:v>
      </x:c>
      <x:c r="J11" s="99" t="str">
        <x:v>Middle Africa</x:v>
      </x:c>
      <x:c r="K11" s="99" t="str">
        <x:v>National/territorial customs framework—local validation required</x:v>
      </x:c>
      <x:c r="L11" s="99" t="str">
        <x:v>UPU/operator contract, bilateral rules, EAD/message versions and serviceability must be validated</x:v>
      </x:c>
      <x:c r="M11" s="99" t="str">
        <x:v>ICAO state rules, PLACI regime, security status, carrier routing and serviceability must be validated</x:v>
      </x:c>
      <x:c r="N11" s="99" t="str">
        <x:v>Country-pack privacy law and transfer mechanism required</x:v>
      </x:c>
      <x:c r="O11" s="99" t="str">
        <x:v>Screen live lists for every applicable nexus; resolve ownership, sectoral, end-use and licence controls</x:v>
      </x:c>
      <x:c r="P11" s="99" t="str">
        <x:v>No static legal conclusion. Validate current national/territorial customs, tax, licensing, product, privacy and carrier sources before activation.</x:v>
      </x:c>
      <x:c r="Q11" s="99" t="str">
        <x:v>BLOCKED until tariff, prohibitions, documents and carrier services approved</x:v>
      </x:c>
      <x:c r="R11" s="99" t="str">
        <x:v>BLOCKED until ICAO/state/operator variations and certified review path approved</x:v>
      </x:c>
      <x:c r="S11" s="99" t="str">
        <x:v>BLOCKED until SPS/agency/temperature rules and external filing path approved</x:v>
      </x:c>
      <x:c r="T11" s="99" t="str">
        <x:v>BLOCKED until product/site/importer authorizations and quality path approved</x:v>
      </x:c>
      <x:c r="U11" s="99" t="str">
        <x:v>BLOCKED until excise/licences/age/carrier contract approved</x:v>
      </x:c>
      <x:c r="V11" s="99" t="str">
        <x:v>BLOCKED until classification/end-use/licensing and sanctions path approved</x:v>
      </x:c>
      <x:c r="W11" s="99" t="str">
        <x:v>BLOCKED until provenance/security/insurance/carrier limits approved</x:v>
      </x:c>
      <x:c r="X11" s="99" t="str">
        <x:v>BLOCKED until purpose, values, relief evidence and restrictions approved</x:v>
      </x:c>
      <x:c r="Y11" s="103" t="b">
        <x:v>0</x:v>
      </x:c>
      <x:c r="Z11" s="103" t="b">
        <x:v>0</x:v>
      </x:c>
      <x:c r="AA11" s="103" t="b">
        <x:v>0</x:v>
      </x:c>
      <x:c r="AB11" s="103" t="b">
        <x:v>0</x:v>
      </x:c>
      <x:c r="AC11" s="103" t="b">
        <x:v>0</x:v>
      </x:c>
      <x:c r="AD11" s="106" t="str">
        <x:v>BLOCKED_PENDING_VALIDATION</x:v>
      </x:c>
      <x:c r="AE11" s="99" t="str">
        <x:v>NOT_STARTED</x:v>
      </x:c>
      <x:c r="AF11" s="99" t="str">
        <x:v>Unassigned country-pack owner</x:v>
      </x:c>
      <x:c r="AG11" s="99" t="str">
        <x:v>SRC-CUS-001, SRC-CUS-005, SRC-CUS-007, SRC-DAT-001, SRC-POST-001, SRC-PRV-001</x:v>
      </x:c>
      <x:c r="AH11" s="99" t="str">
        <x:v>2026-07-25</x:v>
      </x:c>
      <x:c r="AI11" s="99" t="str">
        <x:v>2026-08-25</x:v>
      </x:c>
      <x:c r="AJ11" s="99" t="str">
        <x:v>Registry coverage only. Production readiness is capability-specific and requires the release checklist.</x:v>
      </x:c>
    </x:row>
    <x:row r="12" ht="54" customHeight="1">
      <x:c r="A12" s="97" t="str">
        <x:v>CP-AI</x:v>
      </x:c>
      <x:c r="B12" s="97" t="str">
        <x:v>Anguilla</x:v>
      </x:c>
      <x:c r="C12" s="97" t="str">
        <x:v>AI</x:v>
      </x:c>
      <x:c r="D12" s="97" t="str">
        <x:v>AIA</x:v>
      </x:c>
      <x:c r="E12" s="97" t="str">
        <x:v>660</x:v>
      </x:c>
      <x:c r="F12" s="97" t="str">
        <x:v>ISO 3166-1 assigned</x:v>
      </x:c>
      <x:c r="G12" s="97" t="str">
        <x:v>Territory, dependency or special-area record</x:v>
      </x:c>
      <x:c r="H12" s="97" t="str">
        <x:v>United Kingdom</x:v>
      </x:c>
      <x:c r="I12" s="97" t="str">
        <x:v>Americas</x:v>
      </x:c>
      <x:c r="J12" s="97" t="str">
        <x:v>Caribbean</x:v>
      </x:c>
      <x:c r="K12" s="97" t="str">
        <x:v>National/territorial customs framework—local validation required</x:v>
      </x:c>
      <x:c r="L12" s="97" t="str">
        <x:v>UPU/operator contract, bilateral rules, EAD/message versions and serviceability must be validated</x:v>
      </x:c>
      <x:c r="M12" s="97" t="str">
        <x:v>ICAO state rules, PLACI regime, security status, carrier routing and serviceability must be validated</x:v>
      </x:c>
      <x:c r="N12" s="97" t="str">
        <x:v>Country-pack privacy law and transfer mechanism required</x:v>
      </x:c>
      <x:c r="O12" s="97" t="str">
        <x:v>Screen live lists for every applicable nexus; resolve ownership, sectoral, end-use and licence controls</x:v>
      </x:c>
      <x:c r="P12" s="97" t="str">
        <x:v>No static legal conclusion. Validate current national/territorial customs, tax, licensing, product, privacy and carrier sources before activation.</x:v>
      </x:c>
      <x:c r="Q12" s="97" t="str">
        <x:v>BLOCKED until tariff, prohibitions, documents and carrier services approved</x:v>
      </x:c>
      <x:c r="R12" s="97" t="str">
        <x:v>BLOCKED until ICAO/state/operator variations and certified review path approved</x:v>
      </x:c>
      <x:c r="S12" s="97" t="str">
        <x:v>BLOCKED until SPS/agency/temperature rules and external filing path approved</x:v>
      </x:c>
      <x:c r="T12" s="97" t="str">
        <x:v>BLOCKED until product/site/importer authorizations and quality path approved</x:v>
      </x:c>
      <x:c r="U12" s="97" t="str">
        <x:v>BLOCKED until excise/licences/age/carrier contract approved</x:v>
      </x:c>
      <x:c r="V12" s="97" t="str">
        <x:v>BLOCKED until classification/end-use/licensing and sanctions path approved</x:v>
      </x:c>
      <x:c r="W12" s="97" t="str">
        <x:v>BLOCKED until provenance/security/insurance/carrier limits approved</x:v>
      </x:c>
      <x:c r="X12" s="97" t="str">
        <x:v>BLOCKED until purpose, values, relief evidence and restrictions approved</x:v>
      </x:c>
      <x:c r="Y12" s="104" t="b">
        <x:v>0</x:v>
      </x:c>
      <x:c r="Z12" s="104" t="b">
        <x:v>0</x:v>
      </x:c>
      <x:c r="AA12" s="104" t="b">
        <x:v>0</x:v>
      </x:c>
      <x:c r="AB12" s="104" t="b">
        <x:v>0</x:v>
      </x:c>
      <x:c r="AC12" s="104" t="b">
        <x:v>0</x:v>
      </x:c>
      <x:c r="AD12" s="106" t="str">
        <x:v>BLOCKED_PENDING_VALIDATION</x:v>
      </x:c>
      <x:c r="AE12" s="97" t="str">
        <x:v>NOT_STARTED</x:v>
      </x:c>
      <x:c r="AF12" s="97" t="str">
        <x:v>Unassigned country-pack owner</x:v>
      </x:c>
      <x:c r="AG12" s="97" t="str">
        <x:v>SRC-CUS-001, SRC-CUS-005, SRC-CUS-007, SRC-DAT-001, SRC-POST-001, SRC-PRV-001</x:v>
      </x:c>
      <x:c r="AH12" s="97" t="str">
        <x:v>2026-07-25</x:v>
      </x:c>
      <x:c r="AI12" s="97" t="str">
        <x:v>2026-08-25</x:v>
      </x:c>
      <x:c r="AJ12" s="97" t="str">
        <x:v>Registry coverage only. Production readiness is capability-specific and requires the release checklist.</x:v>
      </x:c>
    </x:row>
    <x:row r="13" ht="54" customHeight="1">
      <x:c r="A13" s="99" t="str">
        <x:v>CP-AQ</x:v>
      </x:c>
      <x:c r="B13" s="99" t="str">
        <x:v>Antarctica</x:v>
      </x:c>
      <x:c r="C13" s="99" t="str">
        <x:v>AQ</x:v>
      </x:c>
      <x:c r="D13" s="99" t="str">
        <x:v>ATA</x:v>
      </x:c>
      <x:c r="E13" s="99" t="str">
        <x:v>010</x:v>
      </x:c>
      <x:c r="F13" s="99" t="str">
        <x:v>ISO 3166-1 assigned</x:v>
      </x:c>
      <x:c r="G13" s="99" t="str">
        <x:v>Territory, dependency or special-area record</x:v>
      </x:c>
      <x:c r="H13" s="99" t="str">
        <x:v>Antarctic Treaty area</x:v>
      </x:c>
      <x:c r="I13" s="99" t="str">
        <x:v>Antarctic</x:v>
      </x:c>
      <x:c r="J13" s="99" t="str">
        <x:v>Other</x:v>
      </x:c>
      <x:c r="K13" s="99" t="str">
        <x:v>Non-standard/limited commercial service; carrier confirmation mandatory</x:v>
      </x:c>
      <x:c r="L13" s="99" t="str">
        <x:v>UPU/operator contract, bilateral rules, EAD/message versions and serviceability must be validated</x:v>
      </x:c>
      <x:c r="M13" s="99" t="str">
        <x:v>ICAO state rules, PLACI regime, security status, carrier routing and serviceability must be validated</x:v>
      </x:c>
      <x:c r="N13" s="99" t="str">
        <x:v>Country-pack privacy law and transfer mechanism required</x:v>
      </x:c>
      <x:c r="O13" s="99" t="str">
        <x:v>Screen live lists for every applicable nexus; resolve ownership, sectoral, end-use and licence controls</x:v>
      </x:c>
      <x:c r="P13" s="99" t="str">
        <x:v>No static legal conclusion. Validate current national/territorial customs, tax, licensing, product, privacy and carrier sources before activation.</x:v>
      </x:c>
      <x:c r="Q13" s="99" t="str">
        <x:v>BLOCKED until tariff, prohibitions, documents and carrier services approved</x:v>
      </x:c>
      <x:c r="R13" s="99" t="str">
        <x:v>BLOCKED until ICAO/state/operator variations and certified review path approved</x:v>
      </x:c>
      <x:c r="S13" s="99" t="str">
        <x:v>BLOCKED until SPS/agency/temperature rules and external filing path approved</x:v>
      </x:c>
      <x:c r="T13" s="99" t="str">
        <x:v>BLOCKED until product/site/importer authorizations and quality path approved</x:v>
      </x:c>
      <x:c r="U13" s="99" t="str">
        <x:v>BLOCKED until excise/licences/age/carrier contract approved</x:v>
      </x:c>
      <x:c r="V13" s="99" t="str">
        <x:v>BLOCKED until classification/end-use/licensing and sanctions path approved</x:v>
      </x:c>
      <x:c r="W13" s="99" t="str">
        <x:v>BLOCKED until provenance/security/insurance/carrier limits approved</x:v>
      </x:c>
      <x:c r="X13" s="99" t="str">
        <x:v>BLOCKED until purpose, values, relief evidence and restrictions approved</x:v>
      </x:c>
      <x:c r="Y13" s="103" t="b">
        <x:v>0</x:v>
      </x:c>
      <x:c r="Z13" s="103" t="b">
        <x:v>0</x:v>
      </x:c>
      <x:c r="AA13" s="103" t="b">
        <x:v>0</x:v>
      </x:c>
      <x:c r="AB13" s="103" t="b">
        <x:v>0</x:v>
      </x:c>
      <x:c r="AC13" s="103" t="b">
        <x:v>0</x:v>
      </x:c>
      <x:c r="AD13" s="106" t="str">
        <x:v>BLOCKED_PENDING_VALIDATION</x:v>
      </x:c>
      <x:c r="AE13" s="99" t="str">
        <x:v>NOT_STARTED</x:v>
      </x:c>
      <x:c r="AF13" s="99" t="str">
        <x:v>Unassigned country-pack owner</x:v>
      </x:c>
      <x:c r="AG13" s="99" t="str">
        <x:v>SRC-CUS-001, SRC-CUS-005, SRC-CUS-007, SRC-DAT-001, SRC-POST-001, SRC-PRV-001</x:v>
      </x:c>
      <x:c r="AH13" s="99" t="str">
        <x:v>2026-07-25</x:v>
      </x:c>
      <x:c r="AI13" s="99" t="str">
        <x:v>2026-08-25</x:v>
      </x:c>
      <x:c r="AJ13" s="99" t="str">
        <x:v>Registry coverage only. Production readiness is capability-specific and requires the release checklist.</x:v>
      </x:c>
    </x:row>
    <x:row r="14" ht="54" customHeight="1">
      <x:c r="A14" s="97" t="str">
        <x:v>CP-AG</x:v>
      </x:c>
      <x:c r="B14" s="97" t="str">
        <x:v>Antigua and Barbuda</x:v>
      </x:c>
      <x:c r="C14" s="97" t="str">
        <x:v>AG</x:v>
      </x:c>
      <x:c r="D14" s="97" t="str">
        <x:v>ATG</x:v>
      </x:c>
      <x:c r="E14" s="97" t="str">
        <x:v>028</x:v>
      </x:c>
      <x:c r="F14" s="97" t="str">
        <x:v>ISO 3166-1 assigned</x:v>
      </x:c>
      <x:c r="G14" s="97" t="str">
        <x:v>Independent state</x:v>
      </x:c>
      <x:c r="H14" s="97" t="str">
        <x:v>Self-administered for pack indexing; legal status follows authoritative sources</x:v>
      </x:c>
      <x:c r="I14" s="97" t="str">
        <x:v>Americas</x:v>
      </x:c>
      <x:c r="J14" s="97" t="str">
        <x:v>Caribbean</x:v>
      </x:c>
      <x:c r="K14" s="97" t="str">
        <x:v>National/territorial customs framework—local validation required</x:v>
      </x:c>
      <x:c r="L14" s="97" t="str">
        <x:v>UPU/operator contract, bilateral rules, EAD/message versions and serviceability must be validated</x:v>
      </x:c>
      <x:c r="M14" s="97" t="str">
        <x:v>ICAO state rules, PLACI regime, security status, carrier routing and serviceability must be validated</x:v>
      </x:c>
      <x:c r="N14" s="97" t="str">
        <x:v>Country-pack privacy law and transfer mechanism required</x:v>
      </x:c>
      <x:c r="O14" s="97" t="str">
        <x:v>Screen live lists for every applicable nexus; resolve ownership, sectoral, end-use and licence controls</x:v>
      </x:c>
      <x:c r="P14" s="97" t="str">
        <x:v>No static legal conclusion. Validate current national/territorial customs, tax, licensing, product, privacy and carrier sources before activation.</x:v>
      </x:c>
      <x:c r="Q14" s="97" t="str">
        <x:v>BLOCKED until tariff, prohibitions, documents and carrier services approved</x:v>
      </x:c>
      <x:c r="R14" s="97" t="str">
        <x:v>BLOCKED until ICAO/state/operator variations and certified review path approved</x:v>
      </x:c>
      <x:c r="S14" s="97" t="str">
        <x:v>BLOCKED until SPS/agency/temperature rules and external filing path approved</x:v>
      </x:c>
      <x:c r="T14" s="97" t="str">
        <x:v>BLOCKED until product/site/importer authorizations and quality path approved</x:v>
      </x:c>
      <x:c r="U14" s="97" t="str">
        <x:v>BLOCKED until excise/licences/age/carrier contract approved</x:v>
      </x:c>
      <x:c r="V14" s="97" t="str">
        <x:v>BLOCKED until classification/end-use/licensing and sanctions path approved</x:v>
      </x:c>
      <x:c r="W14" s="97" t="str">
        <x:v>BLOCKED until provenance/security/insurance/carrier limits approved</x:v>
      </x:c>
      <x:c r="X14" s="97" t="str">
        <x:v>BLOCKED until purpose, values, relief evidence and restrictions approved</x:v>
      </x:c>
      <x:c r="Y14" s="104" t="b">
        <x:v>0</x:v>
      </x:c>
      <x:c r="Z14" s="104" t="b">
        <x:v>0</x:v>
      </x:c>
      <x:c r="AA14" s="104" t="b">
        <x:v>0</x:v>
      </x:c>
      <x:c r="AB14" s="104" t="b">
        <x:v>0</x:v>
      </x:c>
      <x:c r="AC14" s="104" t="b">
        <x:v>0</x:v>
      </x:c>
      <x:c r="AD14" s="106" t="str">
        <x:v>BLOCKED_PENDING_VALIDATION</x:v>
      </x:c>
      <x:c r="AE14" s="97" t="str">
        <x:v>NOT_STARTED</x:v>
      </x:c>
      <x:c r="AF14" s="97" t="str">
        <x:v>Unassigned country-pack owner</x:v>
      </x:c>
      <x:c r="AG14" s="97" t="str">
        <x:v>SRC-CUS-001, SRC-CUS-005, SRC-CUS-007, SRC-DAT-001, SRC-POST-001, SRC-PRV-001</x:v>
      </x:c>
      <x:c r="AH14" s="97" t="str">
        <x:v>2026-07-25</x:v>
      </x:c>
      <x:c r="AI14" s="97" t="str">
        <x:v>2026-08-25</x:v>
      </x:c>
      <x:c r="AJ14" s="97" t="str">
        <x:v>Registry coverage only. Production readiness is capability-specific and requires the release checklist.</x:v>
      </x:c>
    </x:row>
    <x:row r="15" ht="54" customHeight="1">
      <x:c r="A15" s="99" t="str">
        <x:v>CP-AR</x:v>
      </x:c>
      <x:c r="B15" s="99" t="str">
        <x:v>Argentina</x:v>
      </x:c>
      <x:c r="C15" s="99" t="str">
        <x:v>AR</x:v>
      </x:c>
      <x:c r="D15" s="99" t="str">
        <x:v>ARG</x:v>
      </x:c>
      <x:c r="E15" s="99" t="str">
        <x:v>032</x:v>
      </x:c>
      <x:c r="F15" s="99" t="str">
        <x:v>ISO 3166-1 assigned</x:v>
      </x:c>
      <x:c r="G15" s="99" t="str">
        <x:v>Independent state</x:v>
      </x:c>
      <x:c r="H15" s="99" t="str">
        <x:v>Self-administered for pack indexing; legal status follows authoritative sources</x:v>
      </x:c>
      <x:c r="I15" s="99" t="str">
        <x:v>Americas</x:v>
      </x:c>
      <x:c r="J15" s="99" t="str">
        <x:v>South America</x:v>
      </x:c>
      <x:c r="K15" s="99" t="str">
        <x:v>MERCOSUR member; national implementation required</x:v>
      </x:c>
      <x:c r="L15" s="99" t="str">
        <x:v>UPU/operator contract, bilateral rules, EAD/message versions and serviceability must be validated</x:v>
      </x:c>
      <x:c r="M15" s="99" t="str">
        <x:v>ICAO state rules, PLACI regime, security status, carrier routing and serviceability must be validated</x:v>
      </x:c>
      <x:c r="N15" s="99" t="str">
        <x:v>Personal data protection law</x:v>
      </x:c>
      <x:c r="O15" s="99" t="str">
        <x:v>Screen live lists for every applicable nexus; resolve ownership, sectoral, end-use and licence controls</x:v>
      </x:c>
      <x:c r="P15" s="99" t="str">
        <x:v>No static legal conclusion. Validate current national/territorial customs, tax, licensing, product, privacy and carrier sources before activation.</x:v>
      </x:c>
      <x:c r="Q15" s="99" t="str">
        <x:v>BLOCKED until tariff, prohibitions, documents and carrier services approved</x:v>
      </x:c>
      <x:c r="R15" s="99" t="str">
        <x:v>BLOCKED until ICAO/state/operator variations and certified review path approved</x:v>
      </x:c>
      <x:c r="S15" s="99" t="str">
        <x:v>BLOCKED until SPS/agency/temperature rules and external filing path approved</x:v>
      </x:c>
      <x:c r="T15" s="99" t="str">
        <x:v>BLOCKED until product/site/importer authorizations and quality path approved</x:v>
      </x:c>
      <x:c r="U15" s="99" t="str">
        <x:v>BLOCKED until excise/licences/age/carrier contract approved</x:v>
      </x:c>
      <x:c r="V15" s="99" t="str">
        <x:v>BLOCKED until classification/end-use/licensing and sanctions path approved</x:v>
      </x:c>
      <x:c r="W15" s="99" t="str">
        <x:v>BLOCKED until provenance/security/insurance/carrier limits approved</x:v>
      </x:c>
      <x:c r="X15" s="99" t="str">
        <x:v>BLOCKED until purpose, values, relief evidence and restrictions approved</x:v>
      </x:c>
      <x:c r="Y15" s="103" t="b">
        <x:v>0</x:v>
      </x:c>
      <x:c r="Z15" s="103" t="b">
        <x:v>0</x:v>
      </x:c>
      <x:c r="AA15" s="103" t="b">
        <x:v>0</x:v>
      </x:c>
      <x:c r="AB15" s="103" t="b">
        <x:v>0</x:v>
      </x:c>
      <x:c r="AC15" s="103" t="b">
        <x:v>0</x:v>
      </x:c>
      <x:c r="AD15" s="106" t="str">
        <x:v>BLOCKED_PENDING_VALIDATION</x:v>
      </x:c>
      <x:c r="AE15" s="99" t="str">
        <x:v>NOT_STARTED</x:v>
      </x:c>
      <x:c r="AF15" s="99" t="str">
        <x:v>Unassigned country-pack owner</x:v>
      </x:c>
      <x:c r="AG15" s="99" t="str">
        <x:v>SRC-CUS-001, SRC-CUS-005, SRC-CUS-007, SRC-DAT-001, SRC-POST-001, SRC-PRV-001</x:v>
      </x:c>
      <x:c r="AH15" s="99" t="str">
        <x:v>2026-07-25</x:v>
      </x:c>
      <x:c r="AI15" s="99" t="str">
        <x:v>2026-08-25</x:v>
      </x:c>
      <x:c r="AJ15" s="99" t="str">
        <x:v>Registry coverage only. Production readiness is capability-specific and requires the release checklist.</x:v>
      </x:c>
    </x:row>
    <x:row r="16" ht="54" customHeight="1">
      <x:c r="A16" s="97" t="str">
        <x:v>CP-AM</x:v>
      </x:c>
      <x:c r="B16" s="97" t="str">
        <x:v>Armenia</x:v>
      </x:c>
      <x:c r="C16" s="97" t="str">
        <x:v>AM</x:v>
      </x:c>
      <x:c r="D16" s="97" t="str">
        <x:v>ARM</x:v>
      </x:c>
      <x:c r="E16" s="97" t="str">
        <x:v>051</x:v>
      </x:c>
      <x:c r="F16" s="97" t="str">
        <x:v>ISO 3166-1 assigned</x:v>
      </x:c>
      <x:c r="G16" s="97" t="str">
        <x:v>Independent state</x:v>
      </x:c>
      <x:c r="H16" s="97" t="str">
        <x:v>Self-administered for pack indexing; legal status follows authoritative sources</x:v>
      </x:c>
      <x:c r="I16" s="97" t="str">
        <x:v>Asia</x:v>
      </x:c>
      <x:c r="J16" s="97" t="str">
        <x:v>Western Asia</x:v>
      </x:c>
      <x:c r="K16" s="97" t="str">
        <x:v>EAEU member; national implementation and sanctions nexus required</x:v>
      </x:c>
      <x:c r="L16" s="97" t="str">
        <x:v>UPU/operator contract, bilateral rules, EAD/message versions and serviceability must be validated</x:v>
      </x:c>
      <x:c r="M16" s="97" t="str">
        <x:v>ICAO state rules, PLACI regime, security status, carrier routing and serviceability must be validated</x:v>
      </x:c>
      <x:c r="N16" s="97" t="str">
        <x:v>Country-pack privacy law and transfer mechanism required</x:v>
      </x:c>
      <x:c r="O16" s="97" t="str">
        <x:v>Screen live lists for every applicable nexus; resolve ownership, sectoral, end-use and licence controls</x:v>
      </x:c>
      <x:c r="P16" s="97" t="str">
        <x:v>No static legal conclusion. Validate current national/territorial customs, tax, licensing, product, privacy and carrier sources before activation.</x:v>
      </x:c>
      <x:c r="Q16" s="97" t="str">
        <x:v>BLOCKED until tariff, prohibitions, documents and carrier services approved</x:v>
      </x:c>
      <x:c r="R16" s="97" t="str">
        <x:v>BLOCKED until ICAO/state/operator variations and certified review path approved</x:v>
      </x:c>
      <x:c r="S16" s="97" t="str">
        <x:v>BLOCKED until SPS/agency/temperature rules and external filing path approved</x:v>
      </x:c>
      <x:c r="T16" s="97" t="str">
        <x:v>BLOCKED until product/site/importer authorizations and quality path approved</x:v>
      </x:c>
      <x:c r="U16" s="97" t="str">
        <x:v>BLOCKED until excise/licences/age/carrier contract approved</x:v>
      </x:c>
      <x:c r="V16" s="97" t="str">
        <x:v>BLOCKED until classification/end-use/licensing and sanctions path approved</x:v>
      </x:c>
      <x:c r="W16" s="97" t="str">
        <x:v>BLOCKED until provenance/security/insurance/carrier limits approved</x:v>
      </x:c>
      <x:c r="X16" s="97" t="str">
        <x:v>BLOCKED until purpose, values, relief evidence and restrictions approved</x:v>
      </x:c>
      <x:c r="Y16" s="104" t="b">
        <x:v>0</x:v>
      </x:c>
      <x:c r="Z16" s="104" t="b">
        <x:v>0</x:v>
      </x:c>
      <x:c r="AA16" s="104" t="b">
        <x:v>0</x:v>
      </x:c>
      <x:c r="AB16" s="104" t="b">
        <x:v>0</x:v>
      </x:c>
      <x:c r="AC16" s="104" t="b">
        <x:v>0</x:v>
      </x:c>
      <x:c r="AD16" s="106" t="str">
        <x:v>BLOCKED_PENDING_VALIDATION</x:v>
      </x:c>
      <x:c r="AE16" s="97" t="str">
        <x:v>NOT_STARTED</x:v>
      </x:c>
      <x:c r="AF16" s="97" t="str">
        <x:v>Unassigned country-pack owner</x:v>
      </x:c>
      <x:c r="AG16" s="97" t="str">
        <x:v>SRC-CUS-001, SRC-CUS-005, SRC-CUS-007, SRC-DAT-001, SRC-POST-001, SRC-PRV-001</x:v>
      </x:c>
      <x:c r="AH16" s="97" t="str">
        <x:v>2026-07-25</x:v>
      </x:c>
      <x:c r="AI16" s="97" t="str">
        <x:v>2026-08-25</x:v>
      </x:c>
      <x:c r="AJ16" s="97" t="str">
        <x:v>Registry coverage only. Production readiness is capability-specific and requires the release checklist.</x:v>
      </x:c>
    </x:row>
    <x:row r="17" ht="54" customHeight="1">
      <x:c r="A17" s="99" t="str">
        <x:v>CP-AW</x:v>
      </x:c>
      <x:c r="B17" s="99" t="str">
        <x:v>Aruba</x:v>
      </x:c>
      <x:c r="C17" s="99" t="str">
        <x:v>AW</x:v>
      </x:c>
      <x:c r="D17" s="99" t="str">
        <x:v>ABW</x:v>
      </x:c>
      <x:c r="E17" s="99" t="str">
        <x:v>533</x:v>
      </x:c>
      <x:c r="F17" s="99" t="str">
        <x:v>ISO 3166-1 assigned</x:v>
      </x:c>
      <x:c r="G17" s="99" t="str">
        <x:v>Territory, dependency or special-area record</x:v>
      </x:c>
      <x:c r="H17" s="99" t="str">
        <x:v>Kingdom of the Netherlands</x:v>
      </x:c>
      <x:c r="I17" s="99" t="str">
        <x:v>Americas</x:v>
      </x:c>
      <x:c r="J17" s="99" t="str">
        <x:v>Caribbean</x:v>
      </x:c>
      <x:c r="K17" s="99" t="str">
        <x:v>National/territorial customs framework—local validation required</x:v>
      </x:c>
      <x:c r="L17" s="99" t="str">
        <x:v>UPU/operator contract, bilateral rules, EAD/message versions and serviceability must be validated</x:v>
      </x:c>
      <x:c r="M17" s="99" t="str">
        <x:v>ICAO state rules, PLACI regime, security status, carrier routing and serviceability must be validated</x:v>
      </x:c>
      <x:c r="N17" s="99" t="str">
        <x:v>Country-pack privacy law and transfer mechanism required</x:v>
      </x:c>
      <x:c r="O17" s="99" t="str">
        <x:v>Screen live lists for every applicable nexus; resolve ownership, sectoral, end-use and licence controls</x:v>
      </x:c>
      <x:c r="P17" s="99" t="str">
        <x:v>No static legal conclusion. Validate current national/territorial customs, tax, licensing, product, privacy and carrier sources before activation.</x:v>
      </x:c>
      <x:c r="Q17" s="99" t="str">
        <x:v>BLOCKED until tariff, prohibitions, documents and carrier services approved</x:v>
      </x:c>
      <x:c r="R17" s="99" t="str">
        <x:v>BLOCKED until ICAO/state/operator variations and certified review path approved</x:v>
      </x:c>
      <x:c r="S17" s="99" t="str">
        <x:v>BLOCKED until SPS/agency/temperature rules and external filing path approved</x:v>
      </x:c>
      <x:c r="T17" s="99" t="str">
        <x:v>BLOCKED until product/site/importer authorizations and quality path approved</x:v>
      </x:c>
      <x:c r="U17" s="99" t="str">
        <x:v>BLOCKED until excise/licences/age/carrier contract approved</x:v>
      </x:c>
      <x:c r="V17" s="99" t="str">
        <x:v>BLOCKED until classification/end-use/licensing and sanctions path approved</x:v>
      </x:c>
      <x:c r="W17" s="99" t="str">
        <x:v>BLOCKED until provenance/security/insurance/carrier limits approved</x:v>
      </x:c>
      <x:c r="X17" s="99" t="str">
        <x:v>BLOCKED until purpose, values, relief evidence and restrictions approved</x:v>
      </x:c>
      <x:c r="Y17" s="103" t="b">
        <x:v>0</x:v>
      </x:c>
      <x:c r="Z17" s="103" t="b">
        <x:v>0</x:v>
      </x:c>
      <x:c r="AA17" s="103" t="b">
        <x:v>0</x:v>
      </x:c>
      <x:c r="AB17" s="103" t="b">
        <x:v>0</x:v>
      </x:c>
      <x:c r="AC17" s="103" t="b">
        <x:v>0</x:v>
      </x:c>
      <x:c r="AD17" s="106" t="str">
        <x:v>BLOCKED_PENDING_VALIDATION</x:v>
      </x:c>
      <x:c r="AE17" s="99" t="str">
        <x:v>NOT_STARTED</x:v>
      </x:c>
      <x:c r="AF17" s="99" t="str">
        <x:v>Unassigned country-pack owner</x:v>
      </x:c>
      <x:c r="AG17" s="99" t="str">
        <x:v>SRC-CUS-001, SRC-CUS-005, SRC-CUS-007, SRC-DAT-001, SRC-POST-001, SRC-PRV-001</x:v>
      </x:c>
      <x:c r="AH17" s="99" t="str">
        <x:v>2026-07-25</x:v>
      </x:c>
      <x:c r="AI17" s="99" t="str">
        <x:v>2026-08-25</x:v>
      </x:c>
      <x:c r="AJ17" s="99" t="str">
        <x:v>Registry coverage only. Production readiness is capability-specific and requires the release checklist.</x:v>
      </x:c>
    </x:row>
    <x:row r="18" ht="54" customHeight="1">
      <x:c r="A18" s="97" t="str">
        <x:v>CP-AU</x:v>
      </x:c>
      <x:c r="B18" s="97" t="str">
        <x:v>Australia</x:v>
      </x:c>
      <x:c r="C18" s="97" t="str">
        <x:v>AU</x:v>
      </x:c>
      <x:c r="D18" s="97" t="str">
        <x:v>AUS</x:v>
      </x:c>
      <x:c r="E18" s="97" t="str">
        <x:v>036</x:v>
      </x:c>
      <x:c r="F18" s="97" t="str">
        <x:v>ISO 3166-1 assigned</x:v>
      </x:c>
      <x:c r="G18" s="97" t="str">
        <x:v>Independent state</x:v>
      </x:c>
      <x:c r="H18" s="97" t="str">
        <x:v>Self-administered for pack indexing; legal status follows authoritative sources</x:v>
      </x:c>
      <x:c r="I18" s="97" t="str">
        <x:v>Oceania</x:v>
      </x:c>
      <x:c r="J18" s="97" t="str">
        <x:v>Australia and New Zealand</x:v>
      </x:c>
      <x:c r="K18" s="97" t="str">
        <x:v>National/territorial customs framework—local validation required</x:v>
      </x:c>
      <x:c r="L18" s="97" t="str">
        <x:v>UPU/operator contract, bilateral rules, EAD/message versions and serviceability must be validated</x:v>
      </x:c>
      <x:c r="M18" s="97" t="str">
        <x:v>ICAO state rules, PLACI regime, security status, carrier routing and serviceability must be validated</x:v>
      </x:c>
      <x:c r="N18" s="97" t="str">
        <x:v>Privacy Act/APP 8</x:v>
      </x:c>
      <x:c r="O18" s="97" t="str">
        <x:v>Screen live lists for every applicable nexus; resolve ownership, sectoral, end-use and licence controls</x:v>
      </x:c>
      <x:c r="P18" s="97" t="str">
        <x:v>No static legal conclusion. Validate current national/territorial customs, tax, licensing, product, privacy and carrier sources before activation.</x:v>
      </x:c>
      <x:c r="Q18" s="97" t="str">
        <x:v>BLOCKED until tariff, prohibitions, documents and carrier services approved</x:v>
      </x:c>
      <x:c r="R18" s="97" t="str">
        <x:v>BLOCKED until ICAO/state/operator variations and certified review path approved</x:v>
      </x:c>
      <x:c r="S18" s="97" t="str">
        <x:v>BLOCKED until SPS/agency/temperature rules and external filing path approved</x:v>
      </x:c>
      <x:c r="T18" s="97" t="str">
        <x:v>BLOCKED until product/site/importer authorizations and quality path approved</x:v>
      </x:c>
      <x:c r="U18" s="97" t="str">
        <x:v>BLOCKED until excise/licences/age/carrier contract approved</x:v>
      </x:c>
      <x:c r="V18" s="97" t="str">
        <x:v>BLOCKED until classification/end-use/licensing and sanctions path approved</x:v>
      </x:c>
      <x:c r="W18" s="97" t="str">
        <x:v>BLOCKED until provenance/security/insurance/carrier limits approved</x:v>
      </x:c>
      <x:c r="X18" s="97" t="str">
        <x:v>BLOCKED until purpose, values, relief evidence and restrictions approved</x:v>
      </x:c>
      <x:c r="Y18" s="104" t="b">
        <x:v>0</x:v>
      </x:c>
      <x:c r="Z18" s="104" t="b">
        <x:v>0</x:v>
      </x:c>
      <x:c r="AA18" s="104" t="b">
        <x:v>0</x:v>
      </x:c>
      <x:c r="AB18" s="104" t="b">
        <x:v>0</x:v>
      </x:c>
      <x:c r="AC18" s="104" t="b">
        <x:v>0</x:v>
      </x:c>
      <x:c r="AD18" s="106" t="str">
        <x:v>BLOCKED_PENDING_VALIDATION</x:v>
      </x:c>
      <x:c r="AE18" s="97" t="str">
        <x:v>NOT_STARTED</x:v>
      </x:c>
      <x:c r="AF18" s="97" t="str">
        <x:v>Unassigned country-pack owner</x:v>
      </x:c>
      <x:c r="AG18" s="97" t="str">
        <x:v>SRC-CUS-001, SRC-CUS-005, SRC-CUS-007, SRC-DAT-001, SRC-POST-001, SRC-PRV-001, SRC-PRV-008</x:v>
      </x:c>
      <x:c r="AH18" s="97" t="str">
        <x:v>2026-07-25</x:v>
      </x:c>
      <x:c r="AI18" s="97" t="str">
        <x:v>2026-08-25</x:v>
      </x:c>
      <x:c r="AJ18" s="97" t="str">
        <x:v>Registry coverage only. Production readiness is capability-specific and requires the release checklist.</x:v>
      </x:c>
    </x:row>
    <x:row r="19" ht="54" customHeight="1">
      <x:c r="A19" s="99" t="str">
        <x:v>CP-AT</x:v>
      </x:c>
      <x:c r="B19" s="99" t="str">
        <x:v>Austria</x:v>
      </x:c>
      <x:c r="C19" s="99" t="str">
        <x:v>AT</x:v>
      </x:c>
      <x:c r="D19" s="99" t="str">
        <x:v>AUT</x:v>
      </x:c>
      <x:c r="E19" s="99" t="str">
        <x:v>040</x:v>
      </x:c>
      <x:c r="F19" s="99" t="str">
        <x:v>ISO 3166-1 assigned</x:v>
      </x:c>
      <x:c r="G19" s="99" t="str">
        <x:v>Independent state</x:v>
      </x:c>
      <x:c r="H19" s="99" t="str">
        <x:v>Self-administered for pack indexing; legal status follows authoritative sources</x:v>
      </x:c>
      <x:c r="I19" s="99" t="str">
        <x:v>Europe</x:v>
      </x:c>
      <x:c r="J19" s="99" t="str">
        <x:v>Central Europe</x:v>
      </x:c>
      <x:c r="K19" s="99" t="str">
        <x:v>EU customs framework; validate special fiscal/customs territory</x:v>
      </x:c>
      <x:c r="L19" s="99" t="str">
        <x:v>UPU/operator contract, bilateral rules, EAD/message versions and serviceability must be validated</x:v>
      </x:c>
      <x:c r="M19" s="99" t="str">
        <x:v>ICAO state rules, PLACI regime, security status, carrier routing and serviceability must be validated</x:v>
      </x:c>
      <x:c r="N19" s="99" t="str">
        <x:v>GDPR/EEA transfer controls; local supplements</x:v>
      </x:c>
      <x:c r="O19" s="99" t="str">
        <x:v>Screen live lists for every applicable nexus; resolve ownership, sectoral, end-use and licence controls</x:v>
      </x:c>
      <x:c r="P19" s="99" t="str">
        <x:v>EU baseline: ICS2/ENS and current low-value/VAT rules; member and special-territory validation still required.</x:v>
      </x:c>
      <x:c r="Q19" s="99" t="str">
        <x:v>BLOCKED until tariff, prohibitions, documents and carrier services approved</x:v>
      </x:c>
      <x:c r="R19" s="99" t="str">
        <x:v>BLOCKED until ICAO/state/operator variations and certified review path approved</x:v>
      </x:c>
      <x:c r="S19" s="99" t="str">
        <x:v>BLOCKED until SPS/agency/temperature rules and external filing path approved</x:v>
      </x:c>
      <x:c r="T19" s="99" t="str">
        <x:v>BLOCKED until product/site/importer authorizations and quality path approved</x:v>
      </x:c>
      <x:c r="U19" s="99" t="str">
        <x:v>BLOCKED until excise/licences/age/carrier contract approved</x:v>
      </x:c>
      <x:c r="V19" s="99" t="str">
        <x:v>BLOCKED until classification/end-use/licensing and sanctions path approved</x:v>
      </x:c>
      <x:c r="W19" s="99" t="str">
        <x:v>BLOCKED until provenance/security/insurance/carrier limits approved</x:v>
      </x:c>
      <x:c r="X19" s="99" t="str">
        <x:v>BLOCKED until purpose, values, relief evidence and restrictions approved</x:v>
      </x:c>
      <x:c r="Y19" s="103" t="b">
        <x:v>0</x:v>
      </x:c>
      <x:c r="Z19" s="103" t="b">
        <x:v>0</x:v>
      </x:c>
      <x:c r="AA19" s="103" t="b">
        <x:v>0</x:v>
      </x:c>
      <x:c r="AB19" s="103" t="b">
        <x:v>0</x:v>
      </x:c>
      <x:c r="AC19" s="103" t="b">
        <x:v>0</x:v>
      </x:c>
      <x:c r="AD19" s="106" t="str">
        <x:v>BLOCKED_PENDING_VALIDATION</x:v>
      </x:c>
      <x:c r="AE19" s="99" t="str">
        <x:v>NOT_STARTED</x:v>
      </x:c>
      <x:c r="AF19" s="99" t="str">
        <x:v>Unassigned country-pack owner</x:v>
      </x:c>
      <x:c r="AG19" s="99" t="str">
        <x:v>SRC-CUS-001, SRC-CUS-005, SRC-CUS-007, SRC-DAT-001, SRC-POST-001, SRC-PRV-001, SRC-EU-001, SRC-EU-002, SRC-EU-003, SRC-EU-004, SRC-PRV-002</x:v>
      </x:c>
      <x:c r="AH19" s="99" t="str">
        <x:v>2026-07-25</x:v>
      </x:c>
      <x:c r="AI19" s="99" t="str">
        <x:v>2026-08-25</x:v>
      </x:c>
      <x:c r="AJ19" s="99" t="str">
        <x:v>Registry coverage only. Production readiness is capability-specific and requires the release checklist.</x:v>
      </x:c>
    </x:row>
    <x:row r="20" ht="54" customHeight="1">
      <x:c r="A20" s="97" t="str">
        <x:v>CP-AZ</x:v>
      </x:c>
      <x:c r="B20" s="97" t="str">
        <x:v>Azerbaijan</x:v>
      </x:c>
      <x:c r="C20" s="97" t="str">
        <x:v>AZ</x:v>
      </x:c>
      <x:c r="D20" s="97" t="str">
        <x:v>AZE</x:v>
      </x:c>
      <x:c r="E20" s="97" t="str">
        <x:v>031</x:v>
      </x:c>
      <x:c r="F20" s="97" t="str">
        <x:v>ISO 3166-1 assigned</x:v>
      </x:c>
      <x:c r="G20" s="97" t="str">
        <x:v>Independent state</x:v>
      </x:c>
      <x:c r="H20" s="97" t="str">
        <x:v>Self-administered for pack indexing; legal status follows authoritative sources</x:v>
      </x:c>
      <x:c r="I20" s="97" t="str">
        <x:v>Asia</x:v>
      </x:c>
      <x:c r="J20" s="97" t="str">
        <x:v>Western Asia</x:v>
      </x:c>
      <x:c r="K20" s="97" t="str">
        <x:v>National/territorial customs framework—local validation required</x:v>
      </x:c>
      <x:c r="L20" s="97" t="str">
        <x:v>UPU/operator contract, bilateral rules, EAD/message versions and serviceability must be validated</x:v>
      </x:c>
      <x:c r="M20" s="97" t="str">
        <x:v>ICAO state rules, PLACI regime, security status, carrier routing and serviceability must be validated</x:v>
      </x:c>
      <x:c r="N20" s="97" t="str">
        <x:v>Country-pack privacy law and transfer mechanism required</x:v>
      </x:c>
      <x:c r="O20" s="97" t="str">
        <x:v>Screen live lists for every applicable nexus; resolve ownership, sectoral, end-use and licence controls</x:v>
      </x:c>
      <x:c r="P20" s="97" t="str">
        <x:v>No static legal conclusion. Validate current national/territorial customs, tax, licensing, product, privacy and carrier sources before activation.</x:v>
      </x:c>
      <x:c r="Q20" s="97" t="str">
        <x:v>BLOCKED until tariff, prohibitions, documents and carrier services approved</x:v>
      </x:c>
      <x:c r="R20" s="97" t="str">
        <x:v>BLOCKED until ICAO/state/operator variations and certified review path approved</x:v>
      </x:c>
      <x:c r="S20" s="97" t="str">
        <x:v>BLOCKED until SPS/agency/temperature rules and external filing path approved</x:v>
      </x:c>
      <x:c r="T20" s="97" t="str">
        <x:v>BLOCKED until product/site/importer authorizations and quality path approved</x:v>
      </x:c>
      <x:c r="U20" s="97" t="str">
        <x:v>BLOCKED until excise/licences/age/carrier contract approved</x:v>
      </x:c>
      <x:c r="V20" s="97" t="str">
        <x:v>BLOCKED until classification/end-use/licensing and sanctions path approved</x:v>
      </x:c>
      <x:c r="W20" s="97" t="str">
        <x:v>BLOCKED until provenance/security/insurance/carrier limits approved</x:v>
      </x:c>
      <x:c r="X20" s="97" t="str">
        <x:v>BLOCKED until purpose, values, relief evidence and restrictions approved</x:v>
      </x:c>
      <x:c r="Y20" s="104" t="b">
        <x:v>0</x:v>
      </x:c>
      <x:c r="Z20" s="104" t="b">
        <x:v>0</x:v>
      </x:c>
      <x:c r="AA20" s="104" t="b">
        <x:v>0</x:v>
      </x:c>
      <x:c r="AB20" s="104" t="b">
        <x:v>0</x:v>
      </x:c>
      <x:c r="AC20" s="104" t="b">
        <x:v>0</x:v>
      </x:c>
      <x:c r="AD20" s="106" t="str">
        <x:v>BLOCKED_PENDING_VALIDATION</x:v>
      </x:c>
      <x:c r="AE20" s="97" t="str">
        <x:v>NOT_STARTED</x:v>
      </x:c>
      <x:c r="AF20" s="97" t="str">
        <x:v>Unassigned country-pack owner</x:v>
      </x:c>
      <x:c r="AG20" s="97" t="str">
        <x:v>SRC-CUS-001, SRC-CUS-005, SRC-CUS-007, SRC-DAT-001, SRC-POST-001, SRC-PRV-001</x:v>
      </x:c>
      <x:c r="AH20" s="97" t="str">
        <x:v>2026-07-25</x:v>
      </x:c>
      <x:c r="AI20" s="97" t="str">
        <x:v>2026-08-25</x:v>
      </x:c>
      <x:c r="AJ20" s="97" t="str">
        <x:v>Registry coverage only. Production readiness is capability-specific and requires the release checklist.</x:v>
      </x:c>
    </x:row>
    <x:row r="21" ht="54" customHeight="1">
      <x:c r="A21" s="99" t="str">
        <x:v>CP-BS</x:v>
      </x:c>
      <x:c r="B21" s="99" t="str">
        <x:v>Bahamas</x:v>
      </x:c>
      <x:c r="C21" s="99" t="str">
        <x:v>BS</x:v>
      </x:c>
      <x:c r="D21" s="99" t="str">
        <x:v>BHS</x:v>
      </x:c>
      <x:c r="E21" s="99" t="str">
        <x:v>044</x:v>
      </x:c>
      <x:c r="F21" s="99" t="str">
        <x:v>ISO 3166-1 assigned</x:v>
      </x:c>
      <x:c r="G21" s="99" t="str">
        <x:v>Independent state</x:v>
      </x:c>
      <x:c r="H21" s="99" t="str">
        <x:v>Self-administered for pack indexing; legal status follows authoritative sources</x:v>
      </x:c>
      <x:c r="I21" s="99" t="str">
        <x:v>Americas</x:v>
      </x:c>
      <x:c r="J21" s="99" t="str">
        <x:v>Caribbean</x:v>
      </x:c>
      <x:c r="K21" s="99" t="str">
        <x:v>National/territorial customs framework—local validation required</x:v>
      </x:c>
      <x:c r="L21" s="99" t="str">
        <x:v>UPU/operator contract, bilateral rules, EAD/message versions and serviceability must be validated</x:v>
      </x:c>
      <x:c r="M21" s="99" t="str">
        <x:v>ICAO state rules, PLACI regime, security status, carrier routing and serviceability must be validated</x:v>
      </x:c>
      <x:c r="N21" s="99" t="str">
        <x:v>Country-pack privacy law and transfer mechanism required</x:v>
      </x:c>
      <x:c r="O21" s="99" t="str">
        <x:v>Screen live lists for every applicable nexus; resolve ownership, sectoral, end-use and licence controls</x:v>
      </x:c>
      <x:c r="P21" s="99" t="str">
        <x:v>No static legal conclusion. Validate current national/territorial customs, tax, licensing, product, privacy and carrier sources before activation.</x:v>
      </x:c>
      <x:c r="Q21" s="99" t="str">
        <x:v>BLOCKED until tariff, prohibitions, documents and carrier services approved</x:v>
      </x:c>
      <x:c r="R21" s="99" t="str">
        <x:v>BLOCKED until ICAO/state/operator variations and certified review path approved</x:v>
      </x:c>
      <x:c r="S21" s="99" t="str">
        <x:v>BLOCKED until SPS/agency/temperature rules and external filing path approved</x:v>
      </x:c>
      <x:c r="T21" s="99" t="str">
        <x:v>BLOCKED until product/site/importer authorizations and quality path approved</x:v>
      </x:c>
      <x:c r="U21" s="99" t="str">
        <x:v>BLOCKED until excise/licences/age/carrier contract approved</x:v>
      </x:c>
      <x:c r="V21" s="99" t="str">
        <x:v>BLOCKED until classification/end-use/licensing and sanctions path approved</x:v>
      </x:c>
      <x:c r="W21" s="99" t="str">
        <x:v>BLOCKED until provenance/security/insurance/carrier limits approved</x:v>
      </x:c>
      <x:c r="X21" s="99" t="str">
        <x:v>BLOCKED until purpose, values, relief evidence and restrictions approved</x:v>
      </x:c>
      <x:c r="Y21" s="103" t="b">
        <x:v>0</x:v>
      </x:c>
      <x:c r="Z21" s="103" t="b">
        <x:v>0</x:v>
      </x:c>
      <x:c r="AA21" s="103" t="b">
        <x:v>0</x:v>
      </x:c>
      <x:c r="AB21" s="103" t="b">
        <x:v>0</x:v>
      </x:c>
      <x:c r="AC21" s="103" t="b">
        <x:v>0</x:v>
      </x:c>
      <x:c r="AD21" s="106" t="str">
        <x:v>BLOCKED_PENDING_VALIDATION</x:v>
      </x:c>
      <x:c r="AE21" s="99" t="str">
        <x:v>NOT_STARTED</x:v>
      </x:c>
      <x:c r="AF21" s="99" t="str">
        <x:v>Unassigned country-pack owner</x:v>
      </x:c>
      <x:c r="AG21" s="99" t="str">
        <x:v>SRC-CUS-001, SRC-CUS-005, SRC-CUS-007, SRC-DAT-001, SRC-POST-001, SRC-PRV-001</x:v>
      </x:c>
      <x:c r="AH21" s="99" t="str">
        <x:v>2026-07-25</x:v>
      </x:c>
      <x:c r="AI21" s="99" t="str">
        <x:v>2026-08-25</x:v>
      </x:c>
      <x:c r="AJ21" s="99" t="str">
        <x:v>Registry coverage only. Production readiness is capability-specific and requires the release checklist.</x:v>
      </x:c>
    </x:row>
    <x:row r="22" ht="54" customHeight="1">
      <x:c r="A22" s="97" t="str">
        <x:v>CP-BH</x:v>
      </x:c>
      <x:c r="B22" s="97" t="str">
        <x:v>Bahrain</x:v>
      </x:c>
      <x:c r="C22" s="97" t="str">
        <x:v>BH</x:v>
      </x:c>
      <x:c r="D22" s="97" t="str">
        <x:v>BHR</x:v>
      </x:c>
      <x:c r="E22" s="97" t="str">
        <x:v>048</x:v>
      </x:c>
      <x:c r="F22" s="97" t="str">
        <x:v>ISO 3166-1 assigned</x:v>
      </x:c>
      <x:c r="G22" s="97" t="str">
        <x:v>Independent state</x:v>
      </x:c>
      <x:c r="H22" s="97" t="str">
        <x:v>Self-administered for pack indexing; legal status follows authoritative sources</x:v>
      </x:c>
      <x:c r="I22" s="97" t="str">
        <x:v>Asia</x:v>
      </x:c>
      <x:c r="J22" s="97" t="str">
        <x:v>Western Asia</x:v>
      </x:c>
      <x:c r="K22" s="97" t="str">
        <x:v>GCC member; national implementation required</x:v>
      </x:c>
      <x:c r="L22" s="97" t="str">
        <x:v>UPU/operator contract, bilateral rules, EAD/message versions and serviceability must be validated</x:v>
      </x:c>
      <x:c r="M22" s="97" t="str">
        <x:v>ICAO state rules, PLACI regime, security status, carrier routing and serviceability must be validated</x:v>
      </x:c>
      <x:c r="N22" s="97" t="str">
        <x:v>Country-pack privacy law and transfer mechanism required</x:v>
      </x:c>
      <x:c r="O22" s="97" t="str">
        <x:v>Screen live lists for every applicable nexus; resolve ownership, sectoral, end-use and licence controls</x:v>
      </x:c>
      <x:c r="P22" s="97" t="str">
        <x:v>No static legal conclusion. Validate current national/territorial customs, tax, licensing, product, privacy and carrier sources before activation.</x:v>
      </x:c>
      <x:c r="Q22" s="97" t="str">
        <x:v>BLOCKED until tariff, prohibitions, documents and carrier services approved</x:v>
      </x:c>
      <x:c r="R22" s="97" t="str">
        <x:v>BLOCKED until ICAO/state/operator variations and certified review path approved</x:v>
      </x:c>
      <x:c r="S22" s="97" t="str">
        <x:v>BLOCKED until SPS/agency/temperature rules and external filing path approved</x:v>
      </x:c>
      <x:c r="T22" s="97" t="str">
        <x:v>BLOCKED until product/site/importer authorizations and quality path approved</x:v>
      </x:c>
      <x:c r="U22" s="97" t="str">
        <x:v>BLOCKED until excise/licences/age/carrier contract approved</x:v>
      </x:c>
      <x:c r="V22" s="97" t="str">
        <x:v>BLOCKED until classification/end-use/licensing and sanctions path approved</x:v>
      </x:c>
      <x:c r="W22" s="97" t="str">
        <x:v>BLOCKED until provenance/security/insurance/carrier limits approved</x:v>
      </x:c>
      <x:c r="X22" s="97" t="str">
        <x:v>BLOCKED until purpose, values, relief evidence and restrictions approved</x:v>
      </x:c>
      <x:c r="Y22" s="104" t="b">
        <x:v>0</x:v>
      </x:c>
      <x:c r="Z22" s="104" t="b">
        <x:v>0</x:v>
      </x:c>
      <x:c r="AA22" s="104" t="b">
        <x:v>0</x:v>
      </x:c>
      <x:c r="AB22" s="104" t="b">
        <x:v>0</x:v>
      </x:c>
      <x:c r="AC22" s="104" t="b">
        <x:v>0</x:v>
      </x:c>
      <x:c r="AD22" s="106" t="str">
        <x:v>BLOCKED_PENDING_VALIDATION</x:v>
      </x:c>
      <x:c r="AE22" s="97" t="str">
        <x:v>NOT_STARTED</x:v>
      </x:c>
      <x:c r="AF22" s="97" t="str">
        <x:v>Unassigned country-pack owner</x:v>
      </x:c>
      <x:c r="AG22" s="97" t="str">
        <x:v>SRC-CUS-001, SRC-CUS-005, SRC-CUS-007, SRC-DAT-001, SRC-POST-001, SRC-PRV-001</x:v>
      </x:c>
      <x:c r="AH22" s="97" t="str">
        <x:v>2026-07-25</x:v>
      </x:c>
      <x:c r="AI22" s="97" t="str">
        <x:v>2026-08-25</x:v>
      </x:c>
      <x:c r="AJ22" s="97" t="str">
        <x:v>Registry coverage only. Production readiness is capability-specific and requires the release checklist.</x:v>
      </x:c>
    </x:row>
    <x:row r="23" ht="54" customHeight="1">
      <x:c r="A23" s="99" t="str">
        <x:v>CP-BD</x:v>
      </x:c>
      <x:c r="B23" s="99" t="str">
        <x:v>Bangladesh</x:v>
      </x:c>
      <x:c r="C23" s="99" t="str">
        <x:v>BD</x:v>
      </x:c>
      <x:c r="D23" s="99" t="str">
        <x:v>BGD</x:v>
      </x:c>
      <x:c r="E23" s="99" t="str">
        <x:v>050</x:v>
      </x:c>
      <x:c r="F23" s="99" t="str">
        <x:v>ISO 3166-1 assigned</x:v>
      </x:c>
      <x:c r="G23" s="99" t="str">
        <x:v>Independent state</x:v>
      </x:c>
      <x:c r="H23" s="99" t="str">
        <x:v>Self-administered for pack indexing; legal status follows authoritative sources</x:v>
      </x:c>
      <x:c r="I23" s="99" t="str">
        <x:v>Asia</x:v>
      </x:c>
      <x:c r="J23" s="99" t="str">
        <x:v>Southern Asia</x:v>
      </x:c>
      <x:c r="K23" s="99" t="str">
        <x:v>National/territorial customs framework—local validation required</x:v>
      </x:c>
      <x:c r="L23" s="99" t="str">
        <x:v>UPU/operator contract, bilateral rules, EAD/message versions and serviceability must be validated</x:v>
      </x:c>
      <x:c r="M23" s="99" t="str">
        <x:v>ICAO state rules, PLACI regime, security status, carrier routing and serviceability must be validated</x:v>
      </x:c>
      <x:c r="N23" s="99" t="str">
        <x:v>Country-pack privacy law and transfer mechanism required</x:v>
      </x:c>
      <x:c r="O23" s="99" t="str">
        <x:v>Screen live lists for every applicable nexus; resolve ownership, sectoral, end-use and licence controls</x:v>
      </x:c>
      <x:c r="P23" s="99" t="str">
        <x:v>No static legal conclusion. Validate current national/territorial customs, tax, licensing, product, privacy and carrier sources before activation.</x:v>
      </x:c>
      <x:c r="Q23" s="99" t="str">
        <x:v>BLOCKED until tariff, prohibitions, documents and carrier services approved</x:v>
      </x:c>
      <x:c r="R23" s="99" t="str">
        <x:v>BLOCKED until ICAO/state/operator variations and certified review path approved</x:v>
      </x:c>
      <x:c r="S23" s="99" t="str">
        <x:v>BLOCKED until SPS/agency/temperature rules and external filing path approved</x:v>
      </x:c>
      <x:c r="T23" s="99" t="str">
        <x:v>BLOCKED until product/site/importer authorizations and quality path approved</x:v>
      </x:c>
      <x:c r="U23" s="99" t="str">
        <x:v>BLOCKED until excise/licences/age/carrier contract approved</x:v>
      </x:c>
      <x:c r="V23" s="99" t="str">
        <x:v>BLOCKED until classification/end-use/licensing and sanctions path approved</x:v>
      </x:c>
      <x:c r="W23" s="99" t="str">
        <x:v>BLOCKED until provenance/security/insurance/carrier limits approved</x:v>
      </x:c>
      <x:c r="X23" s="99" t="str">
        <x:v>BLOCKED until purpose, values, relief evidence and restrictions approved</x:v>
      </x:c>
      <x:c r="Y23" s="103" t="b">
        <x:v>0</x:v>
      </x:c>
      <x:c r="Z23" s="103" t="b">
        <x:v>0</x:v>
      </x:c>
      <x:c r="AA23" s="103" t="b">
        <x:v>0</x:v>
      </x:c>
      <x:c r="AB23" s="103" t="b">
        <x:v>0</x:v>
      </x:c>
      <x:c r="AC23" s="103" t="b">
        <x:v>0</x:v>
      </x:c>
      <x:c r="AD23" s="106" t="str">
        <x:v>BLOCKED_PENDING_VALIDATION</x:v>
      </x:c>
      <x:c r="AE23" s="99" t="str">
        <x:v>NOT_STARTED</x:v>
      </x:c>
      <x:c r="AF23" s="99" t="str">
        <x:v>Unassigned country-pack owner</x:v>
      </x:c>
      <x:c r="AG23" s="99" t="str">
        <x:v>SRC-CUS-001, SRC-CUS-005, SRC-CUS-007, SRC-DAT-001, SRC-POST-001, SRC-PRV-001</x:v>
      </x:c>
      <x:c r="AH23" s="99" t="str">
        <x:v>2026-07-25</x:v>
      </x:c>
      <x:c r="AI23" s="99" t="str">
        <x:v>2026-08-25</x:v>
      </x:c>
      <x:c r="AJ23" s="99" t="str">
        <x:v>Registry coverage only. Production readiness is capability-specific and requires the release checklist.</x:v>
      </x:c>
    </x:row>
    <x:row r="24" ht="54" customHeight="1">
      <x:c r="A24" s="97" t="str">
        <x:v>CP-BB</x:v>
      </x:c>
      <x:c r="B24" s="97" t="str">
        <x:v>Barbados</x:v>
      </x:c>
      <x:c r="C24" s="97" t="str">
        <x:v>BB</x:v>
      </x:c>
      <x:c r="D24" s="97" t="str">
        <x:v>BRB</x:v>
      </x:c>
      <x:c r="E24" s="97" t="str">
        <x:v>052</x:v>
      </x:c>
      <x:c r="F24" s="97" t="str">
        <x:v>ISO 3166-1 assigned</x:v>
      </x:c>
      <x:c r="G24" s="97" t="str">
        <x:v>Independent state</x:v>
      </x:c>
      <x:c r="H24" s="97" t="str">
        <x:v>Self-administered for pack indexing; legal status follows authoritative sources</x:v>
      </x:c>
      <x:c r="I24" s="97" t="str">
        <x:v>Americas</x:v>
      </x:c>
      <x:c r="J24" s="97" t="str">
        <x:v>Caribbean</x:v>
      </x:c>
      <x:c r="K24" s="97" t="str">
        <x:v>National/territorial customs framework—local validation required</x:v>
      </x:c>
      <x:c r="L24" s="97" t="str">
        <x:v>UPU/operator contract, bilateral rules, EAD/message versions and serviceability must be validated</x:v>
      </x:c>
      <x:c r="M24" s="97" t="str">
        <x:v>ICAO state rules, PLACI regime, security status, carrier routing and serviceability must be validated</x:v>
      </x:c>
      <x:c r="N24" s="97" t="str">
        <x:v>Country-pack privacy law and transfer mechanism required</x:v>
      </x:c>
      <x:c r="O24" s="97" t="str">
        <x:v>Screen live lists for every applicable nexus; resolve ownership, sectoral, end-use and licence controls</x:v>
      </x:c>
      <x:c r="P24" s="97" t="str">
        <x:v>No static legal conclusion. Validate current national/territorial customs, tax, licensing, product, privacy and carrier sources before activation.</x:v>
      </x:c>
      <x:c r="Q24" s="97" t="str">
        <x:v>BLOCKED until tariff, prohibitions, documents and carrier services approved</x:v>
      </x:c>
      <x:c r="R24" s="97" t="str">
        <x:v>BLOCKED until ICAO/state/operator variations and certified review path approved</x:v>
      </x:c>
      <x:c r="S24" s="97" t="str">
        <x:v>BLOCKED until SPS/agency/temperature rules and external filing path approved</x:v>
      </x:c>
      <x:c r="T24" s="97" t="str">
        <x:v>BLOCKED until product/site/importer authorizations and quality path approved</x:v>
      </x:c>
      <x:c r="U24" s="97" t="str">
        <x:v>BLOCKED until excise/licences/age/carrier contract approved</x:v>
      </x:c>
      <x:c r="V24" s="97" t="str">
        <x:v>BLOCKED until classification/end-use/licensing and sanctions path approved</x:v>
      </x:c>
      <x:c r="W24" s="97" t="str">
        <x:v>BLOCKED until provenance/security/insurance/carrier limits approved</x:v>
      </x:c>
      <x:c r="X24" s="97" t="str">
        <x:v>BLOCKED until purpose, values, relief evidence and restrictions approved</x:v>
      </x:c>
      <x:c r="Y24" s="104" t="b">
        <x:v>0</x:v>
      </x:c>
      <x:c r="Z24" s="104" t="b">
        <x:v>0</x:v>
      </x:c>
      <x:c r="AA24" s="104" t="b">
        <x:v>0</x:v>
      </x:c>
      <x:c r="AB24" s="104" t="b">
        <x:v>0</x:v>
      </x:c>
      <x:c r="AC24" s="104" t="b">
        <x:v>0</x:v>
      </x:c>
      <x:c r="AD24" s="106" t="str">
        <x:v>BLOCKED_PENDING_VALIDATION</x:v>
      </x:c>
      <x:c r="AE24" s="97" t="str">
        <x:v>NOT_STARTED</x:v>
      </x:c>
      <x:c r="AF24" s="97" t="str">
        <x:v>Unassigned country-pack owner</x:v>
      </x:c>
      <x:c r="AG24" s="97" t="str">
        <x:v>SRC-CUS-001, SRC-CUS-005, SRC-CUS-007, SRC-DAT-001, SRC-POST-001, SRC-PRV-001</x:v>
      </x:c>
      <x:c r="AH24" s="97" t="str">
        <x:v>2026-07-25</x:v>
      </x:c>
      <x:c r="AI24" s="97" t="str">
        <x:v>2026-08-25</x:v>
      </x:c>
      <x:c r="AJ24" s="97" t="str">
        <x:v>Registry coverage only. Production readiness is capability-specific and requires the release checklist.</x:v>
      </x:c>
    </x:row>
    <x:row r="25" ht="54" customHeight="1">
      <x:c r="A25" s="99" t="str">
        <x:v>CP-BY</x:v>
      </x:c>
      <x:c r="B25" s="99" t="str">
        <x:v>Belarus</x:v>
      </x:c>
      <x:c r="C25" s="99" t="str">
        <x:v>BY</x:v>
      </x:c>
      <x:c r="D25" s="99" t="str">
        <x:v>BLR</x:v>
      </x:c>
      <x:c r="E25" s="99" t="str">
        <x:v>112</x:v>
      </x:c>
      <x:c r="F25" s="99" t="str">
        <x:v>ISO 3166-1 assigned</x:v>
      </x:c>
      <x:c r="G25" s="99" t="str">
        <x:v>Independent state</x:v>
      </x:c>
      <x:c r="H25" s="99" t="str">
        <x:v>Self-administered for pack indexing; legal status follows authoritative sources</x:v>
      </x:c>
      <x:c r="I25" s="99" t="str">
        <x:v>Europe</x:v>
      </x:c>
      <x:c r="J25" s="99" t="str">
        <x:v>Eastern Europe</x:v>
      </x:c>
      <x:c r="K25" s="99" t="str">
        <x:v>EAEU member; national implementation and sanctions nexus required</x:v>
      </x:c>
      <x:c r="L25" s="99" t="str">
        <x:v>UPU/operator contract, bilateral rules, EAD/message versions and serviceability must be validated</x:v>
      </x:c>
      <x:c r="M25" s="99" t="str">
        <x:v>ICAO state rules, PLACI regime, security status, carrier routing and serviceability must be validated</x:v>
      </x:c>
      <x:c r="N25" s="99" t="str">
        <x:v>Country-pack privacy law and transfer mechanism required</x:v>
      </x:c>
      <x:c r="O25" s="99" t="str">
        <x:v>Screen live lists for every applicable nexus; resolve ownership, sectoral, end-use and licence controls</x:v>
      </x:c>
      <x:c r="P25" s="99" t="str">
        <x:v>No static legal conclusion. Validate current national/territorial customs, tax, licensing, product, privacy and carrier sources before activation.</x:v>
      </x:c>
      <x:c r="Q25" s="99" t="str">
        <x:v>BLOCKED until tariff, prohibitions, documents and carrier services approved</x:v>
      </x:c>
      <x:c r="R25" s="99" t="str">
        <x:v>BLOCKED until ICAO/state/operator variations and certified review path approved</x:v>
      </x:c>
      <x:c r="S25" s="99" t="str">
        <x:v>BLOCKED until SPS/agency/temperature rules and external filing path approved</x:v>
      </x:c>
      <x:c r="T25" s="99" t="str">
        <x:v>BLOCKED until product/site/importer authorizations and quality path approved</x:v>
      </x:c>
      <x:c r="U25" s="99" t="str">
        <x:v>BLOCKED until excise/licences/age/carrier contract approved</x:v>
      </x:c>
      <x:c r="V25" s="99" t="str">
        <x:v>BLOCKED until classification/end-use/licensing and sanctions path approved</x:v>
      </x:c>
      <x:c r="W25" s="99" t="str">
        <x:v>BLOCKED until provenance/security/insurance/carrier limits approved</x:v>
      </x:c>
      <x:c r="X25" s="99" t="str">
        <x:v>BLOCKED until purpose, values, relief evidence and restrictions approved</x:v>
      </x:c>
      <x:c r="Y25" s="103" t="b">
        <x:v>0</x:v>
      </x:c>
      <x:c r="Z25" s="103" t="b">
        <x:v>0</x:v>
      </x:c>
      <x:c r="AA25" s="103" t="b">
        <x:v>0</x:v>
      </x:c>
      <x:c r="AB25" s="103" t="b">
        <x:v>0</x:v>
      </x:c>
      <x:c r="AC25" s="103" t="b">
        <x:v>0</x:v>
      </x:c>
      <x:c r="AD25" s="106" t="str">
        <x:v>BLOCKED_PENDING_VALIDATION</x:v>
      </x:c>
      <x:c r="AE25" s="99" t="str">
        <x:v>NOT_STARTED</x:v>
      </x:c>
      <x:c r="AF25" s="99" t="str">
        <x:v>Unassigned country-pack owner</x:v>
      </x:c>
      <x:c r="AG25" s="99" t="str">
        <x:v>SRC-CUS-001, SRC-CUS-005, SRC-CUS-007, SRC-DAT-001, SRC-POST-001, SRC-PRV-001</x:v>
      </x:c>
      <x:c r="AH25" s="99" t="str">
        <x:v>2026-07-25</x:v>
      </x:c>
      <x:c r="AI25" s="99" t="str">
        <x:v>2026-08-25</x:v>
      </x:c>
      <x:c r="AJ25" s="99" t="str">
        <x:v>Registry coverage only. Production readiness is capability-specific and requires the release checklist.</x:v>
      </x:c>
    </x:row>
    <x:row r="26" ht="54" customHeight="1">
      <x:c r="A26" s="97" t="str">
        <x:v>CP-BE</x:v>
      </x:c>
      <x:c r="B26" s="97" t="str">
        <x:v>Belgium</x:v>
      </x:c>
      <x:c r="C26" s="97" t="str">
        <x:v>BE</x:v>
      </x:c>
      <x:c r="D26" s="97" t="str">
        <x:v>BEL</x:v>
      </x:c>
      <x:c r="E26" s="97" t="str">
        <x:v>056</x:v>
      </x:c>
      <x:c r="F26" s="97" t="str">
        <x:v>ISO 3166-1 assigned</x:v>
      </x:c>
      <x:c r="G26" s="97" t="str">
        <x:v>Independent state</x:v>
      </x:c>
      <x:c r="H26" s="97" t="str">
        <x:v>Self-administered for pack indexing; legal status follows authoritative sources</x:v>
      </x:c>
      <x:c r="I26" s="97" t="str">
        <x:v>Europe</x:v>
      </x:c>
      <x:c r="J26" s="97" t="str">
        <x:v>Western Europe</x:v>
      </x:c>
      <x:c r="K26" s="97" t="str">
        <x:v>EU customs framework; validate special fiscal/customs territory</x:v>
      </x:c>
      <x:c r="L26" s="97" t="str">
        <x:v>UPU/operator contract, bilateral rules, EAD/message versions and serviceability must be validated</x:v>
      </x:c>
      <x:c r="M26" s="97" t="str">
        <x:v>ICAO state rules, PLACI regime, security status, carrier routing and serviceability must be validated</x:v>
      </x:c>
      <x:c r="N26" s="97" t="str">
        <x:v>GDPR/EEA transfer controls; local supplements</x:v>
      </x:c>
      <x:c r="O26" s="97" t="str">
        <x:v>Screen live lists for every applicable nexus; resolve ownership, sectoral, end-use and licence controls</x:v>
      </x:c>
      <x:c r="P26" s="97" t="str">
        <x:v>EU baseline: ICS2/ENS and current low-value/VAT rules; member and special-territory validation still required.</x:v>
      </x:c>
      <x:c r="Q26" s="97" t="str">
        <x:v>BLOCKED until tariff, prohibitions, documents and carrier services approved</x:v>
      </x:c>
      <x:c r="R26" s="97" t="str">
        <x:v>BLOCKED until ICAO/state/operator variations and certified review path approved</x:v>
      </x:c>
      <x:c r="S26" s="97" t="str">
        <x:v>BLOCKED until SPS/agency/temperature rules and external filing path approved</x:v>
      </x:c>
      <x:c r="T26" s="97" t="str">
        <x:v>BLOCKED until product/site/importer authorizations and quality path approved</x:v>
      </x:c>
      <x:c r="U26" s="97" t="str">
        <x:v>BLOCKED until excise/licences/age/carrier contract approved</x:v>
      </x:c>
      <x:c r="V26" s="97" t="str">
        <x:v>BLOCKED until classification/end-use/licensing and sanctions path approved</x:v>
      </x:c>
      <x:c r="W26" s="97" t="str">
        <x:v>BLOCKED until provenance/security/insurance/carrier limits approved</x:v>
      </x:c>
      <x:c r="X26" s="97" t="str">
        <x:v>BLOCKED until purpose, values, relief evidence and restrictions approved</x:v>
      </x:c>
      <x:c r="Y26" s="104" t="b">
        <x:v>0</x:v>
      </x:c>
      <x:c r="Z26" s="104" t="b">
        <x:v>0</x:v>
      </x:c>
      <x:c r="AA26" s="104" t="b">
        <x:v>0</x:v>
      </x:c>
      <x:c r="AB26" s="104" t="b">
        <x:v>0</x:v>
      </x:c>
      <x:c r="AC26" s="104" t="b">
        <x:v>0</x:v>
      </x:c>
      <x:c r="AD26" s="106" t="str">
        <x:v>BLOCKED_PENDING_VALIDATION</x:v>
      </x:c>
      <x:c r="AE26" s="97" t="str">
        <x:v>NOT_STARTED</x:v>
      </x:c>
      <x:c r="AF26" s="97" t="str">
        <x:v>Unassigned country-pack owner</x:v>
      </x:c>
      <x:c r="AG26" s="97" t="str">
        <x:v>SRC-CUS-001, SRC-CUS-005, SRC-CUS-007, SRC-DAT-001, SRC-POST-001, SRC-PRV-001, SRC-EU-001, SRC-EU-002, SRC-EU-003, SRC-EU-004, SRC-PRV-002</x:v>
      </x:c>
      <x:c r="AH26" s="97" t="str">
        <x:v>2026-07-25</x:v>
      </x:c>
      <x:c r="AI26" s="97" t="str">
        <x:v>2026-08-25</x:v>
      </x:c>
      <x:c r="AJ26" s="97" t="str">
        <x:v>Registry coverage only. Production readiness is capability-specific and requires the release checklist.</x:v>
      </x:c>
    </x:row>
    <x:row r="27" ht="54" customHeight="1">
      <x:c r="A27" s="99" t="str">
        <x:v>CP-BZ</x:v>
      </x:c>
      <x:c r="B27" s="99" t="str">
        <x:v>Belize</x:v>
      </x:c>
      <x:c r="C27" s="99" t="str">
        <x:v>BZ</x:v>
      </x:c>
      <x:c r="D27" s="99" t="str">
        <x:v>BLZ</x:v>
      </x:c>
      <x:c r="E27" s="99" t="str">
        <x:v>084</x:v>
      </x:c>
      <x:c r="F27" s="99" t="str">
        <x:v>ISO 3166-1 assigned</x:v>
      </x:c>
      <x:c r="G27" s="99" t="str">
        <x:v>Independent state</x:v>
      </x:c>
      <x:c r="H27" s="99" t="str">
        <x:v>Self-administered for pack indexing; legal status follows authoritative sources</x:v>
      </x:c>
      <x:c r="I27" s="99" t="str">
        <x:v>Americas</x:v>
      </x:c>
      <x:c r="J27" s="99" t="str">
        <x:v>Central America</x:v>
      </x:c>
      <x:c r="K27" s="99" t="str">
        <x:v>National/territorial customs framework—local validation required</x:v>
      </x:c>
      <x:c r="L27" s="99" t="str">
        <x:v>UPU/operator contract, bilateral rules, EAD/message versions and serviceability must be validated</x:v>
      </x:c>
      <x:c r="M27" s="99" t="str">
        <x:v>ICAO state rules, PLACI regime, security status, carrier routing and serviceability must be validated</x:v>
      </x:c>
      <x:c r="N27" s="99" t="str">
        <x:v>Country-pack privacy law and transfer mechanism required</x:v>
      </x:c>
      <x:c r="O27" s="99" t="str">
        <x:v>Screen live lists for every applicable nexus; resolve ownership, sectoral, end-use and licence controls</x:v>
      </x:c>
      <x:c r="P27" s="99" t="str">
        <x:v>No static legal conclusion. Validate current national/territorial customs, tax, licensing, product, privacy and carrier sources before activation.</x:v>
      </x:c>
      <x:c r="Q27" s="99" t="str">
        <x:v>BLOCKED until tariff, prohibitions, documents and carrier services approved</x:v>
      </x:c>
      <x:c r="R27" s="99" t="str">
        <x:v>BLOCKED until ICAO/state/operator variations and certified review path approved</x:v>
      </x:c>
      <x:c r="S27" s="99" t="str">
        <x:v>BLOCKED until SPS/agency/temperature rules and external filing path approved</x:v>
      </x:c>
      <x:c r="T27" s="99" t="str">
        <x:v>BLOCKED until product/site/importer authorizations and quality path approved</x:v>
      </x:c>
      <x:c r="U27" s="99" t="str">
        <x:v>BLOCKED until excise/licences/age/carrier contract approved</x:v>
      </x:c>
      <x:c r="V27" s="99" t="str">
        <x:v>BLOCKED until classification/end-use/licensing and sanctions path approved</x:v>
      </x:c>
      <x:c r="W27" s="99" t="str">
        <x:v>BLOCKED until provenance/security/insurance/carrier limits approved</x:v>
      </x:c>
      <x:c r="X27" s="99" t="str">
        <x:v>BLOCKED until purpose, values, relief evidence and restrictions approved</x:v>
      </x:c>
      <x:c r="Y27" s="103" t="b">
        <x:v>0</x:v>
      </x:c>
      <x:c r="Z27" s="103" t="b">
        <x:v>0</x:v>
      </x:c>
      <x:c r="AA27" s="103" t="b">
        <x:v>0</x:v>
      </x:c>
      <x:c r="AB27" s="103" t="b">
        <x:v>0</x:v>
      </x:c>
      <x:c r="AC27" s="103" t="b">
        <x:v>0</x:v>
      </x:c>
      <x:c r="AD27" s="106" t="str">
        <x:v>BLOCKED_PENDING_VALIDATION</x:v>
      </x:c>
      <x:c r="AE27" s="99" t="str">
        <x:v>NOT_STARTED</x:v>
      </x:c>
      <x:c r="AF27" s="99" t="str">
        <x:v>Unassigned country-pack owner</x:v>
      </x:c>
      <x:c r="AG27" s="99" t="str">
        <x:v>SRC-CUS-001, SRC-CUS-005, SRC-CUS-007, SRC-DAT-001, SRC-POST-001, SRC-PRV-001</x:v>
      </x:c>
      <x:c r="AH27" s="99" t="str">
        <x:v>2026-07-25</x:v>
      </x:c>
      <x:c r="AI27" s="99" t="str">
        <x:v>2026-08-25</x:v>
      </x:c>
      <x:c r="AJ27" s="99" t="str">
        <x:v>Registry coverage only. Production readiness is capability-specific and requires the release checklist.</x:v>
      </x:c>
    </x:row>
    <x:row r="28" ht="54" customHeight="1">
      <x:c r="A28" s="97" t="str">
        <x:v>CP-BJ</x:v>
      </x:c>
      <x:c r="B28" s="97" t="str">
        <x:v>Benin</x:v>
      </x:c>
      <x:c r="C28" s="97" t="str">
        <x:v>BJ</x:v>
      </x:c>
      <x:c r="D28" s="97" t="str">
        <x:v>BEN</x:v>
      </x:c>
      <x:c r="E28" s="97" t="str">
        <x:v>204</x:v>
      </x:c>
      <x:c r="F28" s="97" t="str">
        <x:v>ISO 3166-1 assigned</x:v>
      </x:c>
      <x:c r="G28" s="97" t="str">
        <x:v>Independent state</x:v>
      </x:c>
      <x:c r="H28" s="97" t="str">
        <x:v>Self-administered for pack indexing; legal status follows authoritative sources</x:v>
      </x:c>
      <x:c r="I28" s="97" t="str">
        <x:v>Africa</x:v>
      </x:c>
      <x:c r="J28" s="97" t="str">
        <x:v>Western Africa</x:v>
      </x:c>
      <x:c r="K28" s="97" t="str">
        <x:v>National/territorial customs framework—local validation required</x:v>
      </x:c>
      <x:c r="L28" s="97" t="str">
        <x:v>UPU/operator contract, bilateral rules, EAD/message versions and serviceability must be validated</x:v>
      </x:c>
      <x:c r="M28" s="97" t="str">
        <x:v>ICAO state rules, PLACI regime, security status, carrier routing and serviceability must be validated</x:v>
      </x:c>
      <x:c r="N28" s="97" t="str">
        <x:v>Country-pack privacy law and transfer mechanism required</x:v>
      </x:c>
      <x:c r="O28" s="97" t="str">
        <x:v>Screen live lists for every applicable nexus; resolve ownership, sectoral, end-use and licence controls</x:v>
      </x:c>
      <x:c r="P28" s="97" t="str">
        <x:v>No static legal conclusion. Validate current national/territorial customs, tax, licensing, product, privacy and carrier sources before activation.</x:v>
      </x:c>
      <x:c r="Q28" s="97" t="str">
        <x:v>BLOCKED until tariff, prohibitions, documents and carrier services approved</x:v>
      </x:c>
      <x:c r="R28" s="97" t="str">
        <x:v>BLOCKED until ICAO/state/operator variations and certified review path approved</x:v>
      </x:c>
      <x:c r="S28" s="97" t="str">
        <x:v>BLOCKED until SPS/agency/temperature rules and external filing path approved</x:v>
      </x:c>
      <x:c r="T28" s="97" t="str">
        <x:v>BLOCKED until product/site/importer authorizations and quality path approved</x:v>
      </x:c>
      <x:c r="U28" s="97" t="str">
        <x:v>BLOCKED until excise/licences/age/carrier contract approved</x:v>
      </x:c>
      <x:c r="V28" s="97" t="str">
        <x:v>BLOCKED until classification/end-use/licensing and sanctions path approved</x:v>
      </x:c>
      <x:c r="W28" s="97" t="str">
        <x:v>BLOCKED until provenance/security/insurance/carrier limits approved</x:v>
      </x:c>
      <x:c r="X28" s="97" t="str">
        <x:v>BLOCKED until purpose, values, relief evidence and restrictions approved</x:v>
      </x:c>
      <x:c r="Y28" s="104" t="b">
        <x:v>0</x:v>
      </x:c>
      <x:c r="Z28" s="104" t="b">
        <x:v>0</x:v>
      </x:c>
      <x:c r="AA28" s="104" t="b">
        <x:v>0</x:v>
      </x:c>
      <x:c r="AB28" s="104" t="b">
        <x:v>0</x:v>
      </x:c>
      <x:c r="AC28" s="104" t="b">
        <x:v>0</x:v>
      </x:c>
      <x:c r="AD28" s="106" t="str">
        <x:v>BLOCKED_PENDING_VALIDATION</x:v>
      </x:c>
      <x:c r="AE28" s="97" t="str">
        <x:v>NOT_STARTED</x:v>
      </x:c>
      <x:c r="AF28" s="97" t="str">
        <x:v>Unassigned country-pack owner</x:v>
      </x:c>
      <x:c r="AG28" s="97" t="str">
        <x:v>SRC-CUS-001, SRC-CUS-005, SRC-CUS-007, SRC-DAT-001, SRC-POST-001, SRC-PRV-001</x:v>
      </x:c>
      <x:c r="AH28" s="97" t="str">
        <x:v>2026-07-25</x:v>
      </x:c>
      <x:c r="AI28" s="97" t="str">
        <x:v>2026-08-25</x:v>
      </x:c>
      <x:c r="AJ28" s="97" t="str">
        <x:v>Registry coverage only. Production readiness is capability-specific and requires the release checklist.</x:v>
      </x:c>
    </x:row>
    <x:row r="29" ht="54" customHeight="1">
      <x:c r="A29" s="99" t="str">
        <x:v>CP-BM</x:v>
      </x:c>
      <x:c r="B29" s="99" t="str">
        <x:v>Bermuda</x:v>
      </x:c>
      <x:c r="C29" s="99" t="str">
        <x:v>BM</x:v>
      </x:c>
      <x:c r="D29" s="99" t="str">
        <x:v>BMU</x:v>
      </x:c>
      <x:c r="E29" s="99" t="str">
        <x:v>060</x:v>
      </x:c>
      <x:c r="F29" s="99" t="str">
        <x:v>ISO 3166-1 assigned</x:v>
      </x:c>
      <x:c r="G29" s="99" t="str">
        <x:v>Territory, dependency or special-area record</x:v>
      </x:c>
      <x:c r="H29" s="99" t="str">
        <x:v>United Kingdom</x:v>
      </x:c>
      <x:c r="I29" s="99" t="str">
        <x:v>Americas</x:v>
      </x:c>
      <x:c r="J29" s="99" t="str">
        <x:v>North America</x:v>
      </x:c>
      <x:c r="K29" s="99" t="str">
        <x:v>National/territorial customs framework—local validation required</x:v>
      </x:c>
      <x:c r="L29" s="99" t="str">
        <x:v>UPU/operator contract, bilateral rules, EAD/message versions and serviceability must be validated</x:v>
      </x:c>
      <x:c r="M29" s="99" t="str">
        <x:v>ICAO state rules, PLACI regime, security status, carrier routing and serviceability must be validated</x:v>
      </x:c>
      <x:c r="N29" s="99" t="str">
        <x:v>Country-pack privacy law and transfer mechanism required</x:v>
      </x:c>
      <x:c r="O29" s="99" t="str">
        <x:v>Screen live lists for every applicable nexus; resolve ownership, sectoral, end-use and licence controls</x:v>
      </x:c>
      <x:c r="P29" s="99" t="str">
        <x:v>No static legal conclusion. Validate current national/territorial customs, tax, licensing, product, privacy and carrier sources before activation.</x:v>
      </x:c>
      <x:c r="Q29" s="99" t="str">
        <x:v>BLOCKED until tariff, prohibitions, documents and carrier services approved</x:v>
      </x:c>
      <x:c r="R29" s="99" t="str">
        <x:v>BLOCKED until ICAO/state/operator variations and certified review path approved</x:v>
      </x:c>
      <x:c r="S29" s="99" t="str">
        <x:v>BLOCKED until SPS/agency/temperature rules and external filing path approved</x:v>
      </x:c>
      <x:c r="T29" s="99" t="str">
        <x:v>BLOCKED until product/site/importer authorizations and quality path approved</x:v>
      </x:c>
      <x:c r="U29" s="99" t="str">
        <x:v>BLOCKED until excise/licences/age/carrier contract approved</x:v>
      </x:c>
      <x:c r="V29" s="99" t="str">
        <x:v>BLOCKED until classification/end-use/licensing and sanctions path approved</x:v>
      </x:c>
      <x:c r="W29" s="99" t="str">
        <x:v>BLOCKED until provenance/security/insurance/carrier limits approved</x:v>
      </x:c>
      <x:c r="X29" s="99" t="str">
        <x:v>BLOCKED until purpose, values, relief evidence and restrictions approved</x:v>
      </x:c>
      <x:c r="Y29" s="103" t="b">
        <x:v>0</x:v>
      </x:c>
      <x:c r="Z29" s="103" t="b">
        <x:v>0</x:v>
      </x:c>
      <x:c r="AA29" s="103" t="b">
        <x:v>0</x:v>
      </x:c>
      <x:c r="AB29" s="103" t="b">
        <x:v>0</x:v>
      </x:c>
      <x:c r="AC29" s="103" t="b">
        <x:v>0</x:v>
      </x:c>
      <x:c r="AD29" s="106" t="str">
        <x:v>BLOCKED_PENDING_VALIDATION</x:v>
      </x:c>
      <x:c r="AE29" s="99" t="str">
        <x:v>NOT_STARTED</x:v>
      </x:c>
      <x:c r="AF29" s="99" t="str">
        <x:v>Unassigned country-pack owner</x:v>
      </x:c>
      <x:c r="AG29" s="99" t="str">
        <x:v>SRC-CUS-001, SRC-CUS-005, SRC-CUS-007, SRC-DAT-001, SRC-POST-001, SRC-PRV-001</x:v>
      </x:c>
      <x:c r="AH29" s="99" t="str">
        <x:v>2026-07-25</x:v>
      </x:c>
      <x:c r="AI29" s="99" t="str">
        <x:v>2026-08-25</x:v>
      </x:c>
      <x:c r="AJ29" s="99" t="str">
        <x:v>Registry coverage only. Production readiness is capability-specific and requires the release checklist.</x:v>
      </x:c>
    </x:row>
    <x:row r="30" ht="54" customHeight="1">
      <x:c r="A30" s="97" t="str">
        <x:v>CP-BT</x:v>
      </x:c>
      <x:c r="B30" s="97" t="str">
        <x:v>Bhutan</x:v>
      </x:c>
      <x:c r="C30" s="97" t="str">
        <x:v>BT</x:v>
      </x:c>
      <x:c r="D30" s="97" t="str">
        <x:v>BTN</x:v>
      </x:c>
      <x:c r="E30" s="97" t="str">
        <x:v>064</x:v>
      </x:c>
      <x:c r="F30" s="97" t="str">
        <x:v>ISO 3166-1 assigned</x:v>
      </x:c>
      <x:c r="G30" s="97" t="str">
        <x:v>Independent state</x:v>
      </x:c>
      <x:c r="H30" s="97" t="str">
        <x:v>Self-administered for pack indexing; legal status follows authoritative sources</x:v>
      </x:c>
      <x:c r="I30" s="97" t="str">
        <x:v>Asia</x:v>
      </x:c>
      <x:c r="J30" s="97" t="str">
        <x:v>Southern Asia</x:v>
      </x:c>
      <x:c r="K30" s="97" t="str">
        <x:v>National/territorial customs framework—local validation required</x:v>
      </x:c>
      <x:c r="L30" s="97" t="str">
        <x:v>UPU/operator contract, bilateral rules, EAD/message versions and serviceability must be validated</x:v>
      </x:c>
      <x:c r="M30" s="97" t="str">
        <x:v>ICAO state rules, PLACI regime, security status, carrier routing and serviceability must be validated</x:v>
      </x:c>
      <x:c r="N30" s="97" t="str">
        <x:v>Country-pack privacy law and transfer mechanism required</x:v>
      </x:c>
      <x:c r="O30" s="97" t="str">
        <x:v>Screen live lists for every applicable nexus; resolve ownership, sectoral, end-use and licence controls</x:v>
      </x:c>
      <x:c r="P30" s="97" t="str">
        <x:v>No static legal conclusion. Validate current national/territorial customs, tax, licensing, product, privacy and carrier sources before activation.</x:v>
      </x:c>
      <x:c r="Q30" s="97" t="str">
        <x:v>BLOCKED until tariff, prohibitions, documents and carrier services approved</x:v>
      </x:c>
      <x:c r="R30" s="97" t="str">
        <x:v>BLOCKED until ICAO/state/operator variations and certified review path approved</x:v>
      </x:c>
      <x:c r="S30" s="97" t="str">
        <x:v>BLOCKED until SPS/agency/temperature rules and external filing path approved</x:v>
      </x:c>
      <x:c r="T30" s="97" t="str">
        <x:v>BLOCKED until product/site/importer authorizations and quality path approved</x:v>
      </x:c>
      <x:c r="U30" s="97" t="str">
        <x:v>BLOCKED until excise/licences/age/carrier contract approved</x:v>
      </x:c>
      <x:c r="V30" s="97" t="str">
        <x:v>BLOCKED until classification/end-use/licensing and sanctions path approved</x:v>
      </x:c>
      <x:c r="W30" s="97" t="str">
        <x:v>BLOCKED until provenance/security/insurance/carrier limits approved</x:v>
      </x:c>
      <x:c r="X30" s="97" t="str">
        <x:v>BLOCKED until purpose, values, relief evidence and restrictions approved</x:v>
      </x:c>
      <x:c r="Y30" s="104" t="b">
        <x:v>0</x:v>
      </x:c>
      <x:c r="Z30" s="104" t="b">
        <x:v>0</x:v>
      </x:c>
      <x:c r="AA30" s="104" t="b">
        <x:v>0</x:v>
      </x:c>
      <x:c r="AB30" s="104" t="b">
        <x:v>0</x:v>
      </x:c>
      <x:c r="AC30" s="104" t="b">
        <x:v>0</x:v>
      </x:c>
      <x:c r="AD30" s="106" t="str">
        <x:v>BLOCKED_PENDING_VALIDATION</x:v>
      </x:c>
      <x:c r="AE30" s="97" t="str">
        <x:v>NOT_STARTED</x:v>
      </x:c>
      <x:c r="AF30" s="97" t="str">
        <x:v>Unassigned country-pack owner</x:v>
      </x:c>
      <x:c r="AG30" s="97" t="str">
        <x:v>SRC-CUS-001, SRC-CUS-005, SRC-CUS-007, SRC-DAT-001, SRC-POST-001, SRC-PRV-001</x:v>
      </x:c>
      <x:c r="AH30" s="97" t="str">
        <x:v>2026-07-25</x:v>
      </x:c>
      <x:c r="AI30" s="97" t="str">
        <x:v>2026-08-25</x:v>
      </x:c>
      <x:c r="AJ30" s="97" t="str">
        <x:v>Registry coverage only. Production readiness is capability-specific and requires the release checklist.</x:v>
      </x:c>
    </x:row>
    <x:row r="31" ht="54" customHeight="1">
      <x:c r="A31" s="99" t="str">
        <x:v>CP-BO</x:v>
      </x:c>
      <x:c r="B31" s="99" t="str">
        <x:v>Bolivia</x:v>
      </x:c>
      <x:c r="C31" s="99" t="str">
        <x:v>BO</x:v>
      </x:c>
      <x:c r="D31" s="99" t="str">
        <x:v>BOL</x:v>
      </x:c>
      <x:c r="E31" s="99" t="str">
        <x:v>068</x:v>
      </x:c>
      <x:c r="F31" s="99" t="str">
        <x:v>ISO 3166-1 assigned</x:v>
      </x:c>
      <x:c r="G31" s="99" t="str">
        <x:v>Independent state</x:v>
      </x:c>
      <x:c r="H31" s="99" t="str">
        <x:v>Self-administered for pack indexing; legal status follows authoritative sources</x:v>
      </x:c>
      <x:c r="I31" s="99" t="str">
        <x:v>Americas</x:v>
      </x:c>
      <x:c r="J31" s="99" t="str">
        <x:v>South America</x:v>
      </x:c>
      <x:c r="K31" s="99" t="str">
        <x:v>National/territorial customs framework—local validation required</x:v>
      </x:c>
      <x:c r="L31" s="99" t="str">
        <x:v>UPU/operator contract, bilateral rules, EAD/message versions and serviceability must be validated</x:v>
      </x:c>
      <x:c r="M31" s="99" t="str">
        <x:v>ICAO state rules, PLACI regime, security status, carrier routing and serviceability must be validated</x:v>
      </x:c>
      <x:c r="N31" s="99" t="str">
        <x:v>Country-pack privacy law and transfer mechanism required</x:v>
      </x:c>
      <x:c r="O31" s="99" t="str">
        <x:v>Screen live lists for every applicable nexus; resolve ownership, sectoral, end-use and licence controls</x:v>
      </x:c>
      <x:c r="P31" s="99" t="str">
        <x:v>No static legal conclusion. Validate current national/territorial customs, tax, licensing, product, privacy and carrier sources before activation.</x:v>
      </x:c>
      <x:c r="Q31" s="99" t="str">
        <x:v>BLOCKED until tariff, prohibitions, documents and carrier services approved</x:v>
      </x:c>
      <x:c r="R31" s="99" t="str">
        <x:v>BLOCKED until ICAO/state/operator variations and certified review path approved</x:v>
      </x:c>
      <x:c r="S31" s="99" t="str">
        <x:v>BLOCKED until SPS/agency/temperature rules and external filing path approved</x:v>
      </x:c>
      <x:c r="T31" s="99" t="str">
        <x:v>BLOCKED until product/site/importer authorizations and quality path approved</x:v>
      </x:c>
      <x:c r="U31" s="99" t="str">
        <x:v>BLOCKED until excise/licences/age/carrier contract approved</x:v>
      </x:c>
      <x:c r="V31" s="99" t="str">
        <x:v>BLOCKED until classification/end-use/licensing and sanctions path approved</x:v>
      </x:c>
      <x:c r="W31" s="99" t="str">
        <x:v>BLOCKED until provenance/security/insurance/carrier limits approved</x:v>
      </x:c>
      <x:c r="X31" s="99" t="str">
        <x:v>BLOCKED until purpose, values, relief evidence and restrictions approved</x:v>
      </x:c>
      <x:c r="Y31" s="103" t="b">
        <x:v>0</x:v>
      </x:c>
      <x:c r="Z31" s="103" t="b">
        <x:v>0</x:v>
      </x:c>
      <x:c r="AA31" s="103" t="b">
        <x:v>0</x:v>
      </x:c>
      <x:c r="AB31" s="103" t="b">
        <x:v>0</x:v>
      </x:c>
      <x:c r="AC31" s="103" t="b">
        <x:v>0</x:v>
      </x:c>
      <x:c r="AD31" s="106" t="str">
        <x:v>BLOCKED_PENDING_VALIDATION</x:v>
      </x:c>
      <x:c r="AE31" s="99" t="str">
        <x:v>NOT_STARTED</x:v>
      </x:c>
      <x:c r="AF31" s="99" t="str">
        <x:v>Unassigned country-pack owner</x:v>
      </x:c>
      <x:c r="AG31" s="99" t="str">
        <x:v>SRC-CUS-001, SRC-CUS-005, SRC-CUS-007, SRC-DAT-001, SRC-POST-001, SRC-PRV-001</x:v>
      </x:c>
      <x:c r="AH31" s="99" t="str">
        <x:v>2026-07-25</x:v>
      </x:c>
      <x:c r="AI31" s="99" t="str">
        <x:v>2026-08-25</x:v>
      </x:c>
      <x:c r="AJ31" s="99" t="str">
        <x:v>Registry coverage only. Production readiness is capability-specific and requires the release checklist.</x:v>
      </x:c>
    </x:row>
    <x:row r="32" ht="54" customHeight="1">
      <x:c r="A32" s="97" t="str">
        <x:v>CP-BA</x:v>
      </x:c>
      <x:c r="B32" s="97" t="str">
        <x:v>Bosnia and Herzegovina</x:v>
      </x:c>
      <x:c r="C32" s="97" t="str">
        <x:v>BA</x:v>
      </x:c>
      <x:c r="D32" s="97" t="str">
        <x:v>BIH</x:v>
      </x:c>
      <x:c r="E32" s="97" t="str">
        <x:v>070</x:v>
      </x:c>
      <x:c r="F32" s="97" t="str">
        <x:v>ISO 3166-1 assigned</x:v>
      </x:c>
      <x:c r="G32" s="97" t="str">
        <x:v>Independent state</x:v>
      </x:c>
      <x:c r="H32" s="97" t="str">
        <x:v>Self-administered for pack indexing; legal status follows authoritative sources</x:v>
      </x:c>
      <x:c r="I32" s="97" t="str">
        <x:v>Europe</x:v>
      </x:c>
      <x:c r="J32" s="97" t="str">
        <x:v>Southeast Europe</x:v>
      </x:c>
      <x:c r="K32" s="97" t="str">
        <x:v>National/territorial customs framework—local validation required</x:v>
      </x:c>
      <x:c r="L32" s="97" t="str">
        <x:v>UPU/operator contract, bilateral rules, EAD/message versions and serviceability must be validated</x:v>
      </x:c>
      <x:c r="M32" s="97" t="str">
        <x:v>ICAO state rules, PLACI regime, security status, carrier routing and serviceability must be validated</x:v>
      </x:c>
      <x:c r="N32" s="97" t="str">
        <x:v>Country-pack privacy law and transfer mechanism required</x:v>
      </x:c>
      <x:c r="O32" s="97" t="str">
        <x:v>Screen live lists for every applicable nexus; resolve ownership, sectoral, end-use and licence controls</x:v>
      </x:c>
      <x:c r="P32" s="97" t="str">
        <x:v>No static legal conclusion. Validate current national/territorial customs, tax, licensing, product, privacy and carrier sources before activation.</x:v>
      </x:c>
      <x:c r="Q32" s="97" t="str">
        <x:v>BLOCKED until tariff, prohibitions, documents and carrier services approved</x:v>
      </x:c>
      <x:c r="R32" s="97" t="str">
        <x:v>BLOCKED until ICAO/state/operator variations and certified review path approved</x:v>
      </x:c>
      <x:c r="S32" s="97" t="str">
        <x:v>BLOCKED until SPS/agency/temperature rules and external filing path approved</x:v>
      </x:c>
      <x:c r="T32" s="97" t="str">
        <x:v>BLOCKED until product/site/importer authorizations and quality path approved</x:v>
      </x:c>
      <x:c r="U32" s="97" t="str">
        <x:v>BLOCKED until excise/licences/age/carrier contract approved</x:v>
      </x:c>
      <x:c r="V32" s="97" t="str">
        <x:v>BLOCKED until classification/end-use/licensing and sanctions path approved</x:v>
      </x:c>
      <x:c r="W32" s="97" t="str">
        <x:v>BLOCKED until provenance/security/insurance/carrier limits approved</x:v>
      </x:c>
      <x:c r="X32" s="97" t="str">
        <x:v>BLOCKED until purpose, values, relief evidence and restrictions approved</x:v>
      </x:c>
      <x:c r="Y32" s="104" t="b">
        <x:v>0</x:v>
      </x:c>
      <x:c r="Z32" s="104" t="b">
        <x:v>0</x:v>
      </x:c>
      <x:c r="AA32" s="104" t="b">
        <x:v>0</x:v>
      </x:c>
      <x:c r="AB32" s="104" t="b">
        <x:v>0</x:v>
      </x:c>
      <x:c r="AC32" s="104" t="b">
        <x:v>0</x:v>
      </x:c>
      <x:c r="AD32" s="106" t="str">
        <x:v>BLOCKED_PENDING_VALIDATION</x:v>
      </x:c>
      <x:c r="AE32" s="97" t="str">
        <x:v>NOT_STARTED</x:v>
      </x:c>
      <x:c r="AF32" s="97" t="str">
        <x:v>Unassigned country-pack owner</x:v>
      </x:c>
      <x:c r="AG32" s="97" t="str">
        <x:v>SRC-CUS-001, SRC-CUS-005, SRC-CUS-007, SRC-DAT-001, SRC-POST-001, SRC-PRV-001</x:v>
      </x:c>
      <x:c r="AH32" s="97" t="str">
        <x:v>2026-07-25</x:v>
      </x:c>
      <x:c r="AI32" s="97" t="str">
        <x:v>2026-08-25</x:v>
      </x:c>
      <x:c r="AJ32" s="97" t="str">
        <x:v>Registry coverage only. Production readiness is capability-specific and requires the release checklist.</x:v>
      </x:c>
    </x:row>
    <x:row r="33" ht="54" customHeight="1">
      <x:c r="A33" s="99" t="str">
        <x:v>CP-BW</x:v>
      </x:c>
      <x:c r="B33" s="99" t="str">
        <x:v>Botswana</x:v>
      </x:c>
      <x:c r="C33" s="99" t="str">
        <x:v>BW</x:v>
      </x:c>
      <x:c r="D33" s="99" t="str">
        <x:v>BWA</x:v>
      </x:c>
      <x:c r="E33" s="99" t="str">
        <x:v>072</x:v>
      </x:c>
      <x:c r="F33" s="99" t="str">
        <x:v>ISO 3166-1 assigned</x:v>
      </x:c>
      <x:c r="G33" s="99" t="str">
        <x:v>Independent state</x:v>
      </x:c>
      <x:c r="H33" s="99" t="str">
        <x:v>Self-administered for pack indexing; legal status follows authoritative sources</x:v>
      </x:c>
      <x:c r="I33" s="99" t="str">
        <x:v>Africa</x:v>
      </x:c>
      <x:c r="J33" s="99" t="str">
        <x:v>Southern Africa</x:v>
      </x:c>
      <x:c r="K33" s="99" t="str">
        <x:v>SACU member; national VAT/import controls required</x:v>
      </x:c>
      <x:c r="L33" s="99" t="str">
        <x:v>UPU/operator contract, bilateral rules, EAD/message versions and serviceability must be validated</x:v>
      </x:c>
      <x:c r="M33" s="99" t="str">
        <x:v>ICAO state rules, PLACI regime, security status, carrier routing and serviceability must be validated</x:v>
      </x:c>
      <x:c r="N33" s="99" t="str">
        <x:v>Country-pack privacy law and transfer mechanism required</x:v>
      </x:c>
      <x:c r="O33" s="99" t="str">
        <x:v>Screen live lists for every applicable nexus; resolve ownership, sectoral, end-use and licence controls</x:v>
      </x:c>
      <x:c r="P33" s="99" t="str">
        <x:v>No static legal conclusion. Validate current national/territorial customs, tax, licensing, product, privacy and carrier sources before activation.</x:v>
      </x:c>
      <x:c r="Q33" s="99" t="str">
        <x:v>BLOCKED until tariff, prohibitions, documents and carrier services approved</x:v>
      </x:c>
      <x:c r="R33" s="99" t="str">
        <x:v>BLOCKED until ICAO/state/operator variations and certified review path approved</x:v>
      </x:c>
      <x:c r="S33" s="99" t="str">
        <x:v>BLOCKED until SPS/agency/temperature rules and external filing path approved</x:v>
      </x:c>
      <x:c r="T33" s="99" t="str">
        <x:v>BLOCKED until product/site/importer authorizations and quality path approved</x:v>
      </x:c>
      <x:c r="U33" s="99" t="str">
        <x:v>BLOCKED until excise/licences/age/carrier contract approved</x:v>
      </x:c>
      <x:c r="V33" s="99" t="str">
        <x:v>BLOCKED until classification/end-use/licensing and sanctions path approved</x:v>
      </x:c>
      <x:c r="W33" s="99" t="str">
        <x:v>BLOCKED until provenance/security/insurance/carrier limits approved</x:v>
      </x:c>
      <x:c r="X33" s="99" t="str">
        <x:v>BLOCKED until purpose, values, relief evidence and restrictions approved</x:v>
      </x:c>
      <x:c r="Y33" s="103" t="b">
        <x:v>0</x:v>
      </x:c>
      <x:c r="Z33" s="103" t="b">
        <x:v>0</x:v>
      </x:c>
      <x:c r="AA33" s="103" t="b">
        <x:v>0</x:v>
      </x:c>
      <x:c r="AB33" s="103" t="b">
        <x:v>0</x:v>
      </x:c>
      <x:c r="AC33" s="103" t="b">
        <x:v>0</x:v>
      </x:c>
      <x:c r="AD33" s="106" t="str">
        <x:v>BLOCKED_PENDING_VALIDATION</x:v>
      </x:c>
      <x:c r="AE33" s="99" t="str">
        <x:v>NOT_STARTED</x:v>
      </x:c>
      <x:c r="AF33" s="99" t="str">
        <x:v>Unassigned country-pack owner</x:v>
      </x:c>
      <x:c r="AG33" s="99" t="str">
        <x:v>SRC-CUS-001, SRC-CUS-005, SRC-CUS-007, SRC-DAT-001, SRC-POST-001, SRC-PRV-001</x:v>
      </x:c>
      <x:c r="AH33" s="99" t="str">
        <x:v>2026-07-25</x:v>
      </x:c>
      <x:c r="AI33" s="99" t="str">
        <x:v>2026-08-25</x:v>
      </x:c>
      <x:c r="AJ33" s="99" t="str">
        <x:v>Registry coverage only. Production readiness is capability-specific and requires the release checklist.</x:v>
      </x:c>
    </x:row>
    <x:row r="34" ht="54" customHeight="1">
      <x:c r="A34" s="97" t="str">
        <x:v>CP-BV</x:v>
      </x:c>
      <x:c r="B34" s="97" t="str">
        <x:v>Bouvet Island</x:v>
      </x:c>
      <x:c r="C34" s="97" t="str">
        <x:v>BV</x:v>
      </x:c>
      <x:c r="D34" s="97" t="str">
        <x:v>BVT</x:v>
      </x:c>
      <x:c r="E34" s="97" t="str">
        <x:v>074</x:v>
      </x:c>
      <x:c r="F34" s="97" t="str">
        <x:v>ISO 3166-1 assigned</x:v>
      </x:c>
      <x:c r="G34" s="97" t="str">
        <x:v>Territory, dependency or special-area record</x:v>
      </x:c>
      <x:c r="H34" s="97" t="str">
        <x:v>Norway</x:v>
      </x:c>
      <x:c r="I34" s="97" t="str">
        <x:v>Antarctic</x:v>
      </x:c>
      <x:c r="J34" s="97" t="str">
        <x:v>Other</x:v>
      </x:c>
      <x:c r="K34" s="97" t="str">
        <x:v>Non-standard/limited commercial service; carrier confirmation mandatory</x:v>
      </x:c>
      <x:c r="L34" s="97" t="str">
        <x:v>UPU/operator contract, bilateral rules, EAD/message versions and serviceability must be validated</x:v>
      </x:c>
      <x:c r="M34" s="97" t="str">
        <x:v>ICAO state rules, PLACI regime, security status, carrier routing and serviceability must be validated</x:v>
      </x:c>
      <x:c r="N34" s="97" t="str">
        <x:v>Country-pack privacy law and transfer mechanism required</x:v>
      </x:c>
      <x:c r="O34" s="97" t="str">
        <x:v>Screen live lists for every applicable nexus; resolve ownership, sectoral, end-use and licence controls</x:v>
      </x:c>
      <x:c r="P34" s="97" t="str">
        <x:v>No static legal conclusion. Validate current national/territorial customs, tax, licensing, product, privacy and carrier sources before activation.</x:v>
      </x:c>
      <x:c r="Q34" s="97" t="str">
        <x:v>BLOCKED until tariff, prohibitions, documents and carrier services approved</x:v>
      </x:c>
      <x:c r="R34" s="97" t="str">
        <x:v>BLOCKED until ICAO/state/operator variations and certified review path approved</x:v>
      </x:c>
      <x:c r="S34" s="97" t="str">
        <x:v>BLOCKED until SPS/agency/temperature rules and external filing path approved</x:v>
      </x:c>
      <x:c r="T34" s="97" t="str">
        <x:v>BLOCKED until product/site/importer authorizations and quality path approved</x:v>
      </x:c>
      <x:c r="U34" s="97" t="str">
        <x:v>BLOCKED until excise/licences/age/carrier contract approved</x:v>
      </x:c>
      <x:c r="V34" s="97" t="str">
        <x:v>BLOCKED until classification/end-use/licensing and sanctions path approved</x:v>
      </x:c>
      <x:c r="W34" s="97" t="str">
        <x:v>BLOCKED until provenance/security/insurance/carrier limits approved</x:v>
      </x:c>
      <x:c r="X34" s="97" t="str">
        <x:v>BLOCKED until purpose, values, relief evidence and restrictions approved</x:v>
      </x:c>
      <x:c r="Y34" s="104" t="b">
        <x:v>0</x:v>
      </x:c>
      <x:c r="Z34" s="104" t="b">
        <x:v>0</x:v>
      </x:c>
      <x:c r="AA34" s="104" t="b">
        <x:v>0</x:v>
      </x:c>
      <x:c r="AB34" s="104" t="b">
        <x:v>0</x:v>
      </x:c>
      <x:c r="AC34" s="104" t="b">
        <x:v>0</x:v>
      </x:c>
      <x:c r="AD34" s="106" t="str">
        <x:v>BLOCKED_PENDING_VALIDATION</x:v>
      </x:c>
      <x:c r="AE34" s="97" t="str">
        <x:v>NOT_STARTED</x:v>
      </x:c>
      <x:c r="AF34" s="97" t="str">
        <x:v>Unassigned country-pack owner</x:v>
      </x:c>
      <x:c r="AG34" s="97" t="str">
        <x:v>SRC-CUS-001, SRC-CUS-005, SRC-CUS-007, SRC-DAT-001, SRC-POST-001, SRC-PRV-001</x:v>
      </x:c>
      <x:c r="AH34" s="97" t="str">
        <x:v>2026-07-25</x:v>
      </x:c>
      <x:c r="AI34" s="97" t="str">
        <x:v>2026-08-25</x:v>
      </x:c>
      <x:c r="AJ34" s="97" t="str">
        <x:v>Registry coverage only. Production readiness is capability-specific and requires the release checklist.</x:v>
      </x:c>
    </x:row>
    <x:row r="35" ht="54" customHeight="1">
      <x:c r="A35" s="99" t="str">
        <x:v>CP-BR</x:v>
      </x:c>
      <x:c r="B35" s="99" t="str">
        <x:v>Brazil</x:v>
      </x:c>
      <x:c r="C35" s="99" t="str">
        <x:v>BR</x:v>
      </x:c>
      <x:c r="D35" s="99" t="str">
        <x:v>BRA</x:v>
      </x:c>
      <x:c r="E35" s="99" t="str">
        <x:v>076</x:v>
      </x:c>
      <x:c r="F35" s="99" t="str">
        <x:v>ISO 3166-1 assigned</x:v>
      </x:c>
      <x:c r="G35" s="99" t="str">
        <x:v>Independent state</x:v>
      </x:c>
      <x:c r="H35" s="99" t="str">
        <x:v>Self-administered for pack indexing; legal status follows authoritative sources</x:v>
      </x:c>
      <x:c r="I35" s="99" t="str">
        <x:v>Americas</x:v>
      </x:c>
      <x:c r="J35" s="99" t="str">
        <x:v>South America</x:v>
      </x:c>
      <x:c r="K35" s="99" t="str">
        <x:v>MERCOSUR member; national implementation required</x:v>
      </x:c>
      <x:c r="L35" s="99" t="str">
        <x:v>UPU/operator contract, bilateral rules, EAD/message versions and serviceability must be validated</x:v>
      </x:c>
      <x:c r="M35" s="99" t="str">
        <x:v>ICAO state rules, PLACI regime, security status, carrier routing and serviceability must be validated</x:v>
      </x:c>
      <x:c r="N35" s="99" t="str">
        <x:v>LGPD and ANPD international-transfer regulation</x:v>
      </x:c>
      <x:c r="O35" s="99" t="str">
        <x:v>Screen live lists for every applicable nexus; resolve ownership, sectoral, end-use and licence controls</x:v>
      </x:c>
      <x:c r="P35" s="99" t="str">
        <x:v>No static legal conclusion. Validate current national/territorial customs, tax, licensing, product, privacy and carrier sources before activation.</x:v>
      </x:c>
      <x:c r="Q35" s="99" t="str">
        <x:v>BLOCKED until tariff, prohibitions, documents and carrier services approved</x:v>
      </x:c>
      <x:c r="R35" s="99" t="str">
        <x:v>BLOCKED until ICAO/state/operator variations and certified review path approved</x:v>
      </x:c>
      <x:c r="S35" s="99" t="str">
        <x:v>BLOCKED until SPS/agency/temperature rules and external filing path approved</x:v>
      </x:c>
      <x:c r="T35" s="99" t="str">
        <x:v>BLOCKED until product/site/importer authorizations and quality path approved</x:v>
      </x:c>
      <x:c r="U35" s="99" t="str">
        <x:v>BLOCKED until excise/licences/age/carrier contract approved</x:v>
      </x:c>
      <x:c r="V35" s="99" t="str">
        <x:v>BLOCKED until classification/end-use/licensing and sanctions path approved</x:v>
      </x:c>
      <x:c r="W35" s="99" t="str">
        <x:v>BLOCKED until provenance/security/insurance/carrier limits approved</x:v>
      </x:c>
      <x:c r="X35" s="99" t="str">
        <x:v>BLOCKED until purpose, values, relief evidence and restrictions approved</x:v>
      </x:c>
      <x:c r="Y35" s="103" t="b">
        <x:v>0</x:v>
      </x:c>
      <x:c r="Z35" s="103" t="b">
        <x:v>0</x:v>
      </x:c>
      <x:c r="AA35" s="103" t="b">
        <x:v>0</x:v>
      </x:c>
      <x:c r="AB35" s="103" t="b">
        <x:v>0</x:v>
      </x:c>
      <x:c r="AC35" s="103" t="b">
        <x:v>0</x:v>
      </x:c>
      <x:c r="AD35" s="106" t="str">
        <x:v>BLOCKED_PENDING_VALIDATION</x:v>
      </x:c>
      <x:c r="AE35" s="99" t="str">
        <x:v>NOT_STARTED</x:v>
      </x:c>
      <x:c r="AF35" s="99" t="str">
        <x:v>Unassigned country-pack owner</x:v>
      </x:c>
      <x:c r="AG35" s="99" t="str">
        <x:v>SRC-CUS-001, SRC-CUS-005, SRC-CUS-007, SRC-DAT-001, SRC-POST-001, SRC-PRV-001, SRC-PRV-010</x:v>
      </x:c>
      <x:c r="AH35" s="99" t="str">
        <x:v>2026-07-25</x:v>
      </x:c>
      <x:c r="AI35" s="99" t="str">
        <x:v>2026-08-25</x:v>
      </x:c>
      <x:c r="AJ35" s="99" t="str">
        <x:v>Registry coverage only. Production readiness is capability-specific and requires the release checklist.</x:v>
      </x:c>
    </x:row>
    <x:row r="36" ht="54" customHeight="1">
      <x:c r="A36" s="97" t="str">
        <x:v>CP-IO</x:v>
      </x:c>
      <x:c r="B36" s="97" t="str">
        <x:v>British Indian Ocean Territory</x:v>
      </x:c>
      <x:c r="C36" s="97" t="str">
        <x:v>IO</x:v>
      </x:c>
      <x:c r="D36" s="97" t="str">
        <x:v>IOT</x:v>
      </x:c>
      <x:c r="E36" s="97" t="str">
        <x:v>086</x:v>
      </x:c>
      <x:c r="F36" s="97" t="str">
        <x:v>ISO 3166-1 assigned</x:v>
      </x:c>
      <x:c r="G36" s="97" t="str">
        <x:v>Territory, dependency or special-area record</x:v>
      </x:c>
      <x:c r="H36" s="97" t="str">
        <x:v>United Kingdom</x:v>
      </x:c>
      <x:c r="I36" s="97" t="str">
        <x:v>Africa</x:v>
      </x:c>
      <x:c r="J36" s="97" t="str">
        <x:v>Eastern Africa</x:v>
      </x:c>
      <x:c r="K36" s="97" t="str">
        <x:v>National/territorial customs framework—local validation required</x:v>
      </x:c>
      <x:c r="L36" s="97" t="str">
        <x:v>UPU/operator contract, bilateral rules, EAD/message versions and serviceability must be validated</x:v>
      </x:c>
      <x:c r="M36" s="97" t="str">
        <x:v>ICAO state rules, PLACI regime, security status, carrier routing and serviceability must be validated</x:v>
      </x:c>
      <x:c r="N36" s="97" t="str">
        <x:v>Country-pack privacy law and transfer mechanism required</x:v>
      </x:c>
      <x:c r="O36" s="97" t="str">
        <x:v>Screen live lists for every applicable nexus; resolve ownership, sectoral, end-use and licence controls</x:v>
      </x:c>
      <x:c r="P36" s="97" t="str">
        <x:v>No static legal conclusion. Validate current national/territorial customs, tax, licensing, product, privacy and carrier sources before activation.</x:v>
      </x:c>
      <x:c r="Q36" s="97" t="str">
        <x:v>BLOCKED until tariff, prohibitions, documents and carrier services approved</x:v>
      </x:c>
      <x:c r="R36" s="97" t="str">
        <x:v>BLOCKED until ICAO/state/operator variations and certified review path approved</x:v>
      </x:c>
      <x:c r="S36" s="97" t="str">
        <x:v>BLOCKED until SPS/agency/temperature rules and external filing path approved</x:v>
      </x:c>
      <x:c r="T36" s="97" t="str">
        <x:v>BLOCKED until product/site/importer authorizations and quality path approved</x:v>
      </x:c>
      <x:c r="U36" s="97" t="str">
        <x:v>BLOCKED until excise/licences/age/carrier contract approved</x:v>
      </x:c>
      <x:c r="V36" s="97" t="str">
        <x:v>BLOCKED until classification/end-use/licensing and sanctions path approved</x:v>
      </x:c>
      <x:c r="W36" s="97" t="str">
        <x:v>BLOCKED until provenance/security/insurance/carrier limits approved</x:v>
      </x:c>
      <x:c r="X36" s="97" t="str">
        <x:v>BLOCKED until purpose, values, relief evidence and restrictions approved</x:v>
      </x:c>
      <x:c r="Y36" s="104" t="b">
        <x:v>0</x:v>
      </x:c>
      <x:c r="Z36" s="104" t="b">
        <x:v>0</x:v>
      </x:c>
      <x:c r="AA36" s="104" t="b">
        <x:v>0</x:v>
      </x:c>
      <x:c r="AB36" s="104" t="b">
        <x:v>0</x:v>
      </x:c>
      <x:c r="AC36" s="104" t="b">
        <x:v>0</x:v>
      </x:c>
      <x:c r="AD36" s="106" t="str">
        <x:v>BLOCKED_PENDING_VALIDATION</x:v>
      </x:c>
      <x:c r="AE36" s="97" t="str">
        <x:v>NOT_STARTED</x:v>
      </x:c>
      <x:c r="AF36" s="97" t="str">
        <x:v>Unassigned country-pack owner</x:v>
      </x:c>
      <x:c r="AG36" s="97" t="str">
        <x:v>SRC-CUS-001, SRC-CUS-005, SRC-CUS-007, SRC-DAT-001, SRC-POST-001, SRC-PRV-001</x:v>
      </x:c>
      <x:c r="AH36" s="97" t="str">
        <x:v>2026-07-25</x:v>
      </x:c>
      <x:c r="AI36" s="97" t="str">
        <x:v>2026-08-25</x:v>
      </x:c>
      <x:c r="AJ36" s="97" t="str">
        <x:v>Registry coverage only. Production readiness is capability-specific and requires the release checklist.</x:v>
      </x:c>
    </x:row>
    <x:row r="37" ht="54" customHeight="1">
      <x:c r="A37" s="99" t="str">
        <x:v>CP-VG</x:v>
      </x:c>
      <x:c r="B37" s="99" t="str">
        <x:v>British Virgin Islands</x:v>
      </x:c>
      <x:c r="C37" s="99" t="str">
        <x:v>VG</x:v>
      </x:c>
      <x:c r="D37" s="99" t="str">
        <x:v>VGB</x:v>
      </x:c>
      <x:c r="E37" s="99" t="str">
        <x:v>092</x:v>
      </x:c>
      <x:c r="F37" s="99" t="str">
        <x:v>ISO 3166-1 assigned</x:v>
      </x:c>
      <x:c r="G37" s="99" t="str">
        <x:v>Territory, dependency or special-area record</x:v>
      </x:c>
      <x:c r="H37" s="99" t="str">
        <x:v>United Kingdom</x:v>
      </x:c>
      <x:c r="I37" s="99" t="str">
        <x:v>Americas</x:v>
      </x:c>
      <x:c r="J37" s="99" t="str">
        <x:v>Caribbean</x:v>
      </x:c>
      <x:c r="K37" s="99" t="str">
        <x:v>National/territorial customs framework—local validation required</x:v>
      </x:c>
      <x:c r="L37" s="99" t="str">
        <x:v>UPU/operator contract, bilateral rules, EAD/message versions and serviceability must be validated</x:v>
      </x:c>
      <x:c r="M37" s="99" t="str">
        <x:v>ICAO state rules, PLACI regime, security status, carrier routing and serviceability must be validated</x:v>
      </x:c>
      <x:c r="N37" s="99" t="str">
        <x:v>Country-pack privacy law and transfer mechanism required</x:v>
      </x:c>
      <x:c r="O37" s="99" t="str">
        <x:v>Screen live lists for every applicable nexus; resolve ownership, sectoral, end-use and licence controls</x:v>
      </x:c>
      <x:c r="P37" s="99" t="str">
        <x:v>No static legal conclusion. Validate current national/territorial customs, tax, licensing, product, privacy and carrier sources before activation.</x:v>
      </x:c>
      <x:c r="Q37" s="99" t="str">
        <x:v>BLOCKED until tariff, prohibitions, documents and carrier services approved</x:v>
      </x:c>
      <x:c r="R37" s="99" t="str">
        <x:v>BLOCKED until ICAO/state/operator variations and certified review path approved</x:v>
      </x:c>
      <x:c r="S37" s="99" t="str">
        <x:v>BLOCKED until SPS/agency/temperature rules and external filing path approved</x:v>
      </x:c>
      <x:c r="T37" s="99" t="str">
        <x:v>BLOCKED until product/site/importer authorizations and quality path approved</x:v>
      </x:c>
      <x:c r="U37" s="99" t="str">
        <x:v>BLOCKED until excise/licences/age/carrier contract approved</x:v>
      </x:c>
      <x:c r="V37" s="99" t="str">
        <x:v>BLOCKED until classification/end-use/licensing and sanctions path approved</x:v>
      </x:c>
      <x:c r="W37" s="99" t="str">
        <x:v>BLOCKED until provenance/security/insurance/carrier limits approved</x:v>
      </x:c>
      <x:c r="X37" s="99" t="str">
        <x:v>BLOCKED until purpose, values, relief evidence and restrictions approved</x:v>
      </x:c>
      <x:c r="Y37" s="103" t="b">
        <x:v>0</x:v>
      </x:c>
      <x:c r="Z37" s="103" t="b">
        <x:v>0</x:v>
      </x:c>
      <x:c r="AA37" s="103" t="b">
        <x:v>0</x:v>
      </x:c>
      <x:c r="AB37" s="103" t="b">
        <x:v>0</x:v>
      </x:c>
      <x:c r="AC37" s="103" t="b">
        <x:v>0</x:v>
      </x:c>
      <x:c r="AD37" s="106" t="str">
        <x:v>BLOCKED_PENDING_VALIDATION</x:v>
      </x:c>
      <x:c r="AE37" s="99" t="str">
        <x:v>NOT_STARTED</x:v>
      </x:c>
      <x:c r="AF37" s="99" t="str">
        <x:v>Unassigned country-pack owner</x:v>
      </x:c>
      <x:c r="AG37" s="99" t="str">
        <x:v>SRC-CUS-001, SRC-CUS-005, SRC-CUS-007, SRC-DAT-001, SRC-POST-001, SRC-PRV-001</x:v>
      </x:c>
      <x:c r="AH37" s="99" t="str">
        <x:v>2026-07-25</x:v>
      </x:c>
      <x:c r="AI37" s="99" t="str">
        <x:v>2026-08-25</x:v>
      </x:c>
      <x:c r="AJ37" s="99" t="str">
        <x:v>Registry coverage only. Production readiness is capability-specific and requires the release checklist.</x:v>
      </x:c>
    </x:row>
    <x:row r="38" ht="54" customHeight="1">
      <x:c r="A38" s="97" t="str">
        <x:v>CP-BN</x:v>
      </x:c>
      <x:c r="B38" s="97" t="str">
        <x:v>Brunei</x:v>
      </x:c>
      <x:c r="C38" s="97" t="str">
        <x:v>BN</x:v>
      </x:c>
      <x:c r="D38" s="97" t="str">
        <x:v>BRN</x:v>
      </x:c>
      <x:c r="E38" s="97" t="str">
        <x:v>096</x:v>
      </x:c>
      <x:c r="F38" s="97" t="str">
        <x:v>ISO 3166-1 assigned</x:v>
      </x:c>
      <x:c r="G38" s="97" t="str">
        <x:v>Independent state</x:v>
      </x:c>
      <x:c r="H38" s="97" t="str">
        <x:v>Self-administered for pack indexing; legal status follows authoritative sources</x:v>
      </x:c>
      <x:c r="I38" s="97" t="str">
        <x:v>Asia</x:v>
      </x:c>
      <x:c r="J38" s="97" t="str">
        <x:v>South-Eastern Asia</x:v>
      </x:c>
      <x:c r="K38" s="97" t="str">
        <x:v>National/territorial customs framework—local validation required</x:v>
      </x:c>
      <x:c r="L38" s="97" t="str">
        <x:v>UPU/operator contract, bilateral rules, EAD/message versions and serviceability must be validated</x:v>
      </x:c>
      <x:c r="M38" s="97" t="str">
        <x:v>ICAO state rules, PLACI regime, security status, carrier routing and serviceability must be validated</x:v>
      </x:c>
      <x:c r="N38" s="97" t="str">
        <x:v>Country-pack privacy law and transfer mechanism required</x:v>
      </x:c>
      <x:c r="O38" s="97" t="str">
        <x:v>Screen live lists for every applicable nexus; resolve ownership, sectoral, end-use and licence controls</x:v>
      </x:c>
      <x:c r="P38" s="97" t="str">
        <x:v>No static legal conclusion. Validate current national/territorial customs, tax, licensing, product, privacy and carrier sources before activation.</x:v>
      </x:c>
      <x:c r="Q38" s="97" t="str">
        <x:v>BLOCKED until tariff, prohibitions, documents and carrier services approved</x:v>
      </x:c>
      <x:c r="R38" s="97" t="str">
        <x:v>BLOCKED until ICAO/state/operator variations and certified review path approved</x:v>
      </x:c>
      <x:c r="S38" s="97" t="str">
        <x:v>BLOCKED until SPS/agency/temperature rules and external filing path approved</x:v>
      </x:c>
      <x:c r="T38" s="97" t="str">
        <x:v>BLOCKED until product/site/importer authorizations and quality path approved</x:v>
      </x:c>
      <x:c r="U38" s="97" t="str">
        <x:v>BLOCKED until excise/licences/age/carrier contract approved</x:v>
      </x:c>
      <x:c r="V38" s="97" t="str">
        <x:v>BLOCKED until classification/end-use/licensing and sanctions path approved</x:v>
      </x:c>
      <x:c r="W38" s="97" t="str">
        <x:v>BLOCKED until provenance/security/insurance/carrier limits approved</x:v>
      </x:c>
      <x:c r="X38" s="97" t="str">
        <x:v>BLOCKED until purpose, values, relief evidence and restrictions approved</x:v>
      </x:c>
      <x:c r="Y38" s="104" t="b">
        <x:v>0</x:v>
      </x:c>
      <x:c r="Z38" s="104" t="b">
        <x:v>0</x:v>
      </x:c>
      <x:c r="AA38" s="104" t="b">
        <x:v>0</x:v>
      </x:c>
      <x:c r="AB38" s="104" t="b">
        <x:v>0</x:v>
      </x:c>
      <x:c r="AC38" s="104" t="b">
        <x:v>0</x:v>
      </x:c>
      <x:c r="AD38" s="106" t="str">
        <x:v>BLOCKED_PENDING_VALIDATION</x:v>
      </x:c>
      <x:c r="AE38" s="97" t="str">
        <x:v>NOT_STARTED</x:v>
      </x:c>
      <x:c r="AF38" s="97" t="str">
        <x:v>Unassigned country-pack owner</x:v>
      </x:c>
      <x:c r="AG38" s="97" t="str">
        <x:v>SRC-CUS-001, SRC-CUS-005, SRC-CUS-007, SRC-DAT-001, SRC-POST-001, SRC-PRV-001</x:v>
      </x:c>
      <x:c r="AH38" s="97" t="str">
        <x:v>2026-07-25</x:v>
      </x:c>
      <x:c r="AI38" s="97" t="str">
        <x:v>2026-08-25</x:v>
      </x:c>
      <x:c r="AJ38" s="97" t="str">
        <x:v>Registry coverage only. Production readiness is capability-specific and requires the release checklist.</x:v>
      </x:c>
    </x:row>
    <x:row r="39" ht="54" customHeight="1">
      <x:c r="A39" s="99" t="str">
        <x:v>CP-BG</x:v>
      </x:c>
      <x:c r="B39" s="99" t="str">
        <x:v>Bulgaria</x:v>
      </x:c>
      <x:c r="C39" s="99" t="str">
        <x:v>BG</x:v>
      </x:c>
      <x:c r="D39" s="99" t="str">
        <x:v>BGR</x:v>
      </x:c>
      <x:c r="E39" s="99" t="str">
        <x:v>100</x:v>
      </x:c>
      <x:c r="F39" s="99" t="str">
        <x:v>ISO 3166-1 assigned</x:v>
      </x:c>
      <x:c r="G39" s="99" t="str">
        <x:v>Independent state</x:v>
      </x:c>
      <x:c r="H39" s="99" t="str">
        <x:v>Self-administered for pack indexing; legal status follows authoritative sources</x:v>
      </x:c>
      <x:c r="I39" s="99" t="str">
        <x:v>Europe</x:v>
      </x:c>
      <x:c r="J39" s="99" t="str">
        <x:v>Southeast Europe</x:v>
      </x:c>
      <x:c r="K39" s="99" t="str">
        <x:v>EU customs framework; validate special fiscal/customs territory</x:v>
      </x:c>
      <x:c r="L39" s="99" t="str">
        <x:v>UPU/operator contract, bilateral rules, EAD/message versions and serviceability must be validated</x:v>
      </x:c>
      <x:c r="M39" s="99" t="str">
        <x:v>ICAO state rules, PLACI regime, security status, carrier routing and serviceability must be validated</x:v>
      </x:c>
      <x:c r="N39" s="99" t="str">
        <x:v>GDPR/EEA transfer controls; local supplements</x:v>
      </x:c>
      <x:c r="O39" s="99" t="str">
        <x:v>Screen live lists for every applicable nexus; resolve ownership, sectoral, end-use and licence controls</x:v>
      </x:c>
      <x:c r="P39" s="99" t="str">
        <x:v>EU baseline: ICS2/ENS and current low-value/VAT rules; member and special-territory validation still required.</x:v>
      </x:c>
      <x:c r="Q39" s="99" t="str">
        <x:v>BLOCKED until tariff, prohibitions, documents and carrier services approved</x:v>
      </x:c>
      <x:c r="R39" s="99" t="str">
        <x:v>BLOCKED until ICAO/state/operator variations and certified review path approved</x:v>
      </x:c>
      <x:c r="S39" s="99" t="str">
        <x:v>BLOCKED until SPS/agency/temperature rules and external filing path approved</x:v>
      </x:c>
      <x:c r="T39" s="99" t="str">
        <x:v>BLOCKED until product/site/importer authorizations and quality path approved</x:v>
      </x:c>
      <x:c r="U39" s="99" t="str">
        <x:v>BLOCKED until excise/licences/age/carrier contract approved</x:v>
      </x:c>
      <x:c r="V39" s="99" t="str">
        <x:v>BLOCKED until classification/end-use/licensing and sanctions path approved</x:v>
      </x:c>
      <x:c r="W39" s="99" t="str">
        <x:v>BLOCKED until provenance/security/insurance/carrier limits approved</x:v>
      </x:c>
      <x:c r="X39" s="99" t="str">
        <x:v>BLOCKED until purpose, values, relief evidence and restrictions approved</x:v>
      </x:c>
      <x:c r="Y39" s="103" t="b">
        <x:v>0</x:v>
      </x:c>
      <x:c r="Z39" s="103" t="b">
        <x:v>0</x:v>
      </x:c>
      <x:c r="AA39" s="103" t="b">
        <x:v>0</x:v>
      </x:c>
      <x:c r="AB39" s="103" t="b">
        <x:v>0</x:v>
      </x:c>
      <x:c r="AC39" s="103" t="b">
        <x:v>0</x:v>
      </x:c>
      <x:c r="AD39" s="106" t="str">
        <x:v>BLOCKED_PENDING_VALIDATION</x:v>
      </x:c>
      <x:c r="AE39" s="99" t="str">
        <x:v>NOT_STARTED</x:v>
      </x:c>
      <x:c r="AF39" s="99" t="str">
        <x:v>Unassigned country-pack owner</x:v>
      </x:c>
      <x:c r="AG39" s="99" t="str">
        <x:v>SRC-CUS-001, SRC-CUS-005, SRC-CUS-007, SRC-DAT-001, SRC-POST-001, SRC-PRV-001, SRC-EU-001, SRC-EU-002, SRC-EU-003, SRC-EU-004, SRC-PRV-002</x:v>
      </x:c>
      <x:c r="AH39" s="99" t="str">
        <x:v>2026-07-25</x:v>
      </x:c>
      <x:c r="AI39" s="99" t="str">
        <x:v>2026-08-25</x:v>
      </x:c>
      <x:c r="AJ39" s="99" t="str">
        <x:v>Registry coverage only. Production readiness is capability-specific and requires the release checklist.</x:v>
      </x:c>
    </x:row>
    <x:row r="40" ht="54" customHeight="1">
      <x:c r="A40" s="97" t="str">
        <x:v>CP-BF</x:v>
      </x:c>
      <x:c r="B40" s="97" t="str">
        <x:v>Burkina Faso</x:v>
      </x:c>
      <x:c r="C40" s="97" t="str">
        <x:v>BF</x:v>
      </x:c>
      <x:c r="D40" s="97" t="str">
        <x:v>BFA</x:v>
      </x:c>
      <x:c r="E40" s="97" t="str">
        <x:v>854</x:v>
      </x:c>
      <x:c r="F40" s="97" t="str">
        <x:v>ISO 3166-1 assigned</x:v>
      </x:c>
      <x:c r="G40" s="97" t="str">
        <x:v>Independent state</x:v>
      </x:c>
      <x:c r="H40" s="97" t="str">
        <x:v>Self-administered for pack indexing; legal status follows authoritative sources</x:v>
      </x:c>
      <x:c r="I40" s="97" t="str">
        <x:v>Africa</x:v>
      </x:c>
      <x:c r="J40" s="97" t="str">
        <x:v>Western Africa</x:v>
      </x:c>
      <x:c r="K40" s="97" t="str">
        <x:v>National/territorial customs framework—local validation required</x:v>
      </x:c>
      <x:c r="L40" s="97" t="str">
        <x:v>UPU/operator contract, bilateral rules, EAD/message versions and serviceability must be validated</x:v>
      </x:c>
      <x:c r="M40" s="97" t="str">
        <x:v>ICAO state rules, PLACI regime, security status, carrier routing and serviceability must be validated</x:v>
      </x:c>
      <x:c r="N40" s="97" t="str">
        <x:v>Country-pack privacy law and transfer mechanism required</x:v>
      </x:c>
      <x:c r="O40" s="97" t="str">
        <x:v>Screen live lists for every applicable nexus; resolve ownership, sectoral, end-use and licence controls</x:v>
      </x:c>
      <x:c r="P40" s="97" t="str">
        <x:v>No static legal conclusion. Validate current national/territorial customs, tax, licensing, product, privacy and carrier sources before activation.</x:v>
      </x:c>
      <x:c r="Q40" s="97" t="str">
        <x:v>BLOCKED until tariff, prohibitions, documents and carrier services approved</x:v>
      </x:c>
      <x:c r="R40" s="97" t="str">
        <x:v>BLOCKED until ICAO/state/operator variations and certified review path approved</x:v>
      </x:c>
      <x:c r="S40" s="97" t="str">
        <x:v>BLOCKED until SPS/agency/temperature rules and external filing path approved</x:v>
      </x:c>
      <x:c r="T40" s="97" t="str">
        <x:v>BLOCKED until product/site/importer authorizations and quality path approved</x:v>
      </x:c>
      <x:c r="U40" s="97" t="str">
        <x:v>BLOCKED until excise/licences/age/carrier contract approved</x:v>
      </x:c>
      <x:c r="V40" s="97" t="str">
        <x:v>BLOCKED until classification/end-use/licensing and sanctions path approved</x:v>
      </x:c>
      <x:c r="W40" s="97" t="str">
        <x:v>BLOCKED until provenance/security/insurance/carrier limits approved</x:v>
      </x:c>
      <x:c r="X40" s="97" t="str">
        <x:v>BLOCKED until purpose, values, relief evidence and restrictions approved</x:v>
      </x:c>
      <x:c r="Y40" s="104" t="b">
        <x:v>0</x:v>
      </x:c>
      <x:c r="Z40" s="104" t="b">
        <x:v>0</x:v>
      </x:c>
      <x:c r="AA40" s="104" t="b">
        <x:v>0</x:v>
      </x:c>
      <x:c r="AB40" s="104" t="b">
        <x:v>0</x:v>
      </x:c>
      <x:c r="AC40" s="104" t="b">
        <x:v>0</x:v>
      </x:c>
      <x:c r="AD40" s="106" t="str">
        <x:v>BLOCKED_PENDING_VALIDATION</x:v>
      </x:c>
      <x:c r="AE40" s="97" t="str">
        <x:v>NOT_STARTED</x:v>
      </x:c>
      <x:c r="AF40" s="97" t="str">
        <x:v>Unassigned country-pack owner</x:v>
      </x:c>
      <x:c r="AG40" s="97" t="str">
        <x:v>SRC-CUS-001, SRC-CUS-005, SRC-CUS-007, SRC-DAT-001, SRC-POST-001, SRC-PRV-001</x:v>
      </x:c>
      <x:c r="AH40" s="97" t="str">
        <x:v>2026-07-25</x:v>
      </x:c>
      <x:c r="AI40" s="97" t="str">
        <x:v>2026-08-25</x:v>
      </x:c>
      <x:c r="AJ40" s="97" t="str">
        <x:v>Registry coverage only. Production readiness is capability-specific and requires the release checklist.</x:v>
      </x:c>
    </x:row>
    <x:row r="41" ht="54" customHeight="1">
      <x:c r="A41" s="99" t="str">
        <x:v>CP-BI</x:v>
      </x:c>
      <x:c r="B41" s="99" t="str">
        <x:v>Burundi</x:v>
      </x:c>
      <x:c r="C41" s="99" t="str">
        <x:v>BI</x:v>
      </x:c>
      <x:c r="D41" s="99" t="str">
        <x:v>BDI</x:v>
      </x:c>
      <x:c r="E41" s="99" t="str">
        <x:v>108</x:v>
      </x:c>
      <x:c r="F41" s="99" t="str">
        <x:v>ISO 3166-1 assigned</x:v>
      </x:c>
      <x:c r="G41" s="99" t="str">
        <x:v>Independent state</x:v>
      </x:c>
      <x:c r="H41" s="99" t="str">
        <x:v>Self-administered for pack indexing; legal status follows authoritative sources</x:v>
      </x:c>
      <x:c r="I41" s="99" t="str">
        <x:v>Africa</x:v>
      </x:c>
      <x:c r="J41" s="99" t="str">
        <x:v>Eastern Africa</x:v>
      </x:c>
      <x:c r="K41" s="99" t="str">
        <x:v>EAC member; national implementation required</x:v>
      </x:c>
      <x:c r="L41" s="99" t="str">
        <x:v>UPU/operator contract, bilateral rules, EAD/message versions and serviceability must be validated</x:v>
      </x:c>
      <x:c r="M41" s="99" t="str">
        <x:v>ICAO state rules, PLACI regime, security status, carrier routing and serviceability must be validated</x:v>
      </x:c>
      <x:c r="N41" s="99" t="str">
        <x:v>Country-pack privacy law and transfer mechanism required</x:v>
      </x:c>
      <x:c r="O41" s="99" t="str">
        <x:v>Screen live lists for every applicable nexus; resolve ownership, sectoral, end-use and licence controls</x:v>
      </x:c>
      <x:c r="P41" s="99" t="str">
        <x:v>No static legal conclusion. Validate current national/territorial customs, tax, licensing, product, privacy and carrier sources before activation.</x:v>
      </x:c>
      <x:c r="Q41" s="99" t="str">
        <x:v>BLOCKED until tariff, prohibitions, documents and carrier services approved</x:v>
      </x:c>
      <x:c r="R41" s="99" t="str">
        <x:v>BLOCKED until ICAO/state/operator variations and certified review path approved</x:v>
      </x:c>
      <x:c r="S41" s="99" t="str">
        <x:v>BLOCKED until SPS/agency/temperature rules and external filing path approved</x:v>
      </x:c>
      <x:c r="T41" s="99" t="str">
        <x:v>BLOCKED until product/site/importer authorizations and quality path approved</x:v>
      </x:c>
      <x:c r="U41" s="99" t="str">
        <x:v>BLOCKED until excise/licences/age/carrier contract approved</x:v>
      </x:c>
      <x:c r="V41" s="99" t="str">
        <x:v>BLOCKED until classification/end-use/licensing and sanctions path approved</x:v>
      </x:c>
      <x:c r="W41" s="99" t="str">
        <x:v>BLOCKED until provenance/security/insurance/carrier limits approved</x:v>
      </x:c>
      <x:c r="X41" s="99" t="str">
        <x:v>BLOCKED until purpose, values, relief evidence and restrictions approved</x:v>
      </x:c>
      <x:c r="Y41" s="103" t="b">
        <x:v>0</x:v>
      </x:c>
      <x:c r="Z41" s="103" t="b">
        <x:v>0</x:v>
      </x:c>
      <x:c r="AA41" s="103" t="b">
        <x:v>0</x:v>
      </x:c>
      <x:c r="AB41" s="103" t="b">
        <x:v>0</x:v>
      </x:c>
      <x:c r="AC41" s="103" t="b">
        <x:v>0</x:v>
      </x:c>
      <x:c r="AD41" s="106" t="str">
        <x:v>BLOCKED_PENDING_VALIDATION</x:v>
      </x:c>
      <x:c r="AE41" s="99" t="str">
        <x:v>NOT_STARTED</x:v>
      </x:c>
      <x:c r="AF41" s="99" t="str">
        <x:v>Unassigned country-pack owner</x:v>
      </x:c>
      <x:c r="AG41" s="99" t="str">
        <x:v>SRC-CUS-001, SRC-CUS-005, SRC-CUS-007, SRC-DAT-001, SRC-POST-001, SRC-PRV-001</x:v>
      </x:c>
      <x:c r="AH41" s="99" t="str">
        <x:v>2026-07-25</x:v>
      </x:c>
      <x:c r="AI41" s="99" t="str">
        <x:v>2026-08-25</x:v>
      </x:c>
      <x:c r="AJ41" s="99" t="str">
        <x:v>Registry coverage only. Production readiness is capability-specific and requires the release checklist.</x:v>
      </x:c>
    </x:row>
    <x:row r="42" ht="54" customHeight="1">
      <x:c r="A42" s="97" t="str">
        <x:v>CP-KH</x:v>
      </x:c>
      <x:c r="B42" s="97" t="str">
        <x:v>Cambodia</x:v>
      </x:c>
      <x:c r="C42" s="97" t="str">
        <x:v>KH</x:v>
      </x:c>
      <x:c r="D42" s="97" t="str">
        <x:v>KHM</x:v>
      </x:c>
      <x:c r="E42" s="97" t="str">
        <x:v>116</x:v>
      </x:c>
      <x:c r="F42" s="97" t="str">
        <x:v>ISO 3166-1 assigned</x:v>
      </x:c>
      <x:c r="G42" s="97" t="str">
        <x:v>Independent state</x:v>
      </x:c>
      <x:c r="H42" s="97" t="str">
        <x:v>Self-administered for pack indexing; legal status follows authoritative sources</x:v>
      </x:c>
      <x:c r="I42" s="97" t="str">
        <x:v>Asia</x:v>
      </x:c>
      <x:c r="J42" s="97" t="str">
        <x:v>South-Eastern Asia</x:v>
      </x:c>
      <x:c r="K42" s="97" t="str">
        <x:v>National/territorial customs framework—local validation required</x:v>
      </x:c>
      <x:c r="L42" s="97" t="str">
        <x:v>UPU/operator contract, bilateral rules, EAD/message versions and serviceability must be validated</x:v>
      </x:c>
      <x:c r="M42" s="97" t="str">
        <x:v>ICAO state rules, PLACI regime, security status, carrier routing and serviceability must be validated</x:v>
      </x:c>
      <x:c r="N42" s="97" t="str">
        <x:v>Country-pack privacy law and transfer mechanism required</x:v>
      </x:c>
      <x:c r="O42" s="97" t="str">
        <x:v>Screen live lists for every applicable nexus; resolve ownership, sectoral, end-use and licence controls</x:v>
      </x:c>
      <x:c r="P42" s="97" t="str">
        <x:v>No static legal conclusion. Validate current national/territorial customs, tax, licensing, product, privacy and carrier sources before activation.</x:v>
      </x:c>
      <x:c r="Q42" s="97" t="str">
        <x:v>BLOCKED until tariff, prohibitions, documents and carrier services approved</x:v>
      </x:c>
      <x:c r="R42" s="97" t="str">
        <x:v>BLOCKED until ICAO/state/operator variations and certified review path approved</x:v>
      </x:c>
      <x:c r="S42" s="97" t="str">
        <x:v>BLOCKED until SPS/agency/temperature rules and external filing path approved</x:v>
      </x:c>
      <x:c r="T42" s="97" t="str">
        <x:v>BLOCKED until product/site/importer authorizations and quality path approved</x:v>
      </x:c>
      <x:c r="U42" s="97" t="str">
        <x:v>BLOCKED until excise/licences/age/carrier contract approved</x:v>
      </x:c>
      <x:c r="V42" s="97" t="str">
        <x:v>BLOCKED until classification/end-use/licensing and sanctions path approved</x:v>
      </x:c>
      <x:c r="W42" s="97" t="str">
        <x:v>BLOCKED until provenance/security/insurance/carrier limits approved</x:v>
      </x:c>
      <x:c r="X42" s="97" t="str">
        <x:v>BLOCKED until purpose, values, relief evidence and restrictions approved</x:v>
      </x:c>
      <x:c r="Y42" s="104" t="b">
        <x:v>0</x:v>
      </x:c>
      <x:c r="Z42" s="104" t="b">
        <x:v>0</x:v>
      </x:c>
      <x:c r="AA42" s="104" t="b">
        <x:v>0</x:v>
      </x:c>
      <x:c r="AB42" s="104" t="b">
        <x:v>0</x:v>
      </x:c>
      <x:c r="AC42" s="104" t="b">
        <x:v>0</x:v>
      </x:c>
      <x:c r="AD42" s="106" t="str">
        <x:v>BLOCKED_PENDING_VALIDATION</x:v>
      </x:c>
      <x:c r="AE42" s="97" t="str">
        <x:v>NOT_STARTED</x:v>
      </x:c>
      <x:c r="AF42" s="97" t="str">
        <x:v>Unassigned country-pack owner</x:v>
      </x:c>
      <x:c r="AG42" s="97" t="str">
        <x:v>SRC-CUS-001, SRC-CUS-005, SRC-CUS-007, SRC-DAT-001, SRC-POST-001, SRC-PRV-001</x:v>
      </x:c>
      <x:c r="AH42" s="97" t="str">
        <x:v>2026-07-25</x:v>
      </x:c>
      <x:c r="AI42" s="97" t="str">
        <x:v>2026-08-25</x:v>
      </x:c>
      <x:c r="AJ42" s="97" t="str">
        <x:v>Registry coverage only. Production readiness is capability-specific and requires the release checklist.</x:v>
      </x:c>
    </x:row>
    <x:row r="43" ht="54" customHeight="1">
      <x:c r="A43" s="99" t="str">
        <x:v>CP-CM</x:v>
      </x:c>
      <x:c r="B43" s="99" t="str">
        <x:v>Cameroon</x:v>
      </x:c>
      <x:c r="C43" s="99" t="str">
        <x:v>CM</x:v>
      </x:c>
      <x:c r="D43" s="99" t="str">
        <x:v>CMR</x:v>
      </x:c>
      <x:c r="E43" s="99" t="str">
        <x:v>120</x:v>
      </x:c>
      <x:c r="F43" s="99" t="str">
        <x:v>ISO 3166-1 assigned</x:v>
      </x:c>
      <x:c r="G43" s="99" t="str">
        <x:v>Independent state</x:v>
      </x:c>
      <x:c r="H43" s="99" t="str">
        <x:v>Self-administered for pack indexing; legal status follows authoritative sources</x:v>
      </x:c>
      <x:c r="I43" s="99" t="str">
        <x:v>Africa</x:v>
      </x:c>
      <x:c r="J43" s="99" t="str">
        <x:v>Middle Africa</x:v>
      </x:c>
      <x:c r="K43" s="99" t="str">
        <x:v>National/territorial customs framework—local validation required</x:v>
      </x:c>
      <x:c r="L43" s="99" t="str">
        <x:v>UPU/operator contract, bilateral rules, EAD/message versions and serviceability must be validated</x:v>
      </x:c>
      <x:c r="M43" s="99" t="str">
        <x:v>ICAO state rules, PLACI regime, security status, carrier routing and serviceability must be validated</x:v>
      </x:c>
      <x:c r="N43" s="99" t="str">
        <x:v>Country-pack privacy law and transfer mechanism required</x:v>
      </x:c>
      <x:c r="O43" s="99" t="str">
        <x:v>Screen live lists for every applicable nexus; resolve ownership, sectoral, end-use and licence controls</x:v>
      </x:c>
      <x:c r="P43" s="99" t="str">
        <x:v>No static legal conclusion. Validate current national/territorial customs, tax, licensing, product, privacy and carrier sources before activation.</x:v>
      </x:c>
      <x:c r="Q43" s="99" t="str">
        <x:v>BLOCKED until tariff, prohibitions, documents and carrier services approved</x:v>
      </x:c>
      <x:c r="R43" s="99" t="str">
        <x:v>BLOCKED until ICAO/state/operator variations and certified review path approved</x:v>
      </x:c>
      <x:c r="S43" s="99" t="str">
        <x:v>BLOCKED until SPS/agency/temperature rules and external filing path approved</x:v>
      </x:c>
      <x:c r="T43" s="99" t="str">
        <x:v>BLOCKED until product/site/importer authorizations and quality path approved</x:v>
      </x:c>
      <x:c r="U43" s="99" t="str">
        <x:v>BLOCKED until excise/licences/age/carrier contract approved</x:v>
      </x:c>
      <x:c r="V43" s="99" t="str">
        <x:v>BLOCKED until classification/end-use/licensing and sanctions path approved</x:v>
      </x:c>
      <x:c r="W43" s="99" t="str">
        <x:v>BLOCKED until provenance/security/insurance/carrier limits approved</x:v>
      </x:c>
      <x:c r="X43" s="99" t="str">
        <x:v>BLOCKED until purpose, values, relief evidence and restrictions approved</x:v>
      </x:c>
      <x:c r="Y43" s="103" t="b">
        <x:v>0</x:v>
      </x:c>
      <x:c r="Z43" s="103" t="b">
        <x:v>0</x:v>
      </x:c>
      <x:c r="AA43" s="103" t="b">
        <x:v>0</x:v>
      </x:c>
      <x:c r="AB43" s="103" t="b">
        <x:v>0</x:v>
      </x:c>
      <x:c r="AC43" s="103" t="b">
        <x:v>0</x:v>
      </x:c>
      <x:c r="AD43" s="106" t="str">
        <x:v>BLOCKED_PENDING_VALIDATION</x:v>
      </x:c>
      <x:c r="AE43" s="99" t="str">
        <x:v>NOT_STARTED</x:v>
      </x:c>
      <x:c r="AF43" s="99" t="str">
        <x:v>Unassigned country-pack owner</x:v>
      </x:c>
      <x:c r="AG43" s="99" t="str">
        <x:v>SRC-CUS-001, SRC-CUS-005, SRC-CUS-007, SRC-DAT-001, SRC-POST-001, SRC-PRV-001</x:v>
      </x:c>
      <x:c r="AH43" s="99" t="str">
        <x:v>2026-07-25</x:v>
      </x:c>
      <x:c r="AI43" s="99" t="str">
        <x:v>2026-08-25</x:v>
      </x:c>
      <x:c r="AJ43" s="99" t="str">
        <x:v>Registry coverage only. Production readiness is capability-specific and requires the release checklist.</x:v>
      </x:c>
    </x:row>
    <x:row r="44" ht="54" customHeight="1">
      <x:c r="A44" s="97" t="str">
        <x:v>CP-CA</x:v>
      </x:c>
      <x:c r="B44" s="97" t="str">
        <x:v>Canada</x:v>
      </x:c>
      <x:c r="C44" s="97" t="str">
        <x:v>CA</x:v>
      </x:c>
      <x:c r="D44" s="97" t="str">
        <x:v>CAN</x:v>
      </x:c>
      <x:c r="E44" s="97" t="str">
        <x:v>124</x:v>
      </x:c>
      <x:c r="F44" s="97" t="str">
        <x:v>ISO 3166-1 assigned</x:v>
      </x:c>
      <x:c r="G44" s="97" t="str">
        <x:v>Independent state</x:v>
      </x:c>
      <x:c r="H44" s="97" t="str">
        <x:v>Self-administered for pack indexing; legal status follows authoritative sources</x:v>
      </x:c>
      <x:c r="I44" s="97" t="str">
        <x:v>Americas</x:v>
      </x:c>
      <x:c r="J44" s="97" t="str">
        <x:v>North America</x:v>
      </x:c>
      <x:c r="K44" s="97" t="str">
        <x:v>National/territorial customs framework—local validation required</x:v>
      </x:c>
      <x:c r="L44" s="97" t="str">
        <x:v>UPU/operator contract, bilateral rules, EAD/message versions and serviceability must be validated</x:v>
      </x:c>
      <x:c r="M44" s="97" t="str">
        <x:v>ICAO state rules, PLACI regime, security status, carrier routing and serviceability must be validated</x:v>
      </x:c>
      <x:c r="N44" s="97" t="str">
        <x:v>PIPEDA/provincial laws</x:v>
      </x:c>
      <x:c r="O44" s="97" t="str">
        <x:v>Screen live lists for every applicable nexus; resolve ownership, sectoral, end-use and licence controls</x:v>
      </x:c>
      <x:c r="P44" s="97" t="str">
        <x:v>No static legal conclusion. Validate current national/territorial customs, tax, licensing, product, privacy and carrier sources before activation.</x:v>
      </x:c>
      <x:c r="Q44" s="97" t="str">
        <x:v>BLOCKED until tariff, prohibitions, documents and carrier services approved</x:v>
      </x:c>
      <x:c r="R44" s="97" t="str">
        <x:v>BLOCKED until ICAO/state/operator variations and certified review path approved</x:v>
      </x:c>
      <x:c r="S44" s="97" t="str">
        <x:v>BLOCKED until SPS/agency/temperature rules and external filing path approved</x:v>
      </x:c>
      <x:c r="T44" s="97" t="str">
        <x:v>BLOCKED until product/site/importer authorizations and quality path approved</x:v>
      </x:c>
      <x:c r="U44" s="97" t="str">
        <x:v>BLOCKED until excise/licences/age/carrier contract approved</x:v>
      </x:c>
      <x:c r="V44" s="97" t="str">
        <x:v>BLOCKED until classification/end-use/licensing and sanctions path approved</x:v>
      </x:c>
      <x:c r="W44" s="97" t="str">
        <x:v>BLOCKED until provenance/security/insurance/carrier limits approved</x:v>
      </x:c>
      <x:c r="X44" s="97" t="str">
        <x:v>BLOCKED until purpose, values, relief evidence and restrictions approved</x:v>
      </x:c>
      <x:c r="Y44" s="104" t="b">
        <x:v>0</x:v>
      </x:c>
      <x:c r="Z44" s="104" t="b">
        <x:v>0</x:v>
      </x:c>
      <x:c r="AA44" s="104" t="b">
        <x:v>0</x:v>
      </x:c>
      <x:c r="AB44" s="104" t="b">
        <x:v>0</x:v>
      </x:c>
      <x:c r="AC44" s="104" t="b">
        <x:v>0</x:v>
      </x:c>
      <x:c r="AD44" s="106" t="str">
        <x:v>BLOCKED_PENDING_VALIDATION</x:v>
      </x:c>
      <x:c r="AE44" s="97" t="str">
        <x:v>NOT_STARTED</x:v>
      </x:c>
      <x:c r="AF44" s="97" t="str">
        <x:v>Unassigned country-pack owner</x:v>
      </x:c>
      <x:c r="AG44" s="97" t="str">
        <x:v>SRC-CUS-001, SRC-CUS-005, SRC-CUS-007, SRC-DAT-001, SRC-POST-001, SRC-PRV-001, SRC-PRV-011</x:v>
      </x:c>
      <x:c r="AH44" s="97" t="str">
        <x:v>2026-07-25</x:v>
      </x:c>
      <x:c r="AI44" s="97" t="str">
        <x:v>2026-08-25</x:v>
      </x:c>
      <x:c r="AJ44" s="97" t="str">
        <x:v>Registry coverage only. Production readiness is capability-specific and requires the release checklist.</x:v>
      </x:c>
    </x:row>
    <x:row r="45" ht="54" customHeight="1">
      <x:c r="A45" s="99" t="str">
        <x:v>CP-CV</x:v>
      </x:c>
      <x:c r="B45" s="99" t="str">
        <x:v>Cape Verde</x:v>
      </x:c>
      <x:c r="C45" s="99" t="str">
        <x:v>CV</x:v>
      </x:c>
      <x:c r="D45" s="99" t="str">
        <x:v>CPV</x:v>
      </x:c>
      <x:c r="E45" s="99" t="str">
        <x:v>132</x:v>
      </x:c>
      <x:c r="F45" s="99" t="str">
        <x:v>ISO 3166-1 assigned</x:v>
      </x:c>
      <x:c r="G45" s="99" t="str">
        <x:v>Independent state</x:v>
      </x:c>
      <x:c r="H45" s="99" t="str">
        <x:v>Self-administered for pack indexing; legal status follows authoritative sources</x:v>
      </x:c>
      <x:c r="I45" s="99" t="str">
        <x:v>Africa</x:v>
      </x:c>
      <x:c r="J45" s="99" t="str">
        <x:v>Western Africa</x:v>
      </x:c>
      <x:c r="K45" s="99" t="str">
        <x:v>National/territorial customs framework—local validation required</x:v>
      </x:c>
      <x:c r="L45" s="99" t="str">
        <x:v>UPU/operator contract, bilateral rules, EAD/message versions and serviceability must be validated</x:v>
      </x:c>
      <x:c r="M45" s="99" t="str">
        <x:v>ICAO state rules, PLACI regime, security status, carrier routing and serviceability must be validated</x:v>
      </x:c>
      <x:c r="N45" s="99" t="str">
        <x:v>Country-pack privacy law and transfer mechanism required</x:v>
      </x:c>
      <x:c r="O45" s="99" t="str">
        <x:v>Screen live lists for every applicable nexus; resolve ownership, sectoral, end-use and licence controls</x:v>
      </x:c>
      <x:c r="P45" s="99" t="str">
        <x:v>No static legal conclusion. Validate current national/territorial customs, tax, licensing, product, privacy and carrier sources before activation.</x:v>
      </x:c>
      <x:c r="Q45" s="99" t="str">
        <x:v>BLOCKED until tariff, prohibitions, documents and carrier services approved</x:v>
      </x:c>
      <x:c r="R45" s="99" t="str">
        <x:v>BLOCKED until ICAO/state/operator variations and certified review path approved</x:v>
      </x:c>
      <x:c r="S45" s="99" t="str">
        <x:v>BLOCKED until SPS/agency/temperature rules and external filing path approved</x:v>
      </x:c>
      <x:c r="T45" s="99" t="str">
        <x:v>BLOCKED until product/site/importer authorizations and quality path approved</x:v>
      </x:c>
      <x:c r="U45" s="99" t="str">
        <x:v>BLOCKED until excise/licences/age/carrier contract approved</x:v>
      </x:c>
      <x:c r="V45" s="99" t="str">
        <x:v>BLOCKED until classification/end-use/licensing and sanctions path approved</x:v>
      </x:c>
      <x:c r="W45" s="99" t="str">
        <x:v>BLOCKED until provenance/security/insurance/carrier limits approved</x:v>
      </x:c>
      <x:c r="X45" s="99" t="str">
        <x:v>BLOCKED until purpose, values, relief evidence and restrictions approved</x:v>
      </x:c>
      <x:c r="Y45" s="103" t="b">
        <x:v>0</x:v>
      </x:c>
      <x:c r="Z45" s="103" t="b">
        <x:v>0</x:v>
      </x:c>
      <x:c r="AA45" s="103" t="b">
        <x:v>0</x:v>
      </x:c>
      <x:c r="AB45" s="103" t="b">
        <x:v>0</x:v>
      </x:c>
      <x:c r="AC45" s="103" t="b">
        <x:v>0</x:v>
      </x:c>
      <x:c r="AD45" s="106" t="str">
        <x:v>BLOCKED_PENDING_VALIDATION</x:v>
      </x:c>
      <x:c r="AE45" s="99" t="str">
        <x:v>NOT_STARTED</x:v>
      </x:c>
      <x:c r="AF45" s="99" t="str">
        <x:v>Unassigned country-pack owner</x:v>
      </x:c>
      <x:c r="AG45" s="99" t="str">
        <x:v>SRC-CUS-001, SRC-CUS-005, SRC-CUS-007, SRC-DAT-001, SRC-POST-001, SRC-PRV-001</x:v>
      </x:c>
      <x:c r="AH45" s="99" t="str">
        <x:v>2026-07-25</x:v>
      </x:c>
      <x:c r="AI45" s="99" t="str">
        <x:v>2026-08-25</x:v>
      </x:c>
      <x:c r="AJ45" s="99" t="str">
        <x:v>Registry coverage only. Production readiness is capability-specific and requires the release checklist.</x:v>
      </x:c>
    </x:row>
    <x:row r="46" ht="54" customHeight="1">
      <x:c r="A46" s="97" t="str">
        <x:v>CP-BQ</x:v>
      </x:c>
      <x:c r="B46" s="97" t="str">
        <x:v>Caribbean Netherlands</x:v>
      </x:c>
      <x:c r="C46" s="97" t="str">
        <x:v>BQ</x:v>
      </x:c>
      <x:c r="D46" s="97" t="str">
        <x:v>BES</x:v>
      </x:c>
      <x:c r="E46" s="97" t="str">
        <x:v>535</x:v>
      </x:c>
      <x:c r="F46" s="97" t="str">
        <x:v>ISO 3166-1 assigned</x:v>
      </x:c>
      <x:c r="G46" s="97" t="str">
        <x:v>Territory, dependency or special-area record</x:v>
      </x:c>
      <x:c r="H46" s="97" t="str">
        <x:v>Kingdom of the Netherlands</x:v>
      </x:c>
      <x:c r="I46" s="97" t="str">
        <x:v>Americas</x:v>
      </x:c>
      <x:c r="J46" s="97" t="str">
        <x:v>Caribbean</x:v>
      </x:c>
      <x:c r="K46" s="97" t="str">
        <x:v>National/territorial customs framework—local validation required</x:v>
      </x:c>
      <x:c r="L46" s="97" t="str">
        <x:v>UPU/operator contract, bilateral rules, EAD/message versions and serviceability must be validated</x:v>
      </x:c>
      <x:c r="M46" s="97" t="str">
        <x:v>ICAO state rules, PLACI regime, security status, carrier routing and serviceability must be validated</x:v>
      </x:c>
      <x:c r="N46" s="97" t="str">
        <x:v>Country-pack privacy law and transfer mechanism required</x:v>
      </x:c>
      <x:c r="O46" s="97" t="str">
        <x:v>Screen live lists for every applicable nexus; resolve ownership, sectoral, end-use and licence controls</x:v>
      </x:c>
      <x:c r="P46" s="97" t="str">
        <x:v>No static legal conclusion. Validate current national/territorial customs, tax, licensing, product, privacy and carrier sources before activation.</x:v>
      </x:c>
      <x:c r="Q46" s="97" t="str">
        <x:v>BLOCKED until tariff, prohibitions, documents and carrier services approved</x:v>
      </x:c>
      <x:c r="R46" s="97" t="str">
        <x:v>BLOCKED until ICAO/state/operator variations and certified review path approved</x:v>
      </x:c>
      <x:c r="S46" s="97" t="str">
        <x:v>BLOCKED until SPS/agency/temperature rules and external filing path approved</x:v>
      </x:c>
      <x:c r="T46" s="97" t="str">
        <x:v>BLOCKED until product/site/importer authorizations and quality path approved</x:v>
      </x:c>
      <x:c r="U46" s="97" t="str">
        <x:v>BLOCKED until excise/licences/age/carrier contract approved</x:v>
      </x:c>
      <x:c r="V46" s="97" t="str">
        <x:v>BLOCKED until classification/end-use/licensing and sanctions path approved</x:v>
      </x:c>
      <x:c r="W46" s="97" t="str">
        <x:v>BLOCKED until provenance/security/insurance/carrier limits approved</x:v>
      </x:c>
      <x:c r="X46" s="97" t="str">
        <x:v>BLOCKED until purpose, values, relief evidence and restrictions approved</x:v>
      </x:c>
      <x:c r="Y46" s="104" t="b">
        <x:v>0</x:v>
      </x:c>
      <x:c r="Z46" s="104" t="b">
        <x:v>0</x:v>
      </x:c>
      <x:c r="AA46" s="104" t="b">
        <x:v>0</x:v>
      </x:c>
      <x:c r="AB46" s="104" t="b">
        <x:v>0</x:v>
      </x:c>
      <x:c r="AC46" s="104" t="b">
        <x:v>0</x:v>
      </x:c>
      <x:c r="AD46" s="106" t="str">
        <x:v>BLOCKED_PENDING_VALIDATION</x:v>
      </x:c>
      <x:c r="AE46" s="97" t="str">
        <x:v>NOT_STARTED</x:v>
      </x:c>
      <x:c r="AF46" s="97" t="str">
        <x:v>Unassigned country-pack owner</x:v>
      </x:c>
      <x:c r="AG46" s="97" t="str">
        <x:v>SRC-CUS-001, SRC-CUS-005, SRC-CUS-007, SRC-DAT-001, SRC-POST-001, SRC-PRV-001</x:v>
      </x:c>
      <x:c r="AH46" s="97" t="str">
        <x:v>2026-07-25</x:v>
      </x:c>
      <x:c r="AI46" s="97" t="str">
        <x:v>2026-08-25</x:v>
      </x:c>
      <x:c r="AJ46" s="97" t="str">
        <x:v>Registry coverage only. Production readiness is capability-specific and requires the release checklist.</x:v>
      </x:c>
    </x:row>
    <x:row r="47" ht="54" customHeight="1">
      <x:c r="A47" s="99" t="str">
        <x:v>CP-KY</x:v>
      </x:c>
      <x:c r="B47" s="99" t="str">
        <x:v>Cayman Islands</x:v>
      </x:c>
      <x:c r="C47" s="99" t="str">
        <x:v>KY</x:v>
      </x:c>
      <x:c r="D47" s="99" t="str">
        <x:v>CYM</x:v>
      </x:c>
      <x:c r="E47" s="99" t="str">
        <x:v>136</x:v>
      </x:c>
      <x:c r="F47" s="99" t="str">
        <x:v>ISO 3166-1 assigned</x:v>
      </x:c>
      <x:c r="G47" s="99" t="str">
        <x:v>Territory, dependency or special-area record</x:v>
      </x:c>
      <x:c r="H47" s="99" t="str">
        <x:v>United Kingdom</x:v>
      </x:c>
      <x:c r="I47" s="99" t="str">
        <x:v>Americas</x:v>
      </x:c>
      <x:c r="J47" s="99" t="str">
        <x:v>Caribbean</x:v>
      </x:c>
      <x:c r="K47" s="99" t="str">
        <x:v>National/territorial customs framework—local validation required</x:v>
      </x:c>
      <x:c r="L47" s="99" t="str">
        <x:v>UPU/operator contract, bilateral rules, EAD/message versions and serviceability must be validated</x:v>
      </x:c>
      <x:c r="M47" s="99" t="str">
        <x:v>ICAO state rules, PLACI regime, security status, carrier routing and serviceability must be validated</x:v>
      </x:c>
      <x:c r="N47" s="99" t="str">
        <x:v>Country-pack privacy law and transfer mechanism required</x:v>
      </x:c>
      <x:c r="O47" s="99" t="str">
        <x:v>Screen live lists for every applicable nexus; resolve ownership, sectoral, end-use and licence controls</x:v>
      </x:c>
      <x:c r="P47" s="99" t="str">
        <x:v>No static legal conclusion. Validate current national/territorial customs, tax, licensing, product, privacy and carrier sources before activation.</x:v>
      </x:c>
      <x:c r="Q47" s="99" t="str">
        <x:v>BLOCKED until tariff, prohibitions, documents and carrier services approved</x:v>
      </x:c>
      <x:c r="R47" s="99" t="str">
        <x:v>BLOCKED until ICAO/state/operator variations and certified review path approved</x:v>
      </x:c>
      <x:c r="S47" s="99" t="str">
        <x:v>BLOCKED until SPS/agency/temperature rules and external filing path approved</x:v>
      </x:c>
      <x:c r="T47" s="99" t="str">
        <x:v>BLOCKED until product/site/importer authorizations and quality path approved</x:v>
      </x:c>
      <x:c r="U47" s="99" t="str">
        <x:v>BLOCKED until excise/licences/age/carrier contract approved</x:v>
      </x:c>
      <x:c r="V47" s="99" t="str">
        <x:v>BLOCKED until classification/end-use/licensing and sanctions path approved</x:v>
      </x:c>
      <x:c r="W47" s="99" t="str">
        <x:v>BLOCKED until provenance/security/insurance/carrier limits approved</x:v>
      </x:c>
      <x:c r="X47" s="99" t="str">
        <x:v>BLOCKED until purpose, values, relief evidence and restrictions approved</x:v>
      </x:c>
      <x:c r="Y47" s="103" t="b">
        <x:v>0</x:v>
      </x:c>
      <x:c r="Z47" s="103" t="b">
        <x:v>0</x:v>
      </x:c>
      <x:c r="AA47" s="103" t="b">
        <x:v>0</x:v>
      </x:c>
      <x:c r="AB47" s="103" t="b">
        <x:v>0</x:v>
      </x:c>
      <x:c r="AC47" s="103" t="b">
        <x:v>0</x:v>
      </x:c>
      <x:c r="AD47" s="106" t="str">
        <x:v>BLOCKED_PENDING_VALIDATION</x:v>
      </x:c>
      <x:c r="AE47" s="99" t="str">
        <x:v>NOT_STARTED</x:v>
      </x:c>
      <x:c r="AF47" s="99" t="str">
        <x:v>Unassigned country-pack owner</x:v>
      </x:c>
      <x:c r="AG47" s="99" t="str">
        <x:v>SRC-CUS-001, SRC-CUS-005, SRC-CUS-007, SRC-DAT-001, SRC-POST-001, SRC-PRV-001</x:v>
      </x:c>
      <x:c r="AH47" s="99" t="str">
        <x:v>2026-07-25</x:v>
      </x:c>
      <x:c r="AI47" s="99" t="str">
        <x:v>2026-08-25</x:v>
      </x:c>
      <x:c r="AJ47" s="99" t="str">
        <x:v>Registry coverage only. Production readiness is capability-specific and requires the release checklist.</x:v>
      </x:c>
    </x:row>
    <x:row r="48" ht="54" customHeight="1">
      <x:c r="A48" s="97" t="str">
        <x:v>CP-CF</x:v>
      </x:c>
      <x:c r="B48" s="97" t="str">
        <x:v>Central African Republic</x:v>
      </x:c>
      <x:c r="C48" s="97" t="str">
        <x:v>CF</x:v>
      </x:c>
      <x:c r="D48" s="97" t="str">
        <x:v>CAF</x:v>
      </x:c>
      <x:c r="E48" s="97" t="str">
        <x:v>140</x:v>
      </x:c>
      <x:c r="F48" s="97" t="str">
        <x:v>ISO 3166-1 assigned</x:v>
      </x:c>
      <x:c r="G48" s="97" t="str">
        <x:v>Independent state</x:v>
      </x:c>
      <x:c r="H48" s="97" t="str">
        <x:v>Self-administered for pack indexing; legal status follows authoritative sources</x:v>
      </x:c>
      <x:c r="I48" s="97" t="str">
        <x:v>Africa</x:v>
      </x:c>
      <x:c r="J48" s="97" t="str">
        <x:v>Middle Africa</x:v>
      </x:c>
      <x:c r="K48" s="97" t="str">
        <x:v>National/territorial customs framework—local validation required</x:v>
      </x:c>
      <x:c r="L48" s="97" t="str">
        <x:v>UPU/operator contract, bilateral rules, EAD/message versions and serviceability must be validated</x:v>
      </x:c>
      <x:c r="M48" s="97" t="str">
        <x:v>ICAO state rules, PLACI regime, security status, carrier routing and serviceability must be validated</x:v>
      </x:c>
      <x:c r="N48" s="97" t="str">
        <x:v>Country-pack privacy law and transfer mechanism required</x:v>
      </x:c>
      <x:c r="O48" s="97" t="str">
        <x:v>Screen live lists for every applicable nexus; resolve ownership, sectoral, end-use and licence controls</x:v>
      </x:c>
      <x:c r="P48" s="97" t="str">
        <x:v>No static legal conclusion. Validate current national/territorial customs, tax, licensing, product, privacy and carrier sources before activation.</x:v>
      </x:c>
      <x:c r="Q48" s="97" t="str">
        <x:v>BLOCKED until tariff, prohibitions, documents and carrier services approved</x:v>
      </x:c>
      <x:c r="R48" s="97" t="str">
        <x:v>BLOCKED until ICAO/state/operator variations and certified review path approved</x:v>
      </x:c>
      <x:c r="S48" s="97" t="str">
        <x:v>BLOCKED until SPS/agency/temperature rules and external filing path approved</x:v>
      </x:c>
      <x:c r="T48" s="97" t="str">
        <x:v>BLOCKED until product/site/importer authorizations and quality path approved</x:v>
      </x:c>
      <x:c r="U48" s="97" t="str">
        <x:v>BLOCKED until excise/licences/age/carrier contract approved</x:v>
      </x:c>
      <x:c r="V48" s="97" t="str">
        <x:v>BLOCKED until classification/end-use/licensing and sanctions path approved</x:v>
      </x:c>
      <x:c r="W48" s="97" t="str">
        <x:v>BLOCKED until provenance/security/insurance/carrier limits approved</x:v>
      </x:c>
      <x:c r="X48" s="97" t="str">
        <x:v>BLOCKED until purpose, values, relief evidence and restrictions approved</x:v>
      </x:c>
      <x:c r="Y48" s="104" t="b">
        <x:v>0</x:v>
      </x:c>
      <x:c r="Z48" s="104" t="b">
        <x:v>0</x:v>
      </x:c>
      <x:c r="AA48" s="104" t="b">
        <x:v>0</x:v>
      </x:c>
      <x:c r="AB48" s="104" t="b">
        <x:v>0</x:v>
      </x:c>
      <x:c r="AC48" s="104" t="b">
        <x:v>0</x:v>
      </x:c>
      <x:c r="AD48" s="106" t="str">
        <x:v>BLOCKED_PENDING_VALIDATION</x:v>
      </x:c>
      <x:c r="AE48" s="97" t="str">
        <x:v>NOT_STARTED</x:v>
      </x:c>
      <x:c r="AF48" s="97" t="str">
        <x:v>Unassigned country-pack owner</x:v>
      </x:c>
      <x:c r="AG48" s="97" t="str">
        <x:v>SRC-CUS-001, SRC-CUS-005, SRC-CUS-007, SRC-DAT-001, SRC-POST-001, SRC-PRV-001</x:v>
      </x:c>
      <x:c r="AH48" s="97" t="str">
        <x:v>2026-07-25</x:v>
      </x:c>
      <x:c r="AI48" s="97" t="str">
        <x:v>2026-08-25</x:v>
      </x:c>
      <x:c r="AJ48" s="97" t="str">
        <x:v>Registry coverage only. Production readiness is capability-specific and requires the release checklist.</x:v>
      </x:c>
    </x:row>
    <x:row r="49" ht="54" customHeight="1">
      <x:c r="A49" s="99" t="str">
        <x:v>CP-TD</x:v>
      </x:c>
      <x:c r="B49" s="99" t="str">
        <x:v>Chad</x:v>
      </x:c>
      <x:c r="C49" s="99" t="str">
        <x:v>TD</x:v>
      </x:c>
      <x:c r="D49" s="99" t="str">
        <x:v>TCD</x:v>
      </x:c>
      <x:c r="E49" s="99" t="str">
        <x:v>148</x:v>
      </x:c>
      <x:c r="F49" s="99" t="str">
        <x:v>ISO 3166-1 assigned</x:v>
      </x:c>
      <x:c r="G49" s="99" t="str">
        <x:v>Independent state</x:v>
      </x:c>
      <x:c r="H49" s="99" t="str">
        <x:v>Self-administered for pack indexing; legal status follows authoritative sources</x:v>
      </x:c>
      <x:c r="I49" s="99" t="str">
        <x:v>Africa</x:v>
      </x:c>
      <x:c r="J49" s="99" t="str">
        <x:v>Middle Africa</x:v>
      </x:c>
      <x:c r="K49" s="99" t="str">
        <x:v>National/territorial customs framework—local validation required</x:v>
      </x:c>
      <x:c r="L49" s="99" t="str">
        <x:v>UPU/operator contract, bilateral rules, EAD/message versions and serviceability must be validated</x:v>
      </x:c>
      <x:c r="M49" s="99" t="str">
        <x:v>ICAO state rules, PLACI regime, security status, carrier routing and serviceability must be validated</x:v>
      </x:c>
      <x:c r="N49" s="99" t="str">
        <x:v>Country-pack privacy law and transfer mechanism required</x:v>
      </x:c>
      <x:c r="O49" s="99" t="str">
        <x:v>Screen live lists for every applicable nexus; resolve ownership, sectoral, end-use and licence controls</x:v>
      </x:c>
      <x:c r="P49" s="99" t="str">
        <x:v>No static legal conclusion. Validate current national/territorial customs, tax, licensing, product, privacy and carrier sources before activation.</x:v>
      </x:c>
      <x:c r="Q49" s="99" t="str">
        <x:v>BLOCKED until tariff, prohibitions, documents and carrier services approved</x:v>
      </x:c>
      <x:c r="R49" s="99" t="str">
        <x:v>BLOCKED until ICAO/state/operator variations and certified review path approved</x:v>
      </x:c>
      <x:c r="S49" s="99" t="str">
        <x:v>BLOCKED until SPS/agency/temperature rules and external filing path approved</x:v>
      </x:c>
      <x:c r="T49" s="99" t="str">
        <x:v>BLOCKED until product/site/importer authorizations and quality path approved</x:v>
      </x:c>
      <x:c r="U49" s="99" t="str">
        <x:v>BLOCKED until excise/licences/age/carrier contract approved</x:v>
      </x:c>
      <x:c r="V49" s="99" t="str">
        <x:v>BLOCKED until classification/end-use/licensing and sanctions path approved</x:v>
      </x:c>
      <x:c r="W49" s="99" t="str">
        <x:v>BLOCKED until provenance/security/insurance/carrier limits approved</x:v>
      </x:c>
      <x:c r="X49" s="99" t="str">
        <x:v>BLOCKED until purpose, values, relief evidence and restrictions approved</x:v>
      </x:c>
      <x:c r="Y49" s="103" t="b">
        <x:v>0</x:v>
      </x:c>
      <x:c r="Z49" s="103" t="b">
        <x:v>0</x:v>
      </x:c>
      <x:c r="AA49" s="103" t="b">
        <x:v>0</x:v>
      </x:c>
      <x:c r="AB49" s="103" t="b">
        <x:v>0</x:v>
      </x:c>
      <x:c r="AC49" s="103" t="b">
        <x:v>0</x:v>
      </x:c>
      <x:c r="AD49" s="106" t="str">
        <x:v>BLOCKED_PENDING_VALIDATION</x:v>
      </x:c>
      <x:c r="AE49" s="99" t="str">
        <x:v>NOT_STARTED</x:v>
      </x:c>
      <x:c r="AF49" s="99" t="str">
        <x:v>Unassigned country-pack owner</x:v>
      </x:c>
      <x:c r="AG49" s="99" t="str">
        <x:v>SRC-CUS-001, SRC-CUS-005, SRC-CUS-007, SRC-DAT-001, SRC-POST-001, SRC-PRV-001</x:v>
      </x:c>
      <x:c r="AH49" s="99" t="str">
        <x:v>2026-07-25</x:v>
      </x:c>
      <x:c r="AI49" s="99" t="str">
        <x:v>2026-08-25</x:v>
      </x:c>
      <x:c r="AJ49" s="99" t="str">
        <x:v>Registry coverage only. Production readiness is capability-specific and requires the release checklist.</x:v>
      </x:c>
    </x:row>
    <x:row r="50" ht="54" customHeight="1">
      <x:c r="A50" s="97" t="str">
        <x:v>CP-CL</x:v>
      </x:c>
      <x:c r="B50" s="97" t="str">
        <x:v>Chile</x:v>
      </x:c>
      <x:c r="C50" s="97" t="str">
        <x:v>CL</x:v>
      </x:c>
      <x:c r="D50" s="97" t="str">
        <x:v>CHL</x:v>
      </x:c>
      <x:c r="E50" s="97" t="str">
        <x:v>152</x:v>
      </x:c>
      <x:c r="F50" s="97" t="str">
        <x:v>ISO 3166-1 assigned</x:v>
      </x:c>
      <x:c r="G50" s="97" t="str">
        <x:v>Independent state</x:v>
      </x:c>
      <x:c r="H50" s="97" t="str">
        <x:v>Self-administered for pack indexing; legal status follows authoritative sources</x:v>
      </x:c>
      <x:c r="I50" s="97" t="str">
        <x:v>Americas</x:v>
      </x:c>
      <x:c r="J50" s="97" t="str">
        <x:v>South America</x:v>
      </x:c>
      <x:c r="K50" s="97" t="str">
        <x:v>National/territorial customs framework—local validation required</x:v>
      </x:c>
      <x:c r="L50" s="97" t="str">
        <x:v>UPU/operator contract, bilateral rules, EAD/message versions and serviceability must be validated</x:v>
      </x:c>
      <x:c r="M50" s="97" t="str">
        <x:v>ICAO state rules, PLACI regime, security status, carrier routing and serviceability must be validated</x:v>
      </x:c>
      <x:c r="N50" s="97" t="str">
        <x:v>Country-pack privacy law and transfer mechanism required</x:v>
      </x:c>
      <x:c r="O50" s="97" t="str">
        <x:v>Screen live lists for every applicable nexus; resolve ownership, sectoral, end-use and licence controls</x:v>
      </x:c>
      <x:c r="P50" s="97" t="str">
        <x:v>No static legal conclusion. Validate current national/territorial customs, tax, licensing, product, privacy and carrier sources before activation.</x:v>
      </x:c>
      <x:c r="Q50" s="97" t="str">
        <x:v>BLOCKED until tariff, prohibitions, documents and carrier services approved</x:v>
      </x:c>
      <x:c r="R50" s="97" t="str">
        <x:v>BLOCKED until ICAO/state/operator variations and certified review path approved</x:v>
      </x:c>
      <x:c r="S50" s="97" t="str">
        <x:v>BLOCKED until SPS/agency/temperature rules and external filing path approved</x:v>
      </x:c>
      <x:c r="T50" s="97" t="str">
        <x:v>BLOCKED until product/site/importer authorizations and quality path approved</x:v>
      </x:c>
      <x:c r="U50" s="97" t="str">
        <x:v>BLOCKED until excise/licences/age/carrier contract approved</x:v>
      </x:c>
      <x:c r="V50" s="97" t="str">
        <x:v>BLOCKED until classification/end-use/licensing and sanctions path approved</x:v>
      </x:c>
      <x:c r="W50" s="97" t="str">
        <x:v>BLOCKED until provenance/security/insurance/carrier limits approved</x:v>
      </x:c>
      <x:c r="X50" s="97" t="str">
        <x:v>BLOCKED until purpose, values, relief evidence and restrictions approved</x:v>
      </x:c>
      <x:c r="Y50" s="104" t="b">
        <x:v>0</x:v>
      </x:c>
      <x:c r="Z50" s="104" t="b">
        <x:v>0</x:v>
      </x:c>
      <x:c r="AA50" s="104" t="b">
        <x:v>0</x:v>
      </x:c>
      <x:c r="AB50" s="104" t="b">
        <x:v>0</x:v>
      </x:c>
      <x:c r="AC50" s="104" t="b">
        <x:v>0</x:v>
      </x:c>
      <x:c r="AD50" s="106" t="str">
        <x:v>BLOCKED_PENDING_VALIDATION</x:v>
      </x:c>
      <x:c r="AE50" s="97" t="str">
        <x:v>NOT_STARTED</x:v>
      </x:c>
      <x:c r="AF50" s="97" t="str">
        <x:v>Unassigned country-pack owner</x:v>
      </x:c>
      <x:c r="AG50" s="97" t="str">
        <x:v>SRC-CUS-001, SRC-CUS-005, SRC-CUS-007, SRC-DAT-001, SRC-POST-001, SRC-PRV-001</x:v>
      </x:c>
      <x:c r="AH50" s="97" t="str">
        <x:v>2026-07-25</x:v>
      </x:c>
      <x:c r="AI50" s="97" t="str">
        <x:v>2026-08-25</x:v>
      </x:c>
      <x:c r="AJ50" s="97" t="str">
        <x:v>Registry coverage only. Production readiness is capability-specific and requires the release checklist.</x:v>
      </x:c>
    </x:row>
    <x:row r="51" ht="54" customHeight="1">
      <x:c r="A51" s="99" t="str">
        <x:v>CP-CN</x:v>
      </x:c>
      <x:c r="B51" s="99" t="str">
        <x:v>China</x:v>
      </x:c>
      <x:c r="C51" s="99" t="str">
        <x:v>CN</x:v>
      </x:c>
      <x:c r="D51" s="99" t="str">
        <x:v>CHN</x:v>
      </x:c>
      <x:c r="E51" s="99" t="str">
        <x:v>156</x:v>
      </x:c>
      <x:c r="F51" s="99" t="str">
        <x:v>ISO 3166-1 assigned</x:v>
      </x:c>
      <x:c r="G51" s="99" t="str">
        <x:v>Independent state</x:v>
      </x:c>
      <x:c r="H51" s="99" t="str">
        <x:v>Self-administered for pack indexing; legal status follows authoritative sources</x:v>
      </x:c>
      <x:c r="I51" s="99" t="str">
        <x:v>Asia</x:v>
      </x:c>
      <x:c r="J51" s="99" t="str">
        <x:v>Eastern Asia</x:v>
      </x:c>
      <x:c r="K51" s="99" t="str">
        <x:v>Mainland China customs territory; HK/MO separate</x:v>
      </x:c>
      <x:c r="L51" s="99" t="str">
        <x:v>UPU/operator contract, bilateral rules, EAD/message versions and serviceability must be validated</x:v>
      </x:c>
      <x:c r="M51" s="99" t="str">
        <x:v>ICAO state rules, PLACI regime, security status, carrier routing and serviceability must be validated</x:v>
      </x:c>
      <x:c r="N51" s="99" t="str">
        <x:v>PIPL; localization/transfer assessment as applicable</x:v>
      </x:c>
      <x:c r="O51" s="99" t="str">
        <x:v>Screen live lists for every applicable nexus; resolve ownership, sectoral, end-use and licence controls</x:v>
      </x:c>
      <x:c r="P51" s="99" t="str">
        <x:v>Mainland China pack; HK and MO are separate customs/privacy packs. Export-control, sanctions and data-transfer nexuses require specialist review.</x:v>
      </x:c>
      <x:c r="Q51" s="99" t="str">
        <x:v>BLOCKED until tariff, prohibitions, documents and carrier services approved</x:v>
      </x:c>
      <x:c r="R51" s="99" t="str">
        <x:v>BLOCKED until ICAO/state/operator variations and certified review path approved</x:v>
      </x:c>
      <x:c r="S51" s="99" t="str">
        <x:v>BLOCKED until SPS/agency/temperature rules and external filing path approved</x:v>
      </x:c>
      <x:c r="T51" s="99" t="str">
        <x:v>BLOCKED until product/site/importer authorizations and quality path approved</x:v>
      </x:c>
      <x:c r="U51" s="99" t="str">
        <x:v>BLOCKED until excise/licences/age/carrier contract approved</x:v>
      </x:c>
      <x:c r="V51" s="99" t="str">
        <x:v>BLOCKED until classification/end-use/licensing and sanctions path approved</x:v>
      </x:c>
      <x:c r="W51" s="99" t="str">
        <x:v>BLOCKED until provenance/security/insurance/carrier limits approved</x:v>
      </x:c>
      <x:c r="X51" s="99" t="str">
        <x:v>BLOCKED until purpose, values, relief evidence and restrictions approved</x:v>
      </x:c>
      <x:c r="Y51" s="103" t="b">
        <x:v>0</x:v>
      </x:c>
      <x:c r="Z51" s="103" t="b">
        <x:v>0</x:v>
      </x:c>
      <x:c r="AA51" s="103" t="b">
        <x:v>0</x:v>
      </x:c>
      <x:c r="AB51" s="103" t="b">
        <x:v>0</x:v>
      </x:c>
      <x:c r="AC51" s="103" t="b">
        <x:v>0</x:v>
      </x:c>
      <x:c r="AD51" s="106" t="str">
        <x:v>BLOCKED_PENDING_VALIDATION</x:v>
      </x:c>
      <x:c r="AE51" s="99" t="str">
        <x:v>NOT_STARTED</x:v>
      </x:c>
      <x:c r="AF51" s="99" t="str">
        <x:v>Unassigned country-pack owner</x:v>
      </x:c>
      <x:c r="AG51" s="99" t="str">
        <x:v>SRC-CUS-001, SRC-CUS-005, SRC-CUS-007, SRC-DAT-001, SRC-POST-001, SRC-PRV-001, SRC-PRV-009</x:v>
      </x:c>
      <x:c r="AH51" s="99" t="str">
        <x:v>2026-07-25</x:v>
      </x:c>
      <x:c r="AI51" s="99" t="str">
        <x:v>2026-08-25</x:v>
      </x:c>
      <x:c r="AJ51" s="99" t="str">
        <x:v>Registry coverage only. Production readiness is capability-specific and requires the release checklist.</x:v>
      </x:c>
    </x:row>
    <x:row r="52" ht="54" customHeight="1">
      <x:c r="A52" s="97" t="str">
        <x:v>CP-CX</x:v>
      </x:c>
      <x:c r="B52" s="97" t="str">
        <x:v>Christmas Island</x:v>
      </x:c>
      <x:c r="C52" s="97" t="str">
        <x:v>CX</x:v>
      </x:c>
      <x:c r="D52" s="97" t="str">
        <x:v>CXR</x:v>
      </x:c>
      <x:c r="E52" s="97" t="str">
        <x:v>162</x:v>
      </x:c>
      <x:c r="F52" s="97" t="str">
        <x:v>ISO 3166-1 assigned</x:v>
      </x:c>
      <x:c r="G52" s="97" t="str">
        <x:v>Territory, dependency or special-area record</x:v>
      </x:c>
      <x:c r="H52" s="97" t="str">
        <x:v>Australia</x:v>
      </x:c>
      <x:c r="I52" s="97" t="str">
        <x:v>Oceania</x:v>
      </x:c>
      <x:c r="J52" s="97" t="str">
        <x:v>Australia and New Zealand</x:v>
      </x:c>
      <x:c r="K52" s="97" t="str">
        <x:v>National/territorial customs framework—local validation required</x:v>
      </x:c>
      <x:c r="L52" s="97" t="str">
        <x:v>UPU/operator contract, bilateral rules, EAD/message versions and serviceability must be validated</x:v>
      </x:c>
      <x:c r="M52" s="97" t="str">
        <x:v>ICAO state rules, PLACI regime, security status, carrier routing and serviceability must be validated</x:v>
      </x:c>
      <x:c r="N52" s="97" t="str">
        <x:v>Country-pack privacy law and transfer mechanism required</x:v>
      </x:c>
      <x:c r="O52" s="97" t="str">
        <x:v>Screen live lists for every applicable nexus; resolve ownership, sectoral, end-use and licence controls</x:v>
      </x:c>
      <x:c r="P52" s="97" t="str">
        <x:v>No static legal conclusion. Validate current national/territorial customs, tax, licensing, product, privacy and carrier sources before activation.</x:v>
      </x:c>
      <x:c r="Q52" s="97" t="str">
        <x:v>BLOCKED until tariff, prohibitions, documents and carrier services approved</x:v>
      </x:c>
      <x:c r="R52" s="97" t="str">
        <x:v>BLOCKED until ICAO/state/operator variations and certified review path approved</x:v>
      </x:c>
      <x:c r="S52" s="97" t="str">
        <x:v>BLOCKED until SPS/agency/temperature rules and external filing path approved</x:v>
      </x:c>
      <x:c r="T52" s="97" t="str">
        <x:v>BLOCKED until product/site/importer authorizations and quality path approved</x:v>
      </x:c>
      <x:c r="U52" s="97" t="str">
        <x:v>BLOCKED until excise/licences/age/carrier contract approved</x:v>
      </x:c>
      <x:c r="V52" s="97" t="str">
        <x:v>BLOCKED until classification/end-use/licensing and sanctions path approved</x:v>
      </x:c>
      <x:c r="W52" s="97" t="str">
        <x:v>BLOCKED until provenance/security/insurance/carrier limits approved</x:v>
      </x:c>
      <x:c r="X52" s="97" t="str">
        <x:v>BLOCKED until purpose, values, relief evidence and restrictions approved</x:v>
      </x:c>
      <x:c r="Y52" s="104" t="b">
        <x:v>0</x:v>
      </x:c>
      <x:c r="Z52" s="104" t="b">
        <x:v>0</x:v>
      </x:c>
      <x:c r="AA52" s="104" t="b">
        <x:v>0</x:v>
      </x:c>
      <x:c r="AB52" s="104" t="b">
        <x:v>0</x:v>
      </x:c>
      <x:c r="AC52" s="104" t="b">
        <x:v>0</x:v>
      </x:c>
      <x:c r="AD52" s="106" t="str">
        <x:v>BLOCKED_PENDING_VALIDATION</x:v>
      </x:c>
      <x:c r="AE52" s="97" t="str">
        <x:v>NOT_STARTED</x:v>
      </x:c>
      <x:c r="AF52" s="97" t="str">
        <x:v>Unassigned country-pack owner</x:v>
      </x:c>
      <x:c r="AG52" s="97" t="str">
        <x:v>SRC-CUS-001, SRC-CUS-005, SRC-CUS-007, SRC-DAT-001, SRC-POST-001, SRC-PRV-001</x:v>
      </x:c>
      <x:c r="AH52" s="97" t="str">
        <x:v>2026-07-25</x:v>
      </x:c>
      <x:c r="AI52" s="97" t="str">
        <x:v>2026-08-25</x:v>
      </x:c>
      <x:c r="AJ52" s="97" t="str">
        <x:v>Registry coverage only. Production readiness is capability-specific and requires the release checklist.</x:v>
      </x:c>
    </x:row>
    <x:row r="53" ht="54" customHeight="1">
      <x:c r="A53" s="99" t="str">
        <x:v>CP-CC</x:v>
      </x:c>
      <x:c r="B53" s="99" t="str">
        <x:v>Cocos (Keeling) Islands</x:v>
      </x:c>
      <x:c r="C53" s="99" t="str">
        <x:v>CC</x:v>
      </x:c>
      <x:c r="D53" s="99" t="str">
        <x:v>CCK</x:v>
      </x:c>
      <x:c r="E53" s="99" t="str">
        <x:v>166</x:v>
      </x:c>
      <x:c r="F53" s="99" t="str">
        <x:v>ISO 3166-1 assigned</x:v>
      </x:c>
      <x:c r="G53" s="99" t="str">
        <x:v>Territory, dependency or special-area record</x:v>
      </x:c>
      <x:c r="H53" s="99" t="str">
        <x:v>Australia</x:v>
      </x:c>
      <x:c r="I53" s="99" t="str">
        <x:v>Oceania</x:v>
      </x:c>
      <x:c r="J53" s="99" t="str">
        <x:v>Australia and New Zealand</x:v>
      </x:c>
      <x:c r="K53" s="99" t="str">
        <x:v>National/territorial customs framework—local validation required</x:v>
      </x:c>
      <x:c r="L53" s="99" t="str">
        <x:v>UPU/operator contract, bilateral rules, EAD/message versions and serviceability must be validated</x:v>
      </x:c>
      <x:c r="M53" s="99" t="str">
        <x:v>ICAO state rules, PLACI regime, security status, carrier routing and serviceability must be validated</x:v>
      </x:c>
      <x:c r="N53" s="99" t="str">
        <x:v>Country-pack privacy law and transfer mechanism required</x:v>
      </x:c>
      <x:c r="O53" s="99" t="str">
        <x:v>Screen live lists for every applicable nexus; resolve ownership, sectoral, end-use and licence controls</x:v>
      </x:c>
      <x:c r="P53" s="99" t="str">
        <x:v>No static legal conclusion. Validate current national/territorial customs, tax, licensing, product, privacy and carrier sources before activation.</x:v>
      </x:c>
      <x:c r="Q53" s="99" t="str">
        <x:v>BLOCKED until tariff, prohibitions, documents and carrier services approved</x:v>
      </x:c>
      <x:c r="R53" s="99" t="str">
        <x:v>BLOCKED until ICAO/state/operator variations and certified review path approved</x:v>
      </x:c>
      <x:c r="S53" s="99" t="str">
        <x:v>BLOCKED until SPS/agency/temperature rules and external filing path approved</x:v>
      </x:c>
      <x:c r="T53" s="99" t="str">
        <x:v>BLOCKED until product/site/importer authorizations and quality path approved</x:v>
      </x:c>
      <x:c r="U53" s="99" t="str">
        <x:v>BLOCKED until excise/licences/age/carrier contract approved</x:v>
      </x:c>
      <x:c r="V53" s="99" t="str">
        <x:v>BLOCKED until classification/end-use/licensing and sanctions path approved</x:v>
      </x:c>
      <x:c r="W53" s="99" t="str">
        <x:v>BLOCKED until provenance/security/insurance/carrier limits approved</x:v>
      </x:c>
      <x:c r="X53" s="99" t="str">
        <x:v>BLOCKED until purpose, values, relief evidence and restrictions approved</x:v>
      </x:c>
      <x:c r="Y53" s="103" t="b">
        <x:v>0</x:v>
      </x:c>
      <x:c r="Z53" s="103" t="b">
        <x:v>0</x:v>
      </x:c>
      <x:c r="AA53" s="103" t="b">
        <x:v>0</x:v>
      </x:c>
      <x:c r="AB53" s="103" t="b">
        <x:v>0</x:v>
      </x:c>
      <x:c r="AC53" s="103" t="b">
        <x:v>0</x:v>
      </x:c>
      <x:c r="AD53" s="106" t="str">
        <x:v>BLOCKED_PENDING_VALIDATION</x:v>
      </x:c>
      <x:c r="AE53" s="99" t="str">
        <x:v>NOT_STARTED</x:v>
      </x:c>
      <x:c r="AF53" s="99" t="str">
        <x:v>Unassigned country-pack owner</x:v>
      </x:c>
      <x:c r="AG53" s="99" t="str">
        <x:v>SRC-CUS-001, SRC-CUS-005, SRC-CUS-007, SRC-DAT-001, SRC-POST-001, SRC-PRV-001</x:v>
      </x:c>
      <x:c r="AH53" s="99" t="str">
        <x:v>2026-07-25</x:v>
      </x:c>
      <x:c r="AI53" s="99" t="str">
        <x:v>2026-08-25</x:v>
      </x:c>
      <x:c r="AJ53" s="99" t="str">
        <x:v>Registry coverage only. Production readiness is capability-specific and requires the release checklist.</x:v>
      </x:c>
    </x:row>
    <x:row r="54" ht="54" customHeight="1">
      <x:c r="A54" s="97" t="str">
        <x:v>CP-CO</x:v>
      </x:c>
      <x:c r="B54" s="97" t="str">
        <x:v>Colombia</x:v>
      </x:c>
      <x:c r="C54" s="97" t="str">
        <x:v>CO</x:v>
      </x:c>
      <x:c r="D54" s="97" t="str">
        <x:v>COL</x:v>
      </x:c>
      <x:c r="E54" s="97" t="str">
        <x:v>170</x:v>
      </x:c>
      <x:c r="F54" s="97" t="str">
        <x:v>ISO 3166-1 assigned</x:v>
      </x:c>
      <x:c r="G54" s="97" t="str">
        <x:v>Independent state</x:v>
      </x:c>
      <x:c r="H54" s="97" t="str">
        <x:v>Self-administered for pack indexing; legal status follows authoritative sources</x:v>
      </x:c>
      <x:c r="I54" s="97" t="str">
        <x:v>Americas</x:v>
      </x:c>
      <x:c r="J54" s="97" t="str">
        <x:v>South America</x:v>
      </x:c>
      <x:c r="K54" s="97" t="str">
        <x:v>National/territorial customs framework—local validation required</x:v>
      </x:c>
      <x:c r="L54" s="97" t="str">
        <x:v>UPU/operator contract, bilateral rules, EAD/message versions and serviceability must be validated</x:v>
      </x:c>
      <x:c r="M54" s="97" t="str">
        <x:v>ICAO state rules, PLACI regime, security status, carrier routing and serviceability must be validated</x:v>
      </x:c>
      <x:c r="N54" s="97" t="str">
        <x:v>Country-pack privacy law and transfer mechanism required</x:v>
      </x:c>
      <x:c r="O54" s="97" t="str">
        <x:v>Screen live lists for every applicable nexus; resolve ownership, sectoral, end-use and licence controls</x:v>
      </x:c>
      <x:c r="P54" s="97" t="str">
        <x:v>No static legal conclusion. Validate current national/territorial customs, tax, licensing, product, privacy and carrier sources before activation.</x:v>
      </x:c>
      <x:c r="Q54" s="97" t="str">
        <x:v>BLOCKED until tariff, prohibitions, documents and carrier services approved</x:v>
      </x:c>
      <x:c r="R54" s="97" t="str">
        <x:v>BLOCKED until ICAO/state/operator variations and certified review path approved</x:v>
      </x:c>
      <x:c r="S54" s="97" t="str">
        <x:v>BLOCKED until SPS/agency/temperature rules and external filing path approved</x:v>
      </x:c>
      <x:c r="T54" s="97" t="str">
        <x:v>BLOCKED until product/site/importer authorizations and quality path approved</x:v>
      </x:c>
      <x:c r="U54" s="97" t="str">
        <x:v>BLOCKED until excise/licences/age/carrier contract approved</x:v>
      </x:c>
      <x:c r="V54" s="97" t="str">
        <x:v>BLOCKED until classification/end-use/licensing and sanctions path approved</x:v>
      </x:c>
      <x:c r="W54" s="97" t="str">
        <x:v>BLOCKED until provenance/security/insurance/carrier limits approved</x:v>
      </x:c>
      <x:c r="X54" s="97" t="str">
        <x:v>BLOCKED until purpose, values, relief evidence and restrictions approved</x:v>
      </x:c>
      <x:c r="Y54" s="104" t="b">
        <x:v>0</x:v>
      </x:c>
      <x:c r="Z54" s="104" t="b">
        <x:v>0</x:v>
      </x:c>
      <x:c r="AA54" s="104" t="b">
        <x:v>0</x:v>
      </x:c>
      <x:c r="AB54" s="104" t="b">
        <x:v>0</x:v>
      </x:c>
      <x:c r="AC54" s="104" t="b">
        <x:v>0</x:v>
      </x:c>
      <x:c r="AD54" s="106" t="str">
        <x:v>BLOCKED_PENDING_VALIDATION</x:v>
      </x:c>
      <x:c r="AE54" s="97" t="str">
        <x:v>NOT_STARTED</x:v>
      </x:c>
      <x:c r="AF54" s="97" t="str">
        <x:v>Unassigned country-pack owner</x:v>
      </x:c>
      <x:c r="AG54" s="97" t="str">
        <x:v>SRC-CUS-001, SRC-CUS-005, SRC-CUS-007, SRC-DAT-001, SRC-POST-001, SRC-PRV-001</x:v>
      </x:c>
      <x:c r="AH54" s="97" t="str">
        <x:v>2026-07-25</x:v>
      </x:c>
      <x:c r="AI54" s="97" t="str">
        <x:v>2026-08-25</x:v>
      </x:c>
      <x:c r="AJ54" s="97" t="str">
        <x:v>Registry coverage only. Production readiness is capability-specific and requires the release checklist.</x:v>
      </x:c>
    </x:row>
    <x:row r="55" ht="54" customHeight="1">
      <x:c r="A55" s="99" t="str">
        <x:v>CP-KM</x:v>
      </x:c>
      <x:c r="B55" s="99" t="str">
        <x:v>Comoros</x:v>
      </x:c>
      <x:c r="C55" s="99" t="str">
        <x:v>KM</x:v>
      </x:c>
      <x:c r="D55" s="99" t="str">
        <x:v>COM</x:v>
      </x:c>
      <x:c r="E55" s="99" t="str">
        <x:v>174</x:v>
      </x:c>
      <x:c r="F55" s="99" t="str">
        <x:v>ISO 3166-1 assigned</x:v>
      </x:c>
      <x:c r="G55" s="99" t="str">
        <x:v>Independent state</x:v>
      </x:c>
      <x:c r="H55" s="99" t="str">
        <x:v>Self-administered for pack indexing; legal status follows authoritative sources</x:v>
      </x:c>
      <x:c r="I55" s="99" t="str">
        <x:v>Africa</x:v>
      </x:c>
      <x:c r="J55" s="99" t="str">
        <x:v>Eastern Africa</x:v>
      </x:c>
      <x:c r="K55" s="99" t="str">
        <x:v>National/territorial customs framework—local validation required</x:v>
      </x:c>
      <x:c r="L55" s="99" t="str">
        <x:v>UPU/operator contract, bilateral rules, EAD/message versions and serviceability must be validated</x:v>
      </x:c>
      <x:c r="M55" s="99" t="str">
        <x:v>ICAO state rules, PLACI regime, security status, carrier routing and serviceability must be validated</x:v>
      </x:c>
      <x:c r="N55" s="99" t="str">
        <x:v>Country-pack privacy law and transfer mechanism required</x:v>
      </x:c>
      <x:c r="O55" s="99" t="str">
        <x:v>Screen live lists for every applicable nexus; resolve ownership, sectoral, end-use and licence controls</x:v>
      </x:c>
      <x:c r="P55" s="99" t="str">
        <x:v>No static legal conclusion. Validate current national/territorial customs, tax, licensing, product, privacy and carrier sources before activation.</x:v>
      </x:c>
      <x:c r="Q55" s="99" t="str">
        <x:v>BLOCKED until tariff, prohibitions, documents and carrier services approved</x:v>
      </x:c>
      <x:c r="R55" s="99" t="str">
        <x:v>BLOCKED until ICAO/state/operator variations and certified review path approved</x:v>
      </x:c>
      <x:c r="S55" s="99" t="str">
        <x:v>BLOCKED until SPS/agency/temperature rules and external filing path approved</x:v>
      </x:c>
      <x:c r="T55" s="99" t="str">
        <x:v>BLOCKED until product/site/importer authorizations and quality path approved</x:v>
      </x:c>
      <x:c r="U55" s="99" t="str">
        <x:v>BLOCKED until excise/licences/age/carrier contract approved</x:v>
      </x:c>
      <x:c r="V55" s="99" t="str">
        <x:v>BLOCKED until classification/end-use/licensing and sanctions path approved</x:v>
      </x:c>
      <x:c r="W55" s="99" t="str">
        <x:v>BLOCKED until provenance/security/insurance/carrier limits approved</x:v>
      </x:c>
      <x:c r="X55" s="99" t="str">
        <x:v>BLOCKED until purpose, values, relief evidence and restrictions approved</x:v>
      </x:c>
      <x:c r="Y55" s="103" t="b">
        <x:v>0</x:v>
      </x:c>
      <x:c r="Z55" s="103" t="b">
        <x:v>0</x:v>
      </x:c>
      <x:c r="AA55" s="103" t="b">
        <x:v>0</x:v>
      </x:c>
      <x:c r="AB55" s="103" t="b">
        <x:v>0</x:v>
      </x:c>
      <x:c r="AC55" s="103" t="b">
        <x:v>0</x:v>
      </x:c>
      <x:c r="AD55" s="106" t="str">
        <x:v>BLOCKED_PENDING_VALIDATION</x:v>
      </x:c>
      <x:c r="AE55" s="99" t="str">
        <x:v>NOT_STARTED</x:v>
      </x:c>
      <x:c r="AF55" s="99" t="str">
        <x:v>Unassigned country-pack owner</x:v>
      </x:c>
      <x:c r="AG55" s="99" t="str">
        <x:v>SRC-CUS-001, SRC-CUS-005, SRC-CUS-007, SRC-DAT-001, SRC-POST-001, SRC-PRV-001</x:v>
      </x:c>
      <x:c r="AH55" s="99" t="str">
        <x:v>2026-07-25</x:v>
      </x:c>
      <x:c r="AI55" s="99" t="str">
        <x:v>2026-08-25</x:v>
      </x:c>
      <x:c r="AJ55" s="99" t="str">
        <x:v>Registry coverage only. Production readiness is capability-specific and requires the release checklist.</x:v>
      </x:c>
    </x:row>
    <x:row r="56" ht="54" customHeight="1">
      <x:c r="A56" s="97" t="str">
        <x:v>CP-CK</x:v>
      </x:c>
      <x:c r="B56" s="97" t="str">
        <x:v>Cook Islands</x:v>
      </x:c>
      <x:c r="C56" s="97" t="str">
        <x:v>CK</x:v>
      </x:c>
      <x:c r="D56" s="97" t="str">
        <x:v>COK</x:v>
      </x:c>
      <x:c r="E56" s="97" t="str">
        <x:v>184</x:v>
      </x:c>
      <x:c r="F56" s="97" t="str">
        <x:v>ISO 3166-1 assigned</x:v>
      </x:c>
      <x:c r="G56" s="97" t="str">
        <x:v>Territory, dependency or special-area record</x:v>
      </x:c>
      <x:c r="H56" s="97" t="str">
        <x:v>New Zealand (free association)</x:v>
      </x:c>
      <x:c r="I56" s="97" t="str">
        <x:v>Oceania</x:v>
      </x:c>
      <x:c r="J56" s="97" t="str">
        <x:v>Polynesia</x:v>
      </x:c>
      <x:c r="K56" s="97" t="str">
        <x:v>National/territorial customs framework—local validation required</x:v>
      </x:c>
      <x:c r="L56" s="97" t="str">
        <x:v>UPU/operator contract, bilateral rules, EAD/message versions and serviceability must be validated</x:v>
      </x:c>
      <x:c r="M56" s="97" t="str">
        <x:v>ICAO state rules, PLACI regime, security status, carrier routing and serviceability must be validated</x:v>
      </x:c>
      <x:c r="N56" s="97" t="str">
        <x:v>Country-pack privacy law and transfer mechanism required</x:v>
      </x:c>
      <x:c r="O56" s="97" t="str">
        <x:v>Screen live lists for every applicable nexus; resolve ownership, sectoral, end-use and licence controls</x:v>
      </x:c>
      <x:c r="P56" s="97" t="str">
        <x:v>No static legal conclusion. Validate current national/territorial customs, tax, licensing, product, privacy and carrier sources before activation.</x:v>
      </x:c>
      <x:c r="Q56" s="97" t="str">
        <x:v>BLOCKED until tariff, prohibitions, documents and carrier services approved</x:v>
      </x:c>
      <x:c r="R56" s="97" t="str">
        <x:v>BLOCKED until ICAO/state/operator variations and certified review path approved</x:v>
      </x:c>
      <x:c r="S56" s="97" t="str">
        <x:v>BLOCKED until SPS/agency/temperature rules and external filing path approved</x:v>
      </x:c>
      <x:c r="T56" s="97" t="str">
        <x:v>BLOCKED until product/site/importer authorizations and quality path approved</x:v>
      </x:c>
      <x:c r="U56" s="97" t="str">
        <x:v>BLOCKED until excise/licences/age/carrier contract approved</x:v>
      </x:c>
      <x:c r="V56" s="97" t="str">
        <x:v>BLOCKED until classification/end-use/licensing and sanctions path approved</x:v>
      </x:c>
      <x:c r="W56" s="97" t="str">
        <x:v>BLOCKED until provenance/security/insurance/carrier limits approved</x:v>
      </x:c>
      <x:c r="X56" s="97" t="str">
        <x:v>BLOCKED until purpose, values, relief evidence and restrictions approved</x:v>
      </x:c>
      <x:c r="Y56" s="104" t="b">
        <x:v>0</x:v>
      </x:c>
      <x:c r="Z56" s="104" t="b">
        <x:v>0</x:v>
      </x:c>
      <x:c r="AA56" s="104" t="b">
        <x:v>0</x:v>
      </x:c>
      <x:c r="AB56" s="104" t="b">
        <x:v>0</x:v>
      </x:c>
      <x:c r="AC56" s="104" t="b">
        <x:v>0</x:v>
      </x:c>
      <x:c r="AD56" s="106" t="str">
        <x:v>BLOCKED_PENDING_VALIDATION</x:v>
      </x:c>
      <x:c r="AE56" s="97" t="str">
        <x:v>NOT_STARTED</x:v>
      </x:c>
      <x:c r="AF56" s="97" t="str">
        <x:v>Unassigned country-pack owner</x:v>
      </x:c>
      <x:c r="AG56" s="97" t="str">
        <x:v>SRC-CUS-001, SRC-CUS-005, SRC-CUS-007, SRC-DAT-001, SRC-POST-001, SRC-PRV-001</x:v>
      </x:c>
      <x:c r="AH56" s="97" t="str">
        <x:v>2026-07-25</x:v>
      </x:c>
      <x:c r="AI56" s="97" t="str">
        <x:v>2026-08-25</x:v>
      </x:c>
      <x:c r="AJ56" s="97" t="str">
        <x:v>Registry coverage only. Production readiness is capability-specific and requires the release checklist.</x:v>
      </x:c>
    </x:row>
    <x:row r="57" ht="54" customHeight="1">
      <x:c r="A57" s="99" t="str">
        <x:v>CP-CR</x:v>
      </x:c>
      <x:c r="B57" s="99" t="str">
        <x:v>Costa Rica</x:v>
      </x:c>
      <x:c r="C57" s="99" t="str">
        <x:v>CR</x:v>
      </x:c>
      <x:c r="D57" s="99" t="str">
        <x:v>CRI</x:v>
      </x:c>
      <x:c r="E57" s="99" t="str">
        <x:v>188</x:v>
      </x:c>
      <x:c r="F57" s="99" t="str">
        <x:v>ISO 3166-1 assigned</x:v>
      </x:c>
      <x:c r="G57" s="99" t="str">
        <x:v>Independent state</x:v>
      </x:c>
      <x:c r="H57" s="99" t="str">
        <x:v>Self-administered for pack indexing; legal status follows authoritative sources</x:v>
      </x:c>
      <x:c r="I57" s="99" t="str">
        <x:v>Americas</x:v>
      </x:c>
      <x:c r="J57" s="99" t="str">
        <x:v>Central America</x:v>
      </x:c>
      <x:c r="K57" s="99" t="str">
        <x:v>National/territorial customs framework—local validation required</x:v>
      </x:c>
      <x:c r="L57" s="99" t="str">
        <x:v>UPU/operator contract, bilateral rules, EAD/message versions and serviceability must be validated</x:v>
      </x:c>
      <x:c r="M57" s="99" t="str">
        <x:v>ICAO state rules, PLACI regime, security status, carrier routing and serviceability must be validated</x:v>
      </x:c>
      <x:c r="N57" s="99" t="str">
        <x:v>Country-pack privacy law and transfer mechanism required</x:v>
      </x:c>
      <x:c r="O57" s="99" t="str">
        <x:v>Screen live lists for every applicable nexus; resolve ownership, sectoral, end-use and licence controls</x:v>
      </x:c>
      <x:c r="P57" s="99" t="str">
        <x:v>No static legal conclusion. Validate current national/territorial customs, tax, licensing, product, privacy and carrier sources before activation.</x:v>
      </x:c>
      <x:c r="Q57" s="99" t="str">
        <x:v>BLOCKED until tariff, prohibitions, documents and carrier services approved</x:v>
      </x:c>
      <x:c r="R57" s="99" t="str">
        <x:v>BLOCKED until ICAO/state/operator variations and certified review path approved</x:v>
      </x:c>
      <x:c r="S57" s="99" t="str">
        <x:v>BLOCKED until SPS/agency/temperature rules and external filing path approved</x:v>
      </x:c>
      <x:c r="T57" s="99" t="str">
        <x:v>BLOCKED until product/site/importer authorizations and quality path approved</x:v>
      </x:c>
      <x:c r="U57" s="99" t="str">
        <x:v>BLOCKED until excise/licences/age/carrier contract approved</x:v>
      </x:c>
      <x:c r="V57" s="99" t="str">
        <x:v>BLOCKED until classification/end-use/licensing and sanctions path approved</x:v>
      </x:c>
      <x:c r="W57" s="99" t="str">
        <x:v>BLOCKED until provenance/security/insurance/carrier limits approved</x:v>
      </x:c>
      <x:c r="X57" s="99" t="str">
        <x:v>BLOCKED until purpose, values, relief evidence and restrictions approved</x:v>
      </x:c>
      <x:c r="Y57" s="103" t="b">
        <x:v>0</x:v>
      </x:c>
      <x:c r="Z57" s="103" t="b">
        <x:v>0</x:v>
      </x:c>
      <x:c r="AA57" s="103" t="b">
        <x:v>0</x:v>
      </x:c>
      <x:c r="AB57" s="103" t="b">
        <x:v>0</x:v>
      </x:c>
      <x:c r="AC57" s="103" t="b">
        <x:v>0</x:v>
      </x:c>
      <x:c r="AD57" s="106" t="str">
        <x:v>BLOCKED_PENDING_VALIDATION</x:v>
      </x:c>
      <x:c r="AE57" s="99" t="str">
        <x:v>NOT_STARTED</x:v>
      </x:c>
      <x:c r="AF57" s="99" t="str">
        <x:v>Unassigned country-pack owner</x:v>
      </x:c>
      <x:c r="AG57" s="99" t="str">
        <x:v>SRC-CUS-001, SRC-CUS-005, SRC-CUS-007, SRC-DAT-001, SRC-POST-001, SRC-PRV-001</x:v>
      </x:c>
      <x:c r="AH57" s="99" t="str">
        <x:v>2026-07-25</x:v>
      </x:c>
      <x:c r="AI57" s="99" t="str">
        <x:v>2026-08-25</x:v>
      </x:c>
      <x:c r="AJ57" s="99" t="str">
        <x:v>Registry coverage only. Production readiness is capability-specific and requires the release checklist.</x:v>
      </x:c>
    </x:row>
    <x:row r="58" ht="54" customHeight="1">
      <x:c r="A58" s="97" t="str">
        <x:v>CP-HR</x:v>
      </x:c>
      <x:c r="B58" s="97" t="str">
        <x:v>Croatia</x:v>
      </x:c>
      <x:c r="C58" s="97" t="str">
        <x:v>HR</x:v>
      </x:c>
      <x:c r="D58" s="97" t="str">
        <x:v>HRV</x:v>
      </x:c>
      <x:c r="E58" s="97" t="str">
        <x:v>191</x:v>
      </x:c>
      <x:c r="F58" s="97" t="str">
        <x:v>ISO 3166-1 assigned</x:v>
      </x:c>
      <x:c r="G58" s="97" t="str">
        <x:v>Independent state</x:v>
      </x:c>
      <x:c r="H58" s="97" t="str">
        <x:v>Self-administered for pack indexing; legal status follows authoritative sources</x:v>
      </x:c>
      <x:c r="I58" s="97" t="str">
        <x:v>Europe</x:v>
      </x:c>
      <x:c r="J58" s="97" t="str">
        <x:v>Southeast Europe</x:v>
      </x:c>
      <x:c r="K58" s="97" t="str">
        <x:v>EU customs framework; validate special fiscal/customs territory</x:v>
      </x:c>
      <x:c r="L58" s="97" t="str">
        <x:v>UPU/operator contract, bilateral rules, EAD/message versions and serviceability must be validated</x:v>
      </x:c>
      <x:c r="M58" s="97" t="str">
        <x:v>ICAO state rules, PLACI regime, security status, carrier routing and serviceability must be validated</x:v>
      </x:c>
      <x:c r="N58" s="97" t="str">
        <x:v>GDPR/EEA transfer controls; local supplements</x:v>
      </x:c>
      <x:c r="O58" s="97" t="str">
        <x:v>Screen live lists for every applicable nexus; resolve ownership, sectoral, end-use and licence controls</x:v>
      </x:c>
      <x:c r="P58" s="97" t="str">
        <x:v>EU baseline: ICS2/ENS and current low-value/VAT rules; member and special-territory validation still required.</x:v>
      </x:c>
      <x:c r="Q58" s="97" t="str">
        <x:v>BLOCKED until tariff, prohibitions, documents and carrier services approved</x:v>
      </x:c>
      <x:c r="R58" s="97" t="str">
        <x:v>BLOCKED until ICAO/state/operator variations and certified review path approved</x:v>
      </x:c>
      <x:c r="S58" s="97" t="str">
        <x:v>BLOCKED until SPS/agency/temperature rules and external filing path approved</x:v>
      </x:c>
      <x:c r="T58" s="97" t="str">
        <x:v>BLOCKED until product/site/importer authorizations and quality path approved</x:v>
      </x:c>
      <x:c r="U58" s="97" t="str">
        <x:v>BLOCKED until excise/licences/age/carrier contract approved</x:v>
      </x:c>
      <x:c r="V58" s="97" t="str">
        <x:v>BLOCKED until classification/end-use/licensing and sanctions path approved</x:v>
      </x:c>
      <x:c r="W58" s="97" t="str">
        <x:v>BLOCKED until provenance/security/insurance/carrier limits approved</x:v>
      </x:c>
      <x:c r="X58" s="97" t="str">
        <x:v>BLOCKED until purpose, values, relief evidence and restrictions approved</x:v>
      </x:c>
      <x:c r="Y58" s="104" t="b">
        <x:v>0</x:v>
      </x:c>
      <x:c r="Z58" s="104" t="b">
        <x:v>0</x:v>
      </x:c>
      <x:c r="AA58" s="104" t="b">
        <x:v>0</x:v>
      </x:c>
      <x:c r="AB58" s="104" t="b">
        <x:v>0</x:v>
      </x:c>
      <x:c r="AC58" s="104" t="b">
        <x:v>0</x:v>
      </x:c>
      <x:c r="AD58" s="106" t="str">
        <x:v>BLOCKED_PENDING_VALIDATION</x:v>
      </x:c>
      <x:c r="AE58" s="97" t="str">
        <x:v>NOT_STARTED</x:v>
      </x:c>
      <x:c r="AF58" s="97" t="str">
        <x:v>Unassigned country-pack owner</x:v>
      </x:c>
      <x:c r="AG58" s="97" t="str">
        <x:v>SRC-CUS-001, SRC-CUS-005, SRC-CUS-007, SRC-DAT-001, SRC-POST-001, SRC-PRV-001, SRC-EU-001, SRC-EU-002, SRC-EU-003, SRC-EU-004, SRC-PRV-002</x:v>
      </x:c>
      <x:c r="AH58" s="97" t="str">
        <x:v>2026-07-25</x:v>
      </x:c>
      <x:c r="AI58" s="97" t="str">
        <x:v>2026-08-25</x:v>
      </x:c>
      <x:c r="AJ58" s="97" t="str">
        <x:v>Registry coverage only. Production readiness is capability-specific and requires the release checklist.</x:v>
      </x:c>
    </x:row>
    <x:row r="59" ht="54" customHeight="1">
      <x:c r="A59" s="99" t="str">
        <x:v>CP-CU</x:v>
      </x:c>
      <x:c r="B59" s="99" t="str">
        <x:v>Cuba</x:v>
      </x:c>
      <x:c r="C59" s="99" t="str">
        <x:v>CU</x:v>
      </x:c>
      <x:c r="D59" s="99" t="str">
        <x:v>CUB</x:v>
      </x:c>
      <x:c r="E59" s="99" t="str">
        <x:v>192</x:v>
      </x:c>
      <x:c r="F59" s="99" t="str">
        <x:v>ISO 3166-1 assigned</x:v>
      </x:c>
      <x:c r="G59" s="99" t="str">
        <x:v>Independent state</x:v>
      </x:c>
      <x:c r="H59" s="99" t="str">
        <x:v>Self-administered for pack indexing; legal status follows authoritative sources</x:v>
      </x:c>
      <x:c r="I59" s="99" t="str">
        <x:v>Americas</x:v>
      </x:c>
      <x:c r="J59" s="99" t="str">
        <x:v>Caribbean</x:v>
      </x:c>
      <x:c r="K59" s="99" t="str">
        <x:v>National/territorial customs framework—local validation required</x:v>
      </x:c>
      <x:c r="L59" s="99" t="str">
        <x:v>UPU/operator contract, bilateral rules, EAD/message versions and serviceability must be validated</x:v>
      </x:c>
      <x:c r="M59" s="99" t="str">
        <x:v>ICAO state rules, PLACI regime, security status, carrier routing and serviceability must be validated</x:v>
      </x:c>
      <x:c r="N59" s="99" t="str">
        <x:v>Country-pack privacy law and transfer mechanism required</x:v>
      </x:c>
      <x:c r="O59" s="99" t="str">
        <x:v>Screen live lists for every applicable nexus; resolve ownership, sectoral, end-use and licence controls</x:v>
      </x:c>
      <x:c r="P59" s="99" t="str">
        <x:v>No static legal conclusion. Validate current national/territorial customs, tax, licensing, product, privacy and carrier sources before activation.</x:v>
      </x:c>
      <x:c r="Q59" s="99" t="str">
        <x:v>BLOCKED until tariff, prohibitions, documents and carrier services approved</x:v>
      </x:c>
      <x:c r="R59" s="99" t="str">
        <x:v>BLOCKED until ICAO/state/operator variations and certified review path approved</x:v>
      </x:c>
      <x:c r="S59" s="99" t="str">
        <x:v>BLOCKED until SPS/agency/temperature rules and external filing path approved</x:v>
      </x:c>
      <x:c r="T59" s="99" t="str">
        <x:v>BLOCKED until product/site/importer authorizations and quality path approved</x:v>
      </x:c>
      <x:c r="U59" s="99" t="str">
        <x:v>BLOCKED until excise/licences/age/carrier contract approved</x:v>
      </x:c>
      <x:c r="V59" s="99" t="str">
        <x:v>BLOCKED until classification/end-use/licensing and sanctions path approved</x:v>
      </x:c>
      <x:c r="W59" s="99" t="str">
        <x:v>BLOCKED until provenance/security/insurance/carrier limits approved</x:v>
      </x:c>
      <x:c r="X59" s="99" t="str">
        <x:v>BLOCKED until purpose, values, relief evidence and restrictions approved</x:v>
      </x:c>
      <x:c r="Y59" s="103" t="b">
        <x:v>0</x:v>
      </x:c>
      <x:c r="Z59" s="103" t="b">
        <x:v>0</x:v>
      </x:c>
      <x:c r="AA59" s="103" t="b">
        <x:v>0</x:v>
      </x:c>
      <x:c r="AB59" s="103" t="b">
        <x:v>0</x:v>
      </x:c>
      <x:c r="AC59" s="103" t="b">
        <x:v>0</x:v>
      </x:c>
      <x:c r="AD59" s="106" t="str">
        <x:v>BLOCKED_PENDING_VALIDATION</x:v>
      </x:c>
      <x:c r="AE59" s="99" t="str">
        <x:v>NOT_STARTED</x:v>
      </x:c>
      <x:c r="AF59" s="99" t="str">
        <x:v>Unassigned country-pack owner</x:v>
      </x:c>
      <x:c r="AG59" s="99" t="str">
        <x:v>SRC-CUS-001, SRC-CUS-005, SRC-CUS-007, SRC-DAT-001, SRC-POST-001, SRC-PRV-001</x:v>
      </x:c>
      <x:c r="AH59" s="99" t="str">
        <x:v>2026-07-25</x:v>
      </x:c>
      <x:c r="AI59" s="99" t="str">
        <x:v>2026-08-25</x:v>
      </x:c>
      <x:c r="AJ59" s="99" t="str">
        <x:v>Registry coverage only. Production readiness is capability-specific and requires the release checklist.</x:v>
      </x:c>
    </x:row>
    <x:row r="60" ht="54" customHeight="1">
      <x:c r="A60" s="97" t="str">
        <x:v>CP-CW</x:v>
      </x:c>
      <x:c r="B60" s="97" t="str">
        <x:v>Curaçao</x:v>
      </x:c>
      <x:c r="C60" s="97" t="str">
        <x:v>CW</x:v>
      </x:c>
      <x:c r="D60" s="97" t="str">
        <x:v>CUW</x:v>
      </x:c>
      <x:c r="E60" s="97" t="str">
        <x:v>531</x:v>
      </x:c>
      <x:c r="F60" s="97" t="str">
        <x:v>ISO 3166-1 assigned</x:v>
      </x:c>
      <x:c r="G60" s="97" t="str">
        <x:v>Territory, dependency or special-area record</x:v>
      </x:c>
      <x:c r="H60" s="97" t="str">
        <x:v>Kingdom of the Netherlands</x:v>
      </x:c>
      <x:c r="I60" s="97" t="str">
        <x:v>Americas</x:v>
      </x:c>
      <x:c r="J60" s="97" t="str">
        <x:v>Caribbean</x:v>
      </x:c>
      <x:c r="K60" s="97" t="str">
        <x:v>National/territorial customs framework—local validation required</x:v>
      </x:c>
      <x:c r="L60" s="97" t="str">
        <x:v>UPU/operator contract, bilateral rules, EAD/message versions and serviceability must be validated</x:v>
      </x:c>
      <x:c r="M60" s="97" t="str">
        <x:v>ICAO state rules, PLACI regime, security status, carrier routing and serviceability must be validated</x:v>
      </x:c>
      <x:c r="N60" s="97" t="str">
        <x:v>Country-pack privacy law and transfer mechanism required</x:v>
      </x:c>
      <x:c r="O60" s="97" t="str">
        <x:v>Screen live lists for every applicable nexus; resolve ownership, sectoral, end-use and licence controls</x:v>
      </x:c>
      <x:c r="P60" s="97" t="str">
        <x:v>No static legal conclusion. Validate current national/territorial customs, tax, licensing, product, privacy and carrier sources before activation.</x:v>
      </x:c>
      <x:c r="Q60" s="97" t="str">
        <x:v>BLOCKED until tariff, prohibitions, documents and carrier services approved</x:v>
      </x:c>
      <x:c r="R60" s="97" t="str">
        <x:v>BLOCKED until ICAO/state/operator variations and certified review path approved</x:v>
      </x:c>
      <x:c r="S60" s="97" t="str">
        <x:v>BLOCKED until SPS/agency/temperature rules and external filing path approved</x:v>
      </x:c>
      <x:c r="T60" s="97" t="str">
        <x:v>BLOCKED until product/site/importer authorizations and quality path approved</x:v>
      </x:c>
      <x:c r="U60" s="97" t="str">
        <x:v>BLOCKED until excise/licences/age/carrier contract approved</x:v>
      </x:c>
      <x:c r="V60" s="97" t="str">
        <x:v>BLOCKED until classification/end-use/licensing and sanctions path approved</x:v>
      </x:c>
      <x:c r="W60" s="97" t="str">
        <x:v>BLOCKED until provenance/security/insurance/carrier limits approved</x:v>
      </x:c>
      <x:c r="X60" s="97" t="str">
        <x:v>BLOCKED until purpose, values, relief evidence and restrictions approved</x:v>
      </x:c>
      <x:c r="Y60" s="104" t="b">
        <x:v>0</x:v>
      </x:c>
      <x:c r="Z60" s="104" t="b">
        <x:v>0</x:v>
      </x:c>
      <x:c r="AA60" s="104" t="b">
        <x:v>0</x:v>
      </x:c>
      <x:c r="AB60" s="104" t="b">
        <x:v>0</x:v>
      </x:c>
      <x:c r="AC60" s="104" t="b">
        <x:v>0</x:v>
      </x:c>
      <x:c r="AD60" s="106" t="str">
        <x:v>BLOCKED_PENDING_VALIDATION</x:v>
      </x:c>
      <x:c r="AE60" s="97" t="str">
        <x:v>NOT_STARTED</x:v>
      </x:c>
      <x:c r="AF60" s="97" t="str">
        <x:v>Unassigned country-pack owner</x:v>
      </x:c>
      <x:c r="AG60" s="97" t="str">
        <x:v>SRC-CUS-001, SRC-CUS-005, SRC-CUS-007, SRC-DAT-001, SRC-POST-001, SRC-PRV-001</x:v>
      </x:c>
      <x:c r="AH60" s="97" t="str">
        <x:v>2026-07-25</x:v>
      </x:c>
      <x:c r="AI60" s="97" t="str">
        <x:v>2026-08-25</x:v>
      </x:c>
      <x:c r="AJ60" s="97" t="str">
        <x:v>Registry coverage only. Production readiness is capability-specific and requires the release checklist.</x:v>
      </x:c>
    </x:row>
    <x:row r="61" ht="54" customHeight="1">
      <x:c r="A61" s="99" t="str">
        <x:v>CP-CY</x:v>
      </x:c>
      <x:c r="B61" s="99" t="str">
        <x:v>Cyprus</x:v>
      </x:c>
      <x:c r="C61" s="99" t="str">
        <x:v>CY</x:v>
      </x:c>
      <x:c r="D61" s="99" t="str">
        <x:v>CYP</x:v>
      </x:c>
      <x:c r="E61" s="99" t="str">
        <x:v>196</x:v>
      </x:c>
      <x:c r="F61" s="99" t="str">
        <x:v>ISO 3166-1 assigned</x:v>
      </x:c>
      <x:c r="G61" s="99" t="str">
        <x:v>Independent state</x:v>
      </x:c>
      <x:c r="H61" s="99" t="str">
        <x:v>Self-administered for pack indexing; legal status follows authoritative sources</x:v>
      </x:c>
      <x:c r="I61" s="99" t="str">
        <x:v>Europe</x:v>
      </x:c>
      <x:c r="J61" s="99" t="str">
        <x:v>Southern Europe</x:v>
      </x:c>
      <x:c r="K61" s="99" t="str">
        <x:v>EU customs framework; validate special fiscal/customs territory</x:v>
      </x:c>
      <x:c r="L61" s="99" t="str">
        <x:v>UPU/operator contract, bilateral rules, EAD/message versions and serviceability must be validated</x:v>
      </x:c>
      <x:c r="M61" s="99" t="str">
        <x:v>ICAO state rules, PLACI regime, security status, carrier routing and serviceability must be validated</x:v>
      </x:c>
      <x:c r="N61" s="99" t="str">
        <x:v>GDPR/EEA transfer controls; local supplements</x:v>
      </x:c>
      <x:c r="O61" s="99" t="str">
        <x:v>Screen live lists for every applicable nexus; resolve ownership, sectoral, end-use and licence controls</x:v>
      </x:c>
      <x:c r="P61" s="99" t="str">
        <x:v>EU baseline: ICS2/ENS and current low-value/VAT rules; member and special-territory validation still required.</x:v>
      </x:c>
      <x:c r="Q61" s="99" t="str">
        <x:v>BLOCKED until tariff, prohibitions, documents and carrier services approved</x:v>
      </x:c>
      <x:c r="R61" s="99" t="str">
        <x:v>BLOCKED until ICAO/state/operator variations and certified review path approved</x:v>
      </x:c>
      <x:c r="S61" s="99" t="str">
        <x:v>BLOCKED until SPS/agency/temperature rules and external filing path approved</x:v>
      </x:c>
      <x:c r="T61" s="99" t="str">
        <x:v>BLOCKED until product/site/importer authorizations and quality path approved</x:v>
      </x:c>
      <x:c r="U61" s="99" t="str">
        <x:v>BLOCKED until excise/licences/age/carrier contract approved</x:v>
      </x:c>
      <x:c r="V61" s="99" t="str">
        <x:v>BLOCKED until classification/end-use/licensing and sanctions path approved</x:v>
      </x:c>
      <x:c r="W61" s="99" t="str">
        <x:v>BLOCKED until provenance/security/insurance/carrier limits approved</x:v>
      </x:c>
      <x:c r="X61" s="99" t="str">
        <x:v>BLOCKED until purpose, values, relief evidence and restrictions approved</x:v>
      </x:c>
      <x:c r="Y61" s="103" t="b">
        <x:v>0</x:v>
      </x:c>
      <x:c r="Z61" s="103" t="b">
        <x:v>0</x:v>
      </x:c>
      <x:c r="AA61" s="103" t="b">
        <x:v>0</x:v>
      </x:c>
      <x:c r="AB61" s="103" t="b">
        <x:v>0</x:v>
      </x:c>
      <x:c r="AC61" s="103" t="b">
        <x:v>0</x:v>
      </x:c>
      <x:c r="AD61" s="106" t="str">
        <x:v>BLOCKED_PENDING_VALIDATION</x:v>
      </x:c>
      <x:c r="AE61" s="99" t="str">
        <x:v>NOT_STARTED</x:v>
      </x:c>
      <x:c r="AF61" s="99" t="str">
        <x:v>Unassigned country-pack owner</x:v>
      </x:c>
      <x:c r="AG61" s="99" t="str">
        <x:v>SRC-CUS-001, SRC-CUS-005, SRC-CUS-007, SRC-DAT-001, SRC-POST-001, SRC-PRV-001, SRC-EU-001, SRC-EU-002, SRC-EU-003, SRC-EU-004, SRC-PRV-002</x:v>
      </x:c>
      <x:c r="AH61" s="99" t="str">
        <x:v>2026-07-25</x:v>
      </x:c>
      <x:c r="AI61" s="99" t="str">
        <x:v>2026-08-25</x:v>
      </x:c>
      <x:c r="AJ61" s="99" t="str">
        <x:v>Registry coverage only. Production readiness is capability-specific and requires the release checklist.</x:v>
      </x:c>
    </x:row>
    <x:row r="62" ht="54" customHeight="1">
      <x:c r="A62" s="97" t="str">
        <x:v>CP-CZ</x:v>
      </x:c>
      <x:c r="B62" s="97" t="str">
        <x:v>Czechia</x:v>
      </x:c>
      <x:c r="C62" s="97" t="str">
        <x:v>CZ</x:v>
      </x:c>
      <x:c r="D62" s="97" t="str">
        <x:v>CZE</x:v>
      </x:c>
      <x:c r="E62" s="97" t="str">
        <x:v>203</x:v>
      </x:c>
      <x:c r="F62" s="97" t="str">
        <x:v>ISO 3166-1 assigned</x:v>
      </x:c>
      <x:c r="G62" s="97" t="str">
        <x:v>Independent state</x:v>
      </x:c>
      <x:c r="H62" s="97" t="str">
        <x:v>Self-administered for pack indexing; legal status follows authoritative sources</x:v>
      </x:c>
      <x:c r="I62" s="97" t="str">
        <x:v>Europe</x:v>
      </x:c>
      <x:c r="J62" s="97" t="str">
        <x:v>Central Europe</x:v>
      </x:c>
      <x:c r="K62" s="97" t="str">
        <x:v>EU customs framework; validate special fiscal/customs territory</x:v>
      </x:c>
      <x:c r="L62" s="97" t="str">
        <x:v>UPU/operator contract, bilateral rules, EAD/message versions and serviceability must be validated</x:v>
      </x:c>
      <x:c r="M62" s="97" t="str">
        <x:v>ICAO state rules, PLACI regime, security status, carrier routing and serviceability must be validated</x:v>
      </x:c>
      <x:c r="N62" s="97" t="str">
        <x:v>GDPR/EEA transfer controls; local supplements</x:v>
      </x:c>
      <x:c r="O62" s="97" t="str">
        <x:v>Screen live lists for every applicable nexus; resolve ownership, sectoral, end-use and licence controls</x:v>
      </x:c>
      <x:c r="P62" s="97" t="str">
        <x:v>EU baseline: ICS2/ENS and current low-value/VAT rules; member and special-territory validation still required.</x:v>
      </x:c>
      <x:c r="Q62" s="97" t="str">
        <x:v>BLOCKED until tariff, prohibitions, documents and carrier services approved</x:v>
      </x:c>
      <x:c r="R62" s="97" t="str">
        <x:v>BLOCKED until ICAO/state/operator variations and certified review path approved</x:v>
      </x:c>
      <x:c r="S62" s="97" t="str">
        <x:v>BLOCKED until SPS/agency/temperature rules and external filing path approved</x:v>
      </x:c>
      <x:c r="T62" s="97" t="str">
        <x:v>BLOCKED until product/site/importer authorizations and quality path approved</x:v>
      </x:c>
      <x:c r="U62" s="97" t="str">
        <x:v>BLOCKED until excise/licences/age/carrier contract approved</x:v>
      </x:c>
      <x:c r="V62" s="97" t="str">
        <x:v>BLOCKED until classification/end-use/licensing and sanctions path approved</x:v>
      </x:c>
      <x:c r="W62" s="97" t="str">
        <x:v>BLOCKED until provenance/security/insurance/carrier limits approved</x:v>
      </x:c>
      <x:c r="X62" s="97" t="str">
        <x:v>BLOCKED until purpose, values, relief evidence and restrictions approved</x:v>
      </x:c>
      <x:c r="Y62" s="104" t="b">
        <x:v>0</x:v>
      </x:c>
      <x:c r="Z62" s="104" t="b">
        <x:v>0</x:v>
      </x:c>
      <x:c r="AA62" s="104" t="b">
        <x:v>0</x:v>
      </x:c>
      <x:c r="AB62" s="104" t="b">
        <x:v>0</x:v>
      </x:c>
      <x:c r="AC62" s="104" t="b">
        <x:v>0</x:v>
      </x:c>
      <x:c r="AD62" s="106" t="str">
        <x:v>BLOCKED_PENDING_VALIDATION</x:v>
      </x:c>
      <x:c r="AE62" s="97" t="str">
        <x:v>NOT_STARTED</x:v>
      </x:c>
      <x:c r="AF62" s="97" t="str">
        <x:v>Unassigned country-pack owner</x:v>
      </x:c>
      <x:c r="AG62" s="97" t="str">
        <x:v>SRC-CUS-001, SRC-CUS-005, SRC-CUS-007, SRC-DAT-001, SRC-POST-001, SRC-PRV-001, SRC-EU-001, SRC-EU-002, SRC-EU-003, SRC-EU-004, SRC-PRV-002</x:v>
      </x:c>
      <x:c r="AH62" s="97" t="str">
        <x:v>2026-07-25</x:v>
      </x:c>
      <x:c r="AI62" s="97" t="str">
        <x:v>2026-08-25</x:v>
      </x:c>
      <x:c r="AJ62" s="97" t="str">
        <x:v>Registry coverage only. Production readiness is capability-specific and requires the release checklist.</x:v>
      </x:c>
    </x:row>
    <x:row r="63" ht="54" customHeight="1">
      <x:c r="A63" s="99" t="str">
        <x:v>CP-DK</x:v>
      </x:c>
      <x:c r="B63" s="99" t="str">
        <x:v>Denmark</x:v>
      </x:c>
      <x:c r="C63" s="99" t="str">
        <x:v>DK</x:v>
      </x:c>
      <x:c r="D63" s="99" t="str">
        <x:v>DNK</x:v>
      </x:c>
      <x:c r="E63" s="99" t="str">
        <x:v>208</x:v>
      </x:c>
      <x:c r="F63" s="99" t="str">
        <x:v>ISO 3166-1 assigned</x:v>
      </x:c>
      <x:c r="G63" s="99" t="str">
        <x:v>Independent state</x:v>
      </x:c>
      <x:c r="H63" s="99" t="str">
        <x:v>Self-administered for pack indexing; legal status follows authoritative sources</x:v>
      </x:c>
      <x:c r="I63" s="99" t="str">
        <x:v>Europe</x:v>
      </x:c>
      <x:c r="J63" s="99" t="str">
        <x:v>Northern Europe</x:v>
      </x:c>
      <x:c r="K63" s="99" t="str">
        <x:v>EU customs framework; validate special fiscal/customs territory</x:v>
      </x:c>
      <x:c r="L63" s="99" t="str">
        <x:v>UPU/operator contract, bilateral rules, EAD/message versions and serviceability must be validated</x:v>
      </x:c>
      <x:c r="M63" s="99" t="str">
        <x:v>ICAO state rules, PLACI regime, security status, carrier routing and serviceability must be validated</x:v>
      </x:c>
      <x:c r="N63" s="99" t="str">
        <x:v>GDPR/EEA transfer controls; local supplements</x:v>
      </x:c>
      <x:c r="O63" s="99" t="str">
        <x:v>Screen live lists for every applicable nexus; resolve ownership, sectoral, end-use and licence controls</x:v>
      </x:c>
      <x:c r="P63" s="99" t="str">
        <x:v>EU baseline: ICS2/ENS and current low-value/VAT rules; member and special-territory validation still required.</x:v>
      </x:c>
      <x:c r="Q63" s="99" t="str">
        <x:v>BLOCKED until tariff, prohibitions, documents and carrier services approved</x:v>
      </x:c>
      <x:c r="R63" s="99" t="str">
        <x:v>BLOCKED until ICAO/state/operator variations and certified review path approved</x:v>
      </x:c>
      <x:c r="S63" s="99" t="str">
        <x:v>BLOCKED until SPS/agency/temperature rules and external filing path approved</x:v>
      </x:c>
      <x:c r="T63" s="99" t="str">
        <x:v>BLOCKED until product/site/importer authorizations and quality path approved</x:v>
      </x:c>
      <x:c r="U63" s="99" t="str">
        <x:v>BLOCKED until excise/licences/age/carrier contract approved</x:v>
      </x:c>
      <x:c r="V63" s="99" t="str">
        <x:v>BLOCKED until classification/end-use/licensing and sanctions path approved</x:v>
      </x:c>
      <x:c r="W63" s="99" t="str">
        <x:v>BLOCKED until provenance/security/insurance/carrier limits approved</x:v>
      </x:c>
      <x:c r="X63" s="99" t="str">
        <x:v>BLOCKED until purpose, values, relief evidence and restrictions approved</x:v>
      </x:c>
      <x:c r="Y63" s="103" t="b">
        <x:v>0</x:v>
      </x:c>
      <x:c r="Z63" s="103" t="b">
        <x:v>0</x:v>
      </x:c>
      <x:c r="AA63" s="103" t="b">
        <x:v>0</x:v>
      </x:c>
      <x:c r="AB63" s="103" t="b">
        <x:v>0</x:v>
      </x:c>
      <x:c r="AC63" s="103" t="b">
        <x:v>0</x:v>
      </x:c>
      <x:c r="AD63" s="106" t="str">
        <x:v>BLOCKED_PENDING_VALIDATION</x:v>
      </x:c>
      <x:c r="AE63" s="99" t="str">
        <x:v>NOT_STARTED</x:v>
      </x:c>
      <x:c r="AF63" s="99" t="str">
        <x:v>Unassigned country-pack owner</x:v>
      </x:c>
      <x:c r="AG63" s="99" t="str">
        <x:v>SRC-CUS-001, SRC-CUS-005, SRC-CUS-007, SRC-DAT-001, SRC-POST-001, SRC-PRV-001, SRC-EU-001, SRC-EU-002, SRC-EU-003, SRC-EU-004, SRC-PRV-002</x:v>
      </x:c>
      <x:c r="AH63" s="99" t="str">
        <x:v>2026-07-25</x:v>
      </x:c>
      <x:c r="AI63" s="99" t="str">
        <x:v>2026-08-25</x:v>
      </x:c>
      <x:c r="AJ63" s="99" t="str">
        <x:v>Registry coverage only. Production readiness is capability-specific and requires the release checklist.</x:v>
      </x:c>
    </x:row>
    <x:row r="64" ht="54" customHeight="1">
      <x:c r="A64" s="97" t="str">
        <x:v>CP-DJ</x:v>
      </x:c>
      <x:c r="B64" s="97" t="str">
        <x:v>Djibouti</x:v>
      </x:c>
      <x:c r="C64" s="97" t="str">
        <x:v>DJ</x:v>
      </x:c>
      <x:c r="D64" s="97" t="str">
        <x:v>DJI</x:v>
      </x:c>
      <x:c r="E64" s="97" t="str">
        <x:v>262</x:v>
      </x:c>
      <x:c r="F64" s="97" t="str">
        <x:v>ISO 3166-1 assigned</x:v>
      </x:c>
      <x:c r="G64" s="97" t="str">
        <x:v>Independent state</x:v>
      </x:c>
      <x:c r="H64" s="97" t="str">
        <x:v>Self-administered for pack indexing; legal status follows authoritative sources</x:v>
      </x:c>
      <x:c r="I64" s="97" t="str">
        <x:v>Africa</x:v>
      </x:c>
      <x:c r="J64" s="97" t="str">
        <x:v>Eastern Africa</x:v>
      </x:c>
      <x:c r="K64" s="97" t="str">
        <x:v>National/territorial customs framework—local validation required</x:v>
      </x:c>
      <x:c r="L64" s="97" t="str">
        <x:v>UPU/operator contract, bilateral rules, EAD/message versions and serviceability must be validated</x:v>
      </x:c>
      <x:c r="M64" s="97" t="str">
        <x:v>ICAO state rules, PLACI regime, security status, carrier routing and serviceability must be validated</x:v>
      </x:c>
      <x:c r="N64" s="97" t="str">
        <x:v>Country-pack privacy law and transfer mechanism required</x:v>
      </x:c>
      <x:c r="O64" s="97" t="str">
        <x:v>Screen live lists for every applicable nexus; resolve ownership, sectoral, end-use and licence controls</x:v>
      </x:c>
      <x:c r="P64" s="97" t="str">
        <x:v>No static legal conclusion. Validate current national/territorial customs, tax, licensing, product, privacy and carrier sources before activation.</x:v>
      </x:c>
      <x:c r="Q64" s="97" t="str">
        <x:v>BLOCKED until tariff, prohibitions, documents and carrier services approved</x:v>
      </x:c>
      <x:c r="R64" s="97" t="str">
        <x:v>BLOCKED until ICAO/state/operator variations and certified review path approved</x:v>
      </x:c>
      <x:c r="S64" s="97" t="str">
        <x:v>BLOCKED until SPS/agency/temperature rules and external filing path approved</x:v>
      </x:c>
      <x:c r="T64" s="97" t="str">
        <x:v>BLOCKED until product/site/importer authorizations and quality path approved</x:v>
      </x:c>
      <x:c r="U64" s="97" t="str">
        <x:v>BLOCKED until excise/licences/age/carrier contract approved</x:v>
      </x:c>
      <x:c r="V64" s="97" t="str">
        <x:v>BLOCKED until classification/end-use/licensing and sanctions path approved</x:v>
      </x:c>
      <x:c r="W64" s="97" t="str">
        <x:v>BLOCKED until provenance/security/insurance/carrier limits approved</x:v>
      </x:c>
      <x:c r="X64" s="97" t="str">
        <x:v>BLOCKED until purpose, values, relief evidence and restrictions approved</x:v>
      </x:c>
      <x:c r="Y64" s="104" t="b">
        <x:v>0</x:v>
      </x:c>
      <x:c r="Z64" s="104" t="b">
        <x:v>0</x:v>
      </x:c>
      <x:c r="AA64" s="104" t="b">
        <x:v>0</x:v>
      </x:c>
      <x:c r="AB64" s="104" t="b">
        <x:v>0</x:v>
      </x:c>
      <x:c r="AC64" s="104" t="b">
        <x:v>0</x:v>
      </x:c>
      <x:c r="AD64" s="106" t="str">
        <x:v>BLOCKED_PENDING_VALIDATION</x:v>
      </x:c>
      <x:c r="AE64" s="97" t="str">
        <x:v>NOT_STARTED</x:v>
      </x:c>
      <x:c r="AF64" s="97" t="str">
        <x:v>Unassigned country-pack owner</x:v>
      </x:c>
      <x:c r="AG64" s="97" t="str">
        <x:v>SRC-CUS-001, SRC-CUS-005, SRC-CUS-007, SRC-DAT-001, SRC-POST-001, SRC-PRV-001</x:v>
      </x:c>
      <x:c r="AH64" s="97" t="str">
        <x:v>2026-07-25</x:v>
      </x:c>
      <x:c r="AI64" s="97" t="str">
        <x:v>2026-08-25</x:v>
      </x:c>
      <x:c r="AJ64" s="97" t="str">
        <x:v>Registry coverage only. Production readiness is capability-specific and requires the release checklist.</x:v>
      </x:c>
    </x:row>
    <x:row r="65" ht="54" customHeight="1">
      <x:c r="A65" s="99" t="str">
        <x:v>CP-DM</x:v>
      </x:c>
      <x:c r="B65" s="99" t="str">
        <x:v>Dominica</x:v>
      </x:c>
      <x:c r="C65" s="99" t="str">
        <x:v>DM</x:v>
      </x:c>
      <x:c r="D65" s="99" t="str">
        <x:v>DMA</x:v>
      </x:c>
      <x:c r="E65" s="99" t="str">
        <x:v>212</x:v>
      </x:c>
      <x:c r="F65" s="99" t="str">
        <x:v>ISO 3166-1 assigned</x:v>
      </x:c>
      <x:c r="G65" s="99" t="str">
        <x:v>Independent state</x:v>
      </x:c>
      <x:c r="H65" s="99" t="str">
        <x:v>Self-administered for pack indexing; legal status follows authoritative sources</x:v>
      </x:c>
      <x:c r="I65" s="99" t="str">
        <x:v>Americas</x:v>
      </x:c>
      <x:c r="J65" s="99" t="str">
        <x:v>Caribbean</x:v>
      </x:c>
      <x:c r="K65" s="99" t="str">
        <x:v>National/territorial customs framework—local validation required</x:v>
      </x:c>
      <x:c r="L65" s="99" t="str">
        <x:v>UPU/operator contract, bilateral rules, EAD/message versions and serviceability must be validated</x:v>
      </x:c>
      <x:c r="M65" s="99" t="str">
        <x:v>ICAO state rules, PLACI regime, security status, carrier routing and serviceability must be validated</x:v>
      </x:c>
      <x:c r="N65" s="99" t="str">
        <x:v>Country-pack privacy law and transfer mechanism required</x:v>
      </x:c>
      <x:c r="O65" s="99" t="str">
        <x:v>Screen live lists for every applicable nexus; resolve ownership, sectoral, end-use and licence controls</x:v>
      </x:c>
      <x:c r="P65" s="99" t="str">
        <x:v>No static legal conclusion. Validate current national/territorial customs, tax, licensing, product, privacy and carrier sources before activation.</x:v>
      </x:c>
      <x:c r="Q65" s="99" t="str">
        <x:v>BLOCKED until tariff, prohibitions, documents and carrier services approved</x:v>
      </x:c>
      <x:c r="R65" s="99" t="str">
        <x:v>BLOCKED until ICAO/state/operator variations and certified review path approved</x:v>
      </x:c>
      <x:c r="S65" s="99" t="str">
        <x:v>BLOCKED until SPS/agency/temperature rules and external filing path approved</x:v>
      </x:c>
      <x:c r="T65" s="99" t="str">
        <x:v>BLOCKED until product/site/importer authorizations and quality path approved</x:v>
      </x:c>
      <x:c r="U65" s="99" t="str">
        <x:v>BLOCKED until excise/licences/age/carrier contract approved</x:v>
      </x:c>
      <x:c r="V65" s="99" t="str">
        <x:v>BLOCKED until classification/end-use/licensing and sanctions path approved</x:v>
      </x:c>
      <x:c r="W65" s="99" t="str">
        <x:v>BLOCKED until provenance/security/insurance/carrier limits approved</x:v>
      </x:c>
      <x:c r="X65" s="99" t="str">
        <x:v>BLOCKED until purpose, values, relief evidence and restrictions approved</x:v>
      </x:c>
      <x:c r="Y65" s="103" t="b">
        <x:v>0</x:v>
      </x:c>
      <x:c r="Z65" s="103" t="b">
        <x:v>0</x:v>
      </x:c>
      <x:c r="AA65" s="103" t="b">
        <x:v>0</x:v>
      </x:c>
      <x:c r="AB65" s="103" t="b">
        <x:v>0</x:v>
      </x:c>
      <x:c r="AC65" s="103" t="b">
        <x:v>0</x:v>
      </x:c>
      <x:c r="AD65" s="106" t="str">
        <x:v>BLOCKED_PENDING_VALIDATION</x:v>
      </x:c>
      <x:c r="AE65" s="99" t="str">
        <x:v>NOT_STARTED</x:v>
      </x:c>
      <x:c r="AF65" s="99" t="str">
        <x:v>Unassigned country-pack owner</x:v>
      </x:c>
      <x:c r="AG65" s="99" t="str">
        <x:v>SRC-CUS-001, SRC-CUS-005, SRC-CUS-007, SRC-DAT-001, SRC-POST-001, SRC-PRV-001</x:v>
      </x:c>
      <x:c r="AH65" s="99" t="str">
        <x:v>2026-07-25</x:v>
      </x:c>
      <x:c r="AI65" s="99" t="str">
        <x:v>2026-08-25</x:v>
      </x:c>
      <x:c r="AJ65" s="99" t="str">
        <x:v>Registry coverage only. Production readiness is capability-specific and requires the release checklist.</x:v>
      </x:c>
    </x:row>
    <x:row r="66" ht="54" customHeight="1">
      <x:c r="A66" s="97" t="str">
        <x:v>CP-DO</x:v>
      </x:c>
      <x:c r="B66" s="97" t="str">
        <x:v>Dominican Republic</x:v>
      </x:c>
      <x:c r="C66" s="97" t="str">
        <x:v>DO</x:v>
      </x:c>
      <x:c r="D66" s="97" t="str">
        <x:v>DOM</x:v>
      </x:c>
      <x:c r="E66" s="97" t="str">
        <x:v>214</x:v>
      </x:c>
      <x:c r="F66" s="97" t="str">
        <x:v>ISO 3166-1 assigned</x:v>
      </x:c>
      <x:c r="G66" s="97" t="str">
        <x:v>Independent state</x:v>
      </x:c>
      <x:c r="H66" s="97" t="str">
        <x:v>Self-administered for pack indexing; legal status follows authoritative sources</x:v>
      </x:c>
      <x:c r="I66" s="97" t="str">
        <x:v>Americas</x:v>
      </x:c>
      <x:c r="J66" s="97" t="str">
        <x:v>Caribbean</x:v>
      </x:c>
      <x:c r="K66" s="97" t="str">
        <x:v>National/territorial customs framework—local validation required</x:v>
      </x:c>
      <x:c r="L66" s="97" t="str">
        <x:v>UPU/operator contract, bilateral rules, EAD/message versions and serviceability must be validated</x:v>
      </x:c>
      <x:c r="M66" s="97" t="str">
        <x:v>ICAO state rules, PLACI regime, security status, carrier routing and serviceability must be validated</x:v>
      </x:c>
      <x:c r="N66" s="97" t="str">
        <x:v>Country-pack privacy law and transfer mechanism required</x:v>
      </x:c>
      <x:c r="O66" s="97" t="str">
        <x:v>Screen live lists for every applicable nexus; resolve ownership, sectoral, end-use and licence controls</x:v>
      </x:c>
      <x:c r="P66" s="97" t="str">
        <x:v>No static legal conclusion. Validate current national/territorial customs, tax, licensing, product, privacy and carrier sources before activation.</x:v>
      </x:c>
      <x:c r="Q66" s="97" t="str">
        <x:v>BLOCKED until tariff, prohibitions, documents and carrier services approved</x:v>
      </x:c>
      <x:c r="R66" s="97" t="str">
        <x:v>BLOCKED until ICAO/state/operator variations and certified review path approved</x:v>
      </x:c>
      <x:c r="S66" s="97" t="str">
        <x:v>BLOCKED until SPS/agency/temperature rules and external filing path approved</x:v>
      </x:c>
      <x:c r="T66" s="97" t="str">
        <x:v>BLOCKED until product/site/importer authorizations and quality path approved</x:v>
      </x:c>
      <x:c r="U66" s="97" t="str">
        <x:v>BLOCKED until excise/licences/age/carrier contract approved</x:v>
      </x:c>
      <x:c r="V66" s="97" t="str">
        <x:v>BLOCKED until classification/end-use/licensing and sanctions path approved</x:v>
      </x:c>
      <x:c r="W66" s="97" t="str">
        <x:v>BLOCKED until provenance/security/insurance/carrier limits approved</x:v>
      </x:c>
      <x:c r="X66" s="97" t="str">
        <x:v>BLOCKED until purpose, values, relief evidence and restrictions approved</x:v>
      </x:c>
      <x:c r="Y66" s="104" t="b">
        <x:v>0</x:v>
      </x:c>
      <x:c r="Z66" s="104" t="b">
        <x:v>0</x:v>
      </x:c>
      <x:c r="AA66" s="104" t="b">
        <x:v>0</x:v>
      </x:c>
      <x:c r="AB66" s="104" t="b">
        <x:v>0</x:v>
      </x:c>
      <x:c r="AC66" s="104" t="b">
        <x:v>0</x:v>
      </x:c>
      <x:c r="AD66" s="106" t="str">
        <x:v>BLOCKED_PENDING_VALIDATION</x:v>
      </x:c>
      <x:c r="AE66" s="97" t="str">
        <x:v>NOT_STARTED</x:v>
      </x:c>
      <x:c r="AF66" s="97" t="str">
        <x:v>Unassigned country-pack owner</x:v>
      </x:c>
      <x:c r="AG66" s="97" t="str">
        <x:v>SRC-CUS-001, SRC-CUS-005, SRC-CUS-007, SRC-DAT-001, SRC-POST-001, SRC-PRV-001</x:v>
      </x:c>
      <x:c r="AH66" s="97" t="str">
        <x:v>2026-07-25</x:v>
      </x:c>
      <x:c r="AI66" s="97" t="str">
        <x:v>2026-08-25</x:v>
      </x:c>
      <x:c r="AJ66" s="97" t="str">
        <x:v>Registry coverage only. Production readiness is capability-specific and requires the release checklist.</x:v>
      </x:c>
    </x:row>
    <x:row r="67" ht="54" customHeight="1">
      <x:c r="A67" s="99" t="str">
        <x:v>CP-CD</x:v>
      </x:c>
      <x:c r="B67" s="99" t="str">
        <x:v>DR Congo</x:v>
      </x:c>
      <x:c r="C67" s="99" t="str">
        <x:v>CD</x:v>
      </x:c>
      <x:c r="D67" s="99" t="str">
        <x:v>COD</x:v>
      </x:c>
      <x:c r="E67" s="99" t="str">
        <x:v>180</x:v>
      </x:c>
      <x:c r="F67" s="99" t="str">
        <x:v>ISO 3166-1 assigned</x:v>
      </x:c>
      <x:c r="G67" s="99" t="str">
        <x:v>Independent state</x:v>
      </x:c>
      <x:c r="H67" s="99" t="str">
        <x:v>Self-administered for pack indexing; legal status follows authoritative sources</x:v>
      </x:c>
      <x:c r="I67" s="99" t="str">
        <x:v>Africa</x:v>
      </x:c>
      <x:c r="J67" s="99" t="str">
        <x:v>Middle Africa</x:v>
      </x:c>
      <x:c r="K67" s="99" t="str">
        <x:v>EAC member; national implementation required</x:v>
      </x:c>
      <x:c r="L67" s="99" t="str">
        <x:v>UPU/operator contract, bilateral rules, EAD/message versions and serviceability must be validated</x:v>
      </x:c>
      <x:c r="M67" s="99" t="str">
        <x:v>ICAO state rules, PLACI regime, security status, carrier routing and serviceability must be validated</x:v>
      </x:c>
      <x:c r="N67" s="99" t="str">
        <x:v>Country-pack privacy law and transfer mechanism required</x:v>
      </x:c>
      <x:c r="O67" s="99" t="str">
        <x:v>Screen live lists for every applicable nexus; resolve ownership, sectoral, end-use and licence controls</x:v>
      </x:c>
      <x:c r="P67" s="99" t="str">
        <x:v>No static legal conclusion. Validate current national/territorial customs, tax, licensing, product, privacy and carrier sources before activation.</x:v>
      </x:c>
      <x:c r="Q67" s="99" t="str">
        <x:v>BLOCKED until tariff, prohibitions, documents and carrier services approved</x:v>
      </x:c>
      <x:c r="R67" s="99" t="str">
        <x:v>BLOCKED until ICAO/state/operator variations and certified review path approved</x:v>
      </x:c>
      <x:c r="S67" s="99" t="str">
        <x:v>BLOCKED until SPS/agency/temperature rules and external filing path approved</x:v>
      </x:c>
      <x:c r="T67" s="99" t="str">
        <x:v>BLOCKED until product/site/importer authorizations and quality path approved</x:v>
      </x:c>
      <x:c r="U67" s="99" t="str">
        <x:v>BLOCKED until excise/licences/age/carrier contract approved</x:v>
      </x:c>
      <x:c r="V67" s="99" t="str">
        <x:v>BLOCKED until classification/end-use/licensing and sanctions path approved</x:v>
      </x:c>
      <x:c r="W67" s="99" t="str">
        <x:v>BLOCKED until provenance/security/insurance/carrier limits approved</x:v>
      </x:c>
      <x:c r="X67" s="99" t="str">
        <x:v>BLOCKED until purpose, values, relief evidence and restrictions approved</x:v>
      </x:c>
      <x:c r="Y67" s="103" t="b">
        <x:v>0</x:v>
      </x:c>
      <x:c r="Z67" s="103" t="b">
        <x:v>0</x:v>
      </x:c>
      <x:c r="AA67" s="103" t="b">
        <x:v>0</x:v>
      </x:c>
      <x:c r="AB67" s="103" t="b">
        <x:v>0</x:v>
      </x:c>
      <x:c r="AC67" s="103" t="b">
        <x:v>0</x:v>
      </x:c>
      <x:c r="AD67" s="106" t="str">
        <x:v>BLOCKED_PENDING_VALIDATION</x:v>
      </x:c>
      <x:c r="AE67" s="99" t="str">
        <x:v>NOT_STARTED</x:v>
      </x:c>
      <x:c r="AF67" s="99" t="str">
        <x:v>Unassigned country-pack owner</x:v>
      </x:c>
      <x:c r="AG67" s="99" t="str">
        <x:v>SRC-CUS-001, SRC-CUS-005, SRC-CUS-007, SRC-DAT-001, SRC-POST-001, SRC-PRV-001</x:v>
      </x:c>
      <x:c r="AH67" s="99" t="str">
        <x:v>2026-07-25</x:v>
      </x:c>
      <x:c r="AI67" s="99" t="str">
        <x:v>2026-08-25</x:v>
      </x:c>
      <x:c r="AJ67" s="99" t="str">
        <x:v>Registry coverage only. Production readiness is capability-specific and requires the release checklist.</x:v>
      </x:c>
    </x:row>
    <x:row r="68" ht="54" customHeight="1">
      <x:c r="A68" s="97" t="str">
        <x:v>CP-EC</x:v>
      </x:c>
      <x:c r="B68" s="97" t="str">
        <x:v>Ecuador</x:v>
      </x:c>
      <x:c r="C68" s="97" t="str">
        <x:v>EC</x:v>
      </x:c>
      <x:c r="D68" s="97" t="str">
        <x:v>ECU</x:v>
      </x:c>
      <x:c r="E68" s="97" t="str">
        <x:v>218</x:v>
      </x:c>
      <x:c r="F68" s="97" t="str">
        <x:v>ISO 3166-1 assigned</x:v>
      </x:c>
      <x:c r="G68" s="97" t="str">
        <x:v>Independent state</x:v>
      </x:c>
      <x:c r="H68" s="97" t="str">
        <x:v>Self-administered for pack indexing; legal status follows authoritative sources</x:v>
      </x:c>
      <x:c r="I68" s="97" t="str">
        <x:v>Americas</x:v>
      </x:c>
      <x:c r="J68" s="97" t="str">
        <x:v>South America</x:v>
      </x:c>
      <x:c r="K68" s="97" t="str">
        <x:v>National/territorial customs framework—local validation required</x:v>
      </x:c>
      <x:c r="L68" s="97" t="str">
        <x:v>UPU/operator contract, bilateral rules, EAD/message versions and serviceability must be validated</x:v>
      </x:c>
      <x:c r="M68" s="97" t="str">
        <x:v>ICAO state rules, PLACI regime, security status, carrier routing and serviceability must be validated</x:v>
      </x:c>
      <x:c r="N68" s="97" t="str">
        <x:v>Country-pack privacy law and transfer mechanism required</x:v>
      </x:c>
      <x:c r="O68" s="97" t="str">
        <x:v>Screen live lists for every applicable nexus; resolve ownership, sectoral, end-use and licence controls</x:v>
      </x:c>
      <x:c r="P68" s="97" t="str">
        <x:v>No static legal conclusion. Validate current national/territorial customs, tax, licensing, product, privacy and carrier sources before activation.</x:v>
      </x:c>
      <x:c r="Q68" s="97" t="str">
        <x:v>BLOCKED until tariff, prohibitions, documents and carrier services approved</x:v>
      </x:c>
      <x:c r="R68" s="97" t="str">
        <x:v>BLOCKED until ICAO/state/operator variations and certified review path approved</x:v>
      </x:c>
      <x:c r="S68" s="97" t="str">
        <x:v>BLOCKED until SPS/agency/temperature rules and external filing path approved</x:v>
      </x:c>
      <x:c r="T68" s="97" t="str">
        <x:v>BLOCKED until product/site/importer authorizations and quality path approved</x:v>
      </x:c>
      <x:c r="U68" s="97" t="str">
        <x:v>BLOCKED until excise/licences/age/carrier contract approved</x:v>
      </x:c>
      <x:c r="V68" s="97" t="str">
        <x:v>BLOCKED until classification/end-use/licensing and sanctions path approved</x:v>
      </x:c>
      <x:c r="W68" s="97" t="str">
        <x:v>BLOCKED until provenance/security/insurance/carrier limits approved</x:v>
      </x:c>
      <x:c r="X68" s="97" t="str">
        <x:v>BLOCKED until purpose, values, relief evidence and restrictions approved</x:v>
      </x:c>
      <x:c r="Y68" s="104" t="b">
        <x:v>0</x:v>
      </x:c>
      <x:c r="Z68" s="104" t="b">
        <x:v>0</x:v>
      </x:c>
      <x:c r="AA68" s="104" t="b">
        <x:v>0</x:v>
      </x:c>
      <x:c r="AB68" s="104" t="b">
        <x:v>0</x:v>
      </x:c>
      <x:c r="AC68" s="104" t="b">
        <x:v>0</x:v>
      </x:c>
      <x:c r="AD68" s="106" t="str">
        <x:v>BLOCKED_PENDING_VALIDATION</x:v>
      </x:c>
      <x:c r="AE68" s="97" t="str">
        <x:v>NOT_STARTED</x:v>
      </x:c>
      <x:c r="AF68" s="97" t="str">
        <x:v>Unassigned country-pack owner</x:v>
      </x:c>
      <x:c r="AG68" s="97" t="str">
        <x:v>SRC-CUS-001, SRC-CUS-005, SRC-CUS-007, SRC-DAT-001, SRC-POST-001, SRC-PRV-001</x:v>
      </x:c>
      <x:c r="AH68" s="97" t="str">
        <x:v>2026-07-25</x:v>
      </x:c>
      <x:c r="AI68" s="97" t="str">
        <x:v>2026-08-25</x:v>
      </x:c>
      <x:c r="AJ68" s="97" t="str">
        <x:v>Registry coverage only. Production readiness is capability-specific and requires the release checklist.</x:v>
      </x:c>
    </x:row>
    <x:row r="69" ht="54" customHeight="1">
      <x:c r="A69" s="99" t="str">
        <x:v>CP-EG</x:v>
      </x:c>
      <x:c r="B69" s="99" t="str">
        <x:v>Egypt</x:v>
      </x:c>
      <x:c r="C69" s="99" t="str">
        <x:v>EG</x:v>
      </x:c>
      <x:c r="D69" s="99" t="str">
        <x:v>EGY</x:v>
      </x:c>
      <x:c r="E69" s="99" t="str">
        <x:v>818</x:v>
      </x:c>
      <x:c r="F69" s="99" t="str">
        <x:v>ISO 3166-1 assigned</x:v>
      </x:c>
      <x:c r="G69" s="99" t="str">
        <x:v>Independent state</x:v>
      </x:c>
      <x:c r="H69" s="99" t="str">
        <x:v>Self-administered for pack indexing; legal status follows authoritative sources</x:v>
      </x:c>
      <x:c r="I69" s="99" t="str">
        <x:v>Africa</x:v>
      </x:c>
      <x:c r="J69" s="99" t="str">
        <x:v>Northern Africa</x:v>
      </x:c>
      <x:c r="K69" s="99" t="str">
        <x:v>National/territorial customs framework—local validation required</x:v>
      </x:c>
      <x:c r="L69" s="99" t="str">
        <x:v>UPU/operator contract, bilateral rules, EAD/message versions and serviceability must be validated</x:v>
      </x:c>
      <x:c r="M69" s="99" t="str">
        <x:v>ICAO state rules, PLACI regime, security status, carrier routing and serviceability must be validated</x:v>
      </x:c>
      <x:c r="N69" s="99" t="str">
        <x:v>Country-pack privacy law and transfer mechanism required</x:v>
      </x:c>
      <x:c r="O69" s="99" t="str">
        <x:v>Screen live lists for every applicable nexus; resolve ownership, sectoral, end-use and licence controls</x:v>
      </x:c>
      <x:c r="P69" s="99" t="str">
        <x:v>No static legal conclusion. Validate current national/territorial customs, tax, licensing, product, privacy and carrier sources before activation.</x:v>
      </x:c>
      <x:c r="Q69" s="99" t="str">
        <x:v>BLOCKED until tariff, prohibitions, documents and carrier services approved</x:v>
      </x:c>
      <x:c r="R69" s="99" t="str">
        <x:v>BLOCKED until ICAO/state/operator variations and certified review path approved</x:v>
      </x:c>
      <x:c r="S69" s="99" t="str">
        <x:v>BLOCKED until SPS/agency/temperature rules and external filing path approved</x:v>
      </x:c>
      <x:c r="T69" s="99" t="str">
        <x:v>BLOCKED until product/site/importer authorizations and quality path approved</x:v>
      </x:c>
      <x:c r="U69" s="99" t="str">
        <x:v>BLOCKED until excise/licences/age/carrier contract approved</x:v>
      </x:c>
      <x:c r="V69" s="99" t="str">
        <x:v>BLOCKED until classification/end-use/licensing and sanctions path approved</x:v>
      </x:c>
      <x:c r="W69" s="99" t="str">
        <x:v>BLOCKED until provenance/security/insurance/carrier limits approved</x:v>
      </x:c>
      <x:c r="X69" s="99" t="str">
        <x:v>BLOCKED until purpose, values, relief evidence and restrictions approved</x:v>
      </x:c>
      <x:c r="Y69" s="103" t="b">
        <x:v>0</x:v>
      </x:c>
      <x:c r="Z69" s="103" t="b">
        <x:v>0</x:v>
      </x:c>
      <x:c r="AA69" s="103" t="b">
        <x:v>0</x:v>
      </x:c>
      <x:c r="AB69" s="103" t="b">
        <x:v>0</x:v>
      </x:c>
      <x:c r="AC69" s="103" t="b">
        <x:v>0</x:v>
      </x:c>
      <x:c r="AD69" s="106" t="str">
        <x:v>BLOCKED_PENDING_VALIDATION</x:v>
      </x:c>
      <x:c r="AE69" s="99" t="str">
        <x:v>NOT_STARTED</x:v>
      </x:c>
      <x:c r="AF69" s="99" t="str">
        <x:v>Unassigned country-pack owner</x:v>
      </x:c>
      <x:c r="AG69" s="99" t="str">
        <x:v>SRC-CUS-001, SRC-CUS-005, SRC-CUS-007, SRC-DAT-001, SRC-POST-001, SRC-PRV-001</x:v>
      </x:c>
      <x:c r="AH69" s="99" t="str">
        <x:v>2026-07-25</x:v>
      </x:c>
      <x:c r="AI69" s="99" t="str">
        <x:v>2026-08-25</x:v>
      </x:c>
      <x:c r="AJ69" s="99" t="str">
        <x:v>Registry coverage only. Production readiness is capability-specific and requires the release checklist.</x:v>
      </x:c>
    </x:row>
    <x:row r="70" ht="54" customHeight="1">
      <x:c r="A70" s="97" t="str">
        <x:v>CP-SV</x:v>
      </x:c>
      <x:c r="B70" s="97" t="str">
        <x:v>El Salvador</x:v>
      </x:c>
      <x:c r="C70" s="97" t="str">
        <x:v>SV</x:v>
      </x:c>
      <x:c r="D70" s="97" t="str">
        <x:v>SLV</x:v>
      </x:c>
      <x:c r="E70" s="97" t="str">
        <x:v>222</x:v>
      </x:c>
      <x:c r="F70" s="97" t="str">
        <x:v>ISO 3166-1 assigned</x:v>
      </x:c>
      <x:c r="G70" s="97" t="str">
        <x:v>Independent state</x:v>
      </x:c>
      <x:c r="H70" s="97" t="str">
        <x:v>Self-administered for pack indexing; legal status follows authoritative sources</x:v>
      </x:c>
      <x:c r="I70" s="97" t="str">
        <x:v>Americas</x:v>
      </x:c>
      <x:c r="J70" s="97" t="str">
        <x:v>Central America</x:v>
      </x:c>
      <x:c r="K70" s="97" t="str">
        <x:v>National/territorial customs framework—local validation required</x:v>
      </x:c>
      <x:c r="L70" s="97" t="str">
        <x:v>UPU/operator contract, bilateral rules, EAD/message versions and serviceability must be validated</x:v>
      </x:c>
      <x:c r="M70" s="97" t="str">
        <x:v>ICAO state rules, PLACI regime, security status, carrier routing and serviceability must be validated</x:v>
      </x:c>
      <x:c r="N70" s="97" t="str">
        <x:v>Country-pack privacy law and transfer mechanism required</x:v>
      </x:c>
      <x:c r="O70" s="97" t="str">
        <x:v>Screen live lists for every applicable nexus; resolve ownership, sectoral, end-use and licence controls</x:v>
      </x:c>
      <x:c r="P70" s="97" t="str">
        <x:v>No static legal conclusion. Validate current national/territorial customs, tax, licensing, product, privacy and carrier sources before activation.</x:v>
      </x:c>
      <x:c r="Q70" s="97" t="str">
        <x:v>BLOCKED until tariff, prohibitions, documents and carrier services approved</x:v>
      </x:c>
      <x:c r="R70" s="97" t="str">
        <x:v>BLOCKED until ICAO/state/operator variations and certified review path approved</x:v>
      </x:c>
      <x:c r="S70" s="97" t="str">
        <x:v>BLOCKED until SPS/agency/temperature rules and external filing path approved</x:v>
      </x:c>
      <x:c r="T70" s="97" t="str">
        <x:v>BLOCKED until product/site/importer authorizations and quality path approved</x:v>
      </x:c>
      <x:c r="U70" s="97" t="str">
        <x:v>BLOCKED until excise/licences/age/carrier contract approved</x:v>
      </x:c>
      <x:c r="V70" s="97" t="str">
        <x:v>BLOCKED until classification/end-use/licensing and sanctions path approved</x:v>
      </x:c>
      <x:c r="W70" s="97" t="str">
        <x:v>BLOCKED until provenance/security/insurance/carrier limits approved</x:v>
      </x:c>
      <x:c r="X70" s="97" t="str">
        <x:v>BLOCKED until purpose, values, relief evidence and restrictions approved</x:v>
      </x:c>
      <x:c r="Y70" s="104" t="b">
        <x:v>0</x:v>
      </x:c>
      <x:c r="Z70" s="104" t="b">
        <x:v>0</x:v>
      </x:c>
      <x:c r="AA70" s="104" t="b">
        <x:v>0</x:v>
      </x:c>
      <x:c r="AB70" s="104" t="b">
        <x:v>0</x:v>
      </x:c>
      <x:c r="AC70" s="104" t="b">
        <x:v>0</x:v>
      </x:c>
      <x:c r="AD70" s="106" t="str">
        <x:v>BLOCKED_PENDING_VALIDATION</x:v>
      </x:c>
      <x:c r="AE70" s="97" t="str">
        <x:v>NOT_STARTED</x:v>
      </x:c>
      <x:c r="AF70" s="97" t="str">
        <x:v>Unassigned country-pack owner</x:v>
      </x:c>
      <x:c r="AG70" s="97" t="str">
        <x:v>SRC-CUS-001, SRC-CUS-005, SRC-CUS-007, SRC-DAT-001, SRC-POST-001, SRC-PRV-001</x:v>
      </x:c>
      <x:c r="AH70" s="97" t="str">
        <x:v>2026-07-25</x:v>
      </x:c>
      <x:c r="AI70" s="97" t="str">
        <x:v>2026-08-25</x:v>
      </x:c>
      <x:c r="AJ70" s="97" t="str">
        <x:v>Registry coverage only. Production readiness is capability-specific and requires the release checklist.</x:v>
      </x:c>
    </x:row>
    <x:row r="71" ht="54" customHeight="1">
      <x:c r="A71" s="99" t="str">
        <x:v>CP-GQ</x:v>
      </x:c>
      <x:c r="B71" s="99" t="str">
        <x:v>Equatorial Guinea</x:v>
      </x:c>
      <x:c r="C71" s="99" t="str">
        <x:v>GQ</x:v>
      </x:c>
      <x:c r="D71" s="99" t="str">
        <x:v>GNQ</x:v>
      </x:c>
      <x:c r="E71" s="99" t="str">
        <x:v>226</x:v>
      </x:c>
      <x:c r="F71" s="99" t="str">
        <x:v>ISO 3166-1 assigned</x:v>
      </x:c>
      <x:c r="G71" s="99" t="str">
        <x:v>Independent state</x:v>
      </x:c>
      <x:c r="H71" s="99" t="str">
        <x:v>Self-administered for pack indexing; legal status follows authoritative sources</x:v>
      </x:c>
      <x:c r="I71" s="99" t="str">
        <x:v>Africa</x:v>
      </x:c>
      <x:c r="J71" s="99" t="str">
        <x:v>Middle Africa</x:v>
      </x:c>
      <x:c r="K71" s="99" t="str">
        <x:v>National/territorial customs framework—local validation required</x:v>
      </x:c>
      <x:c r="L71" s="99" t="str">
        <x:v>UPU/operator contract, bilateral rules, EAD/message versions and serviceability must be validated</x:v>
      </x:c>
      <x:c r="M71" s="99" t="str">
        <x:v>ICAO state rules, PLACI regime, security status, carrier routing and serviceability must be validated</x:v>
      </x:c>
      <x:c r="N71" s="99" t="str">
        <x:v>Country-pack privacy law and transfer mechanism required</x:v>
      </x:c>
      <x:c r="O71" s="99" t="str">
        <x:v>Screen live lists for every applicable nexus; resolve ownership, sectoral, end-use and licence controls</x:v>
      </x:c>
      <x:c r="P71" s="99" t="str">
        <x:v>No static legal conclusion. Validate current national/territorial customs, tax, licensing, product, privacy and carrier sources before activation.</x:v>
      </x:c>
      <x:c r="Q71" s="99" t="str">
        <x:v>BLOCKED until tariff, prohibitions, documents and carrier services approved</x:v>
      </x:c>
      <x:c r="R71" s="99" t="str">
        <x:v>BLOCKED until ICAO/state/operator variations and certified review path approved</x:v>
      </x:c>
      <x:c r="S71" s="99" t="str">
        <x:v>BLOCKED until SPS/agency/temperature rules and external filing path approved</x:v>
      </x:c>
      <x:c r="T71" s="99" t="str">
        <x:v>BLOCKED until product/site/importer authorizations and quality path approved</x:v>
      </x:c>
      <x:c r="U71" s="99" t="str">
        <x:v>BLOCKED until excise/licences/age/carrier contract approved</x:v>
      </x:c>
      <x:c r="V71" s="99" t="str">
        <x:v>BLOCKED until classification/end-use/licensing and sanctions path approved</x:v>
      </x:c>
      <x:c r="W71" s="99" t="str">
        <x:v>BLOCKED until provenance/security/insurance/carrier limits approved</x:v>
      </x:c>
      <x:c r="X71" s="99" t="str">
        <x:v>BLOCKED until purpose, values, relief evidence and restrictions approved</x:v>
      </x:c>
      <x:c r="Y71" s="103" t="b">
        <x:v>0</x:v>
      </x:c>
      <x:c r="Z71" s="103" t="b">
        <x:v>0</x:v>
      </x:c>
      <x:c r="AA71" s="103" t="b">
        <x:v>0</x:v>
      </x:c>
      <x:c r="AB71" s="103" t="b">
        <x:v>0</x:v>
      </x:c>
      <x:c r="AC71" s="103" t="b">
        <x:v>0</x:v>
      </x:c>
      <x:c r="AD71" s="106" t="str">
        <x:v>BLOCKED_PENDING_VALIDATION</x:v>
      </x:c>
      <x:c r="AE71" s="99" t="str">
        <x:v>NOT_STARTED</x:v>
      </x:c>
      <x:c r="AF71" s="99" t="str">
        <x:v>Unassigned country-pack owner</x:v>
      </x:c>
      <x:c r="AG71" s="99" t="str">
        <x:v>SRC-CUS-001, SRC-CUS-005, SRC-CUS-007, SRC-DAT-001, SRC-POST-001, SRC-PRV-001</x:v>
      </x:c>
      <x:c r="AH71" s="99" t="str">
        <x:v>2026-07-25</x:v>
      </x:c>
      <x:c r="AI71" s="99" t="str">
        <x:v>2026-08-25</x:v>
      </x:c>
      <x:c r="AJ71" s="99" t="str">
        <x:v>Registry coverage only. Production readiness is capability-specific and requires the release checklist.</x:v>
      </x:c>
    </x:row>
    <x:row r="72" ht="54" customHeight="1">
      <x:c r="A72" s="97" t="str">
        <x:v>CP-ER</x:v>
      </x:c>
      <x:c r="B72" s="97" t="str">
        <x:v>Eritrea</x:v>
      </x:c>
      <x:c r="C72" s="97" t="str">
        <x:v>ER</x:v>
      </x:c>
      <x:c r="D72" s="97" t="str">
        <x:v>ERI</x:v>
      </x:c>
      <x:c r="E72" s="97" t="str">
        <x:v>232</x:v>
      </x:c>
      <x:c r="F72" s="97" t="str">
        <x:v>ISO 3166-1 assigned</x:v>
      </x:c>
      <x:c r="G72" s="97" t="str">
        <x:v>Independent state</x:v>
      </x:c>
      <x:c r="H72" s="97" t="str">
        <x:v>Self-administered for pack indexing; legal status follows authoritative sources</x:v>
      </x:c>
      <x:c r="I72" s="97" t="str">
        <x:v>Africa</x:v>
      </x:c>
      <x:c r="J72" s="97" t="str">
        <x:v>Eastern Africa</x:v>
      </x:c>
      <x:c r="K72" s="97" t="str">
        <x:v>National/territorial customs framework—local validation required</x:v>
      </x:c>
      <x:c r="L72" s="97" t="str">
        <x:v>UPU/operator contract, bilateral rules, EAD/message versions and serviceability must be validated</x:v>
      </x:c>
      <x:c r="M72" s="97" t="str">
        <x:v>ICAO state rules, PLACI regime, security status, carrier routing and serviceability must be validated</x:v>
      </x:c>
      <x:c r="N72" s="97" t="str">
        <x:v>Country-pack privacy law and transfer mechanism required</x:v>
      </x:c>
      <x:c r="O72" s="97" t="str">
        <x:v>Screen live lists for every applicable nexus; resolve ownership, sectoral, end-use and licence controls</x:v>
      </x:c>
      <x:c r="P72" s="97" t="str">
        <x:v>No static legal conclusion. Validate current national/territorial customs, tax, licensing, product, privacy and carrier sources before activation.</x:v>
      </x:c>
      <x:c r="Q72" s="97" t="str">
        <x:v>BLOCKED until tariff, prohibitions, documents and carrier services approved</x:v>
      </x:c>
      <x:c r="R72" s="97" t="str">
        <x:v>BLOCKED until ICAO/state/operator variations and certified review path approved</x:v>
      </x:c>
      <x:c r="S72" s="97" t="str">
        <x:v>BLOCKED until SPS/agency/temperature rules and external filing path approved</x:v>
      </x:c>
      <x:c r="T72" s="97" t="str">
        <x:v>BLOCKED until product/site/importer authorizations and quality path approved</x:v>
      </x:c>
      <x:c r="U72" s="97" t="str">
        <x:v>BLOCKED until excise/licences/age/carrier contract approved</x:v>
      </x:c>
      <x:c r="V72" s="97" t="str">
        <x:v>BLOCKED until classification/end-use/licensing and sanctions path approved</x:v>
      </x:c>
      <x:c r="W72" s="97" t="str">
        <x:v>BLOCKED until provenance/security/insurance/carrier limits approved</x:v>
      </x:c>
      <x:c r="X72" s="97" t="str">
        <x:v>BLOCKED until purpose, values, relief evidence and restrictions approved</x:v>
      </x:c>
      <x:c r="Y72" s="104" t="b">
        <x:v>0</x:v>
      </x:c>
      <x:c r="Z72" s="104" t="b">
        <x:v>0</x:v>
      </x:c>
      <x:c r="AA72" s="104" t="b">
        <x:v>0</x:v>
      </x:c>
      <x:c r="AB72" s="104" t="b">
        <x:v>0</x:v>
      </x:c>
      <x:c r="AC72" s="104" t="b">
        <x:v>0</x:v>
      </x:c>
      <x:c r="AD72" s="106" t="str">
        <x:v>BLOCKED_PENDING_VALIDATION</x:v>
      </x:c>
      <x:c r="AE72" s="97" t="str">
        <x:v>NOT_STARTED</x:v>
      </x:c>
      <x:c r="AF72" s="97" t="str">
        <x:v>Unassigned country-pack owner</x:v>
      </x:c>
      <x:c r="AG72" s="97" t="str">
        <x:v>SRC-CUS-001, SRC-CUS-005, SRC-CUS-007, SRC-DAT-001, SRC-POST-001, SRC-PRV-001</x:v>
      </x:c>
      <x:c r="AH72" s="97" t="str">
        <x:v>2026-07-25</x:v>
      </x:c>
      <x:c r="AI72" s="97" t="str">
        <x:v>2026-08-25</x:v>
      </x:c>
      <x:c r="AJ72" s="97" t="str">
        <x:v>Registry coverage only. Production readiness is capability-specific and requires the release checklist.</x:v>
      </x:c>
    </x:row>
    <x:row r="73" ht="54" customHeight="1">
      <x:c r="A73" s="99" t="str">
        <x:v>CP-EE</x:v>
      </x:c>
      <x:c r="B73" s="99" t="str">
        <x:v>Estonia</x:v>
      </x:c>
      <x:c r="C73" s="99" t="str">
        <x:v>EE</x:v>
      </x:c>
      <x:c r="D73" s="99" t="str">
        <x:v>EST</x:v>
      </x:c>
      <x:c r="E73" s="99" t="str">
        <x:v>233</x:v>
      </x:c>
      <x:c r="F73" s="99" t="str">
        <x:v>ISO 3166-1 assigned</x:v>
      </x:c>
      <x:c r="G73" s="99" t="str">
        <x:v>Independent state</x:v>
      </x:c>
      <x:c r="H73" s="99" t="str">
        <x:v>Self-administered for pack indexing; legal status follows authoritative sources</x:v>
      </x:c>
      <x:c r="I73" s="99" t="str">
        <x:v>Europe</x:v>
      </x:c>
      <x:c r="J73" s="99" t="str">
        <x:v>Northern Europe</x:v>
      </x:c>
      <x:c r="K73" s="99" t="str">
        <x:v>EU customs framework; validate special fiscal/customs territory</x:v>
      </x:c>
      <x:c r="L73" s="99" t="str">
        <x:v>UPU/operator contract, bilateral rules, EAD/message versions and serviceability must be validated</x:v>
      </x:c>
      <x:c r="M73" s="99" t="str">
        <x:v>ICAO state rules, PLACI regime, security status, carrier routing and serviceability must be validated</x:v>
      </x:c>
      <x:c r="N73" s="99" t="str">
        <x:v>GDPR/EEA transfer controls; local supplements</x:v>
      </x:c>
      <x:c r="O73" s="99" t="str">
        <x:v>Screen live lists for every applicable nexus; resolve ownership, sectoral, end-use and licence controls</x:v>
      </x:c>
      <x:c r="P73" s="99" t="str">
        <x:v>EU baseline: ICS2/ENS and current low-value/VAT rules; member and special-territory validation still required.</x:v>
      </x:c>
      <x:c r="Q73" s="99" t="str">
        <x:v>BLOCKED until tariff, prohibitions, documents and carrier services approved</x:v>
      </x:c>
      <x:c r="R73" s="99" t="str">
        <x:v>BLOCKED until ICAO/state/operator variations and certified review path approved</x:v>
      </x:c>
      <x:c r="S73" s="99" t="str">
        <x:v>BLOCKED until SPS/agency/temperature rules and external filing path approved</x:v>
      </x:c>
      <x:c r="T73" s="99" t="str">
        <x:v>BLOCKED until product/site/importer authorizations and quality path approved</x:v>
      </x:c>
      <x:c r="U73" s="99" t="str">
        <x:v>BLOCKED until excise/licences/age/carrier contract approved</x:v>
      </x:c>
      <x:c r="V73" s="99" t="str">
        <x:v>BLOCKED until classification/end-use/licensing and sanctions path approved</x:v>
      </x:c>
      <x:c r="W73" s="99" t="str">
        <x:v>BLOCKED until provenance/security/insurance/carrier limits approved</x:v>
      </x:c>
      <x:c r="X73" s="99" t="str">
        <x:v>BLOCKED until purpose, values, relief evidence and restrictions approved</x:v>
      </x:c>
      <x:c r="Y73" s="103" t="b">
        <x:v>0</x:v>
      </x:c>
      <x:c r="Z73" s="103" t="b">
        <x:v>0</x:v>
      </x:c>
      <x:c r="AA73" s="103" t="b">
        <x:v>0</x:v>
      </x:c>
      <x:c r="AB73" s="103" t="b">
        <x:v>0</x:v>
      </x:c>
      <x:c r="AC73" s="103" t="b">
        <x:v>0</x:v>
      </x:c>
      <x:c r="AD73" s="106" t="str">
        <x:v>BLOCKED_PENDING_VALIDATION</x:v>
      </x:c>
      <x:c r="AE73" s="99" t="str">
        <x:v>NOT_STARTED</x:v>
      </x:c>
      <x:c r="AF73" s="99" t="str">
        <x:v>Unassigned country-pack owner</x:v>
      </x:c>
      <x:c r="AG73" s="99" t="str">
        <x:v>SRC-CUS-001, SRC-CUS-005, SRC-CUS-007, SRC-DAT-001, SRC-POST-001, SRC-PRV-001, SRC-EU-001, SRC-EU-002, SRC-EU-003, SRC-EU-004, SRC-PRV-002</x:v>
      </x:c>
      <x:c r="AH73" s="99" t="str">
        <x:v>2026-07-25</x:v>
      </x:c>
      <x:c r="AI73" s="99" t="str">
        <x:v>2026-08-25</x:v>
      </x:c>
      <x:c r="AJ73" s="99" t="str">
        <x:v>Registry coverage only. Production readiness is capability-specific and requires the release checklist.</x:v>
      </x:c>
    </x:row>
    <x:row r="74" ht="54" customHeight="1">
      <x:c r="A74" s="97" t="str">
        <x:v>CP-SZ</x:v>
      </x:c>
      <x:c r="B74" s="97" t="str">
        <x:v>Eswatini</x:v>
      </x:c>
      <x:c r="C74" s="97" t="str">
        <x:v>SZ</x:v>
      </x:c>
      <x:c r="D74" s="97" t="str">
        <x:v>SWZ</x:v>
      </x:c>
      <x:c r="E74" s="97" t="str">
        <x:v>748</x:v>
      </x:c>
      <x:c r="F74" s="97" t="str">
        <x:v>ISO 3166-1 assigned</x:v>
      </x:c>
      <x:c r="G74" s="97" t="str">
        <x:v>Independent state</x:v>
      </x:c>
      <x:c r="H74" s="97" t="str">
        <x:v>Self-administered for pack indexing; legal status follows authoritative sources</x:v>
      </x:c>
      <x:c r="I74" s="97" t="str">
        <x:v>Africa</x:v>
      </x:c>
      <x:c r="J74" s="97" t="str">
        <x:v>Southern Africa</x:v>
      </x:c>
      <x:c r="K74" s="97" t="str">
        <x:v>SACU member; national VAT/import controls required</x:v>
      </x:c>
      <x:c r="L74" s="97" t="str">
        <x:v>UPU/operator contract, bilateral rules, EAD/message versions and serviceability must be validated</x:v>
      </x:c>
      <x:c r="M74" s="97" t="str">
        <x:v>ICAO state rules, PLACI regime, security status, carrier routing and serviceability must be validated</x:v>
      </x:c>
      <x:c r="N74" s="97" t="str">
        <x:v>Country-pack privacy law and transfer mechanism required</x:v>
      </x:c>
      <x:c r="O74" s="97" t="str">
        <x:v>Screen live lists for every applicable nexus; resolve ownership, sectoral, end-use and licence controls</x:v>
      </x:c>
      <x:c r="P74" s="97" t="str">
        <x:v>No static legal conclusion. Validate current national/territorial customs, tax, licensing, product, privacy and carrier sources before activation.</x:v>
      </x:c>
      <x:c r="Q74" s="97" t="str">
        <x:v>BLOCKED until tariff, prohibitions, documents and carrier services approved</x:v>
      </x:c>
      <x:c r="R74" s="97" t="str">
        <x:v>BLOCKED until ICAO/state/operator variations and certified review path approved</x:v>
      </x:c>
      <x:c r="S74" s="97" t="str">
        <x:v>BLOCKED until SPS/agency/temperature rules and external filing path approved</x:v>
      </x:c>
      <x:c r="T74" s="97" t="str">
        <x:v>BLOCKED until product/site/importer authorizations and quality path approved</x:v>
      </x:c>
      <x:c r="U74" s="97" t="str">
        <x:v>BLOCKED until excise/licences/age/carrier contract approved</x:v>
      </x:c>
      <x:c r="V74" s="97" t="str">
        <x:v>BLOCKED until classification/end-use/licensing and sanctions path approved</x:v>
      </x:c>
      <x:c r="W74" s="97" t="str">
        <x:v>BLOCKED until provenance/security/insurance/carrier limits approved</x:v>
      </x:c>
      <x:c r="X74" s="97" t="str">
        <x:v>BLOCKED until purpose, values, relief evidence and restrictions approved</x:v>
      </x:c>
      <x:c r="Y74" s="104" t="b">
        <x:v>0</x:v>
      </x:c>
      <x:c r="Z74" s="104" t="b">
        <x:v>0</x:v>
      </x:c>
      <x:c r="AA74" s="104" t="b">
        <x:v>0</x:v>
      </x:c>
      <x:c r="AB74" s="104" t="b">
        <x:v>0</x:v>
      </x:c>
      <x:c r="AC74" s="104" t="b">
        <x:v>0</x:v>
      </x:c>
      <x:c r="AD74" s="106" t="str">
        <x:v>BLOCKED_PENDING_VALIDATION</x:v>
      </x:c>
      <x:c r="AE74" s="97" t="str">
        <x:v>NOT_STARTED</x:v>
      </x:c>
      <x:c r="AF74" s="97" t="str">
        <x:v>Unassigned country-pack owner</x:v>
      </x:c>
      <x:c r="AG74" s="97" t="str">
        <x:v>SRC-CUS-001, SRC-CUS-005, SRC-CUS-007, SRC-DAT-001, SRC-POST-001, SRC-PRV-001</x:v>
      </x:c>
      <x:c r="AH74" s="97" t="str">
        <x:v>2026-07-25</x:v>
      </x:c>
      <x:c r="AI74" s="97" t="str">
        <x:v>2026-08-25</x:v>
      </x:c>
      <x:c r="AJ74" s="97" t="str">
        <x:v>Registry coverage only. Production readiness is capability-specific and requires the release checklist.</x:v>
      </x:c>
    </x:row>
    <x:row r="75" ht="54" customHeight="1">
      <x:c r="A75" s="99" t="str">
        <x:v>CP-ET</x:v>
      </x:c>
      <x:c r="B75" s="99" t="str">
        <x:v>Ethiopia</x:v>
      </x:c>
      <x:c r="C75" s="99" t="str">
        <x:v>ET</x:v>
      </x:c>
      <x:c r="D75" s="99" t="str">
        <x:v>ETH</x:v>
      </x:c>
      <x:c r="E75" s="99" t="str">
        <x:v>231</x:v>
      </x:c>
      <x:c r="F75" s="99" t="str">
        <x:v>ISO 3166-1 assigned</x:v>
      </x:c>
      <x:c r="G75" s="99" t="str">
        <x:v>Independent state</x:v>
      </x:c>
      <x:c r="H75" s="99" t="str">
        <x:v>Self-administered for pack indexing; legal status follows authoritative sources</x:v>
      </x:c>
      <x:c r="I75" s="99" t="str">
        <x:v>Africa</x:v>
      </x:c>
      <x:c r="J75" s="99" t="str">
        <x:v>Eastern Africa</x:v>
      </x:c>
      <x:c r="K75" s="99" t="str">
        <x:v>National/territorial customs framework—local validation required</x:v>
      </x:c>
      <x:c r="L75" s="99" t="str">
        <x:v>UPU/operator contract, bilateral rules, EAD/message versions and serviceability must be validated</x:v>
      </x:c>
      <x:c r="M75" s="99" t="str">
        <x:v>ICAO state rules, PLACI regime, security status, carrier routing and serviceability must be validated</x:v>
      </x:c>
      <x:c r="N75" s="99" t="str">
        <x:v>Country-pack privacy law and transfer mechanism required</x:v>
      </x:c>
      <x:c r="O75" s="99" t="str">
        <x:v>Screen live lists for every applicable nexus; resolve ownership, sectoral, end-use and licence controls</x:v>
      </x:c>
      <x:c r="P75" s="99" t="str">
        <x:v>No static legal conclusion. Validate current national/territorial customs, tax, licensing, product, privacy and carrier sources before activation.</x:v>
      </x:c>
      <x:c r="Q75" s="99" t="str">
        <x:v>BLOCKED until tariff, prohibitions, documents and carrier services approved</x:v>
      </x:c>
      <x:c r="R75" s="99" t="str">
        <x:v>BLOCKED until ICAO/state/operator variations and certified review path approved</x:v>
      </x:c>
      <x:c r="S75" s="99" t="str">
        <x:v>BLOCKED until SPS/agency/temperature rules and external filing path approved</x:v>
      </x:c>
      <x:c r="T75" s="99" t="str">
        <x:v>BLOCKED until product/site/importer authorizations and quality path approved</x:v>
      </x:c>
      <x:c r="U75" s="99" t="str">
        <x:v>BLOCKED until excise/licences/age/carrier contract approved</x:v>
      </x:c>
      <x:c r="V75" s="99" t="str">
        <x:v>BLOCKED until classification/end-use/licensing and sanctions path approved</x:v>
      </x:c>
      <x:c r="W75" s="99" t="str">
        <x:v>BLOCKED until provenance/security/insurance/carrier limits approved</x:v>
      </x:c>
      <x:c r="X75" s="99" t="str">
        <x:v>BLOCKED until purpose, values, relief evidence and restrictions approved</x:v>
      </x:c>
      <x:c r="Y75" s="103" t="b">
        <x:v>0</x:v>
      </x:c>
      <x:c r="Z75" s="103" t="b">
        <x:v>0</x:v>
      </x:c>
      <x:c r="AA75" s="103" t="b">
        <x:v>0</x:v>
      </x:c>
      <x:c r="AB75" s="103" t="b">
        <x:v>0</x:v>
      </x:c>
      <x:c r="AC75" s="103" t="b">
        <x:v>0</x:v>
      </x:c>
      <x:c r="AD75" s="106" t="str">
        <x:v>BLOCKED_PENDING_VALIDATION</x:v>
      </x:c>
      <x:c r="AE75" s="99" t="str">
        <x:v>NOT_STARTED</x:v>
      </x:c>
      <x:c r="AF75" s="99" t="str">
        <x:v>Unassigned country-pack owner</x:v>
      </x:c>
      <x:c r="AG75" s="99" t="str">
        <x:v>SRC-CUS-001, SRC-CUS-005, SRC-CUS-007, SRC-DAT-001, SRC-POST-001, SRC-PRV-001</x:v>
      </x:c>
      <x:c r="AH75" s="99" t="str">
        <x:v>2026-07-25</x:v>
      </x:c>
      <x:c r="AI75" s="99" t="str">
        <x:v>2026-08-25</x:v>
      </x:c>
      <x:c r="AJ75" s="99" t="str">
        <x:v>Registry coverage only. Production readiness is capability-specific and requires the release checklist.</x:v>
      </x:c>
    </x:row>
    <x:row r="76" ht="54" customHeight="1">
      <x:c r="A76" s="97" t="str">
        <x:v>CP-FK</x:v>
      </x:c>
      <x:c r="B76" s="97" t="str">
        <x:v>Falkland Islands</x:v>
      </x:c>
      <x:c r="C76" s="97" t="str">
        <x:v>FK</x:v>
      </x:c>
      <x:c r="D76" s="97" t="str">
        <x:v>FLK</x:v>
      </x:c>
      <x:c r="E76" s="97" t="str">
        <x:v>238</x:v>
      </x:c>
      <x:c r="F76" s="97" t="str">
        <x:v>ISO 3166-1 assigned</x:v>
      </x:c>
      <x:c r="G76" s="97" t="str">
        <x:v>Territory, dependency or special-area record</x:v>
      </x:c>
      <x:c r="H76" s="97" t="str">
        <x:v>United Kingdom</x:v>
      </x:c>
      <x:c r="I76" s="97" t="str">
        <x:v>Americas</x:v>
      </x:c>
      <x:c r="J76" s="97" t="str">
        <x:v>South America</x:v>
      </x:c>
      <x:c r="K76" s="97" t="str">
        <x:v>National/territorial customs framework—local validation required</x:v>
      </x:c>
      <x:c r="L76" s="97" t="str">
        <x:v>UPU/operator contract, bilateral rules, EAD/message versions and serviceability must be validated</x:v>
      </x:c>
      <x:c r="M76" s="97" t="str">
        <x:v>ICAO state rules, PLACI regime, security status, carrier routing and serviceability must be validated</x:v>
      </x:c>
      <x:c r="N76" s="97" t="str">
        <x:v>Country-pack privacy law and transfer mechanism required</x:v>
      </x:c>
      <x:c r="O76" s="97" t="str">
        <x:v>Screen live lists for every applicable nexus; resolve ownership, sectoral, end-use and licence controls</x:v>
      </x:c>
      <x:c r="P76" s="97" t="str">
        <x:v>No static legal conclusion. Validate current national/territorial customs, tax, licensing, product, privacy and carrier sources before activation.</x:v>
      </x:c>
      <x:c r="Q76" s="97" t="str">
        <x:v>BLOCKED until tariff, prohibitions, documents and carrier services approved</x:v>
      </x:c>
      <x:c r="R76" s="97" t="str">
        <x:v>BLOCKED until ICAO/state/operator variations and certified review path approved</x:v>
      </x:c>
      <x:c r="S76" s="97" t="str">
        <x:v>BLOCKED until SPS/agency/temperature rules and external filing path approved</x:v>
      </x:c>
      <x:c r="T76" s="97" t="str">
        <x:v>BLOCKED until product/site/importer authorizations and quality path approved</x:v>
      </x:c>
      <x:c r="U76" s="97" t="str">
        <x:v>BLOCKED until excise/licences/age/carrier contract approved</x:v>
      </x:c>
      <x:c r="V76" s="97" t="str">
        <x:v>BLOCKED until classification/end-use/licensing and sanctions path approved</x:v>
      </x:c>
      <x:c r="W76" s="97" t="str">
        <x:v>BLOCKED until provenance/security/insurance/carrier limits approved</x:v>
      </x:c>
      <x:c r="X76" s="97" t="str">
        <x:v>BLOCKED until purpose, values, relief evidence and restrictions approved</x:v>
      </x:c>
      <x:c r="Y76" s="104" t="b">
        <x:v>0</x:v>
      </x:c>
      <x:c r="Z76" s="104" t="b">
        <x:v>0</x:v>
      </x:c>
      <x:c r="AA76" s="104" t="b">
        <x:v>0</x:v>
      </x:c>
      <x:c r="AB76" s="104" t="b">
        <x:v>0</x:v>
      </x:c>
      <x:c r="AC76" s="104" t="b">
        <x:v>0</x:v>
      </x:c>
      <x:c r="AD76" s="106" t="str">
        <x:v>BLOCKED_PENDING_VALIDATION</x:v>
      </x:c>
      <x:c r="AE76" s="97" t="str">
        <x:v>NOT_STARTED</x:v>
      </x:c>
      <x:c r="AF76" s="97" t="str">
        <x:v>Unassigned country-pack owner</x:v>
      </x:c>
      <x:c r="AG76" s="97" t="str">
        <x:v>SRC-CUS-001, SRC-CUS-005, SRC-CUS-007, SRC-DAT-001, SRC-POST-001, SRC-PRV-001</x:v>
      </x:c>
      <x:c r="AH76" s="97" t="str">
        <x:v>2026-07-25</x:v>
      </x:c>
      <x:c r="AI76" s="97" t="str">
        <x:v>2026-08-25</x:v>
      </x:c>
      <x:c r="AJ76" s="97" t="str">
        <x:v>Registry coverage only. Production readiness is capability-specific and requires the release checklist.</x:v>
      </x:c>
    </x:row>
    <x:row r="77" ht="54" customHeight="1">
      <x:c r="A77" s="99" t="str">
        <x:v>CP-FO</x:v>
      </x:c>
      <x:c r="B77" s="99" t="str">
        <x:v>Faroe Islands</x:v>
      </x:c>
      <x:c r="C77" s="99" t="str">
        <x:v>FO</x:v>
      </x:c>
      <x:c r="D77" s="99" t="str">
        <x:v>FRO</x:v>
      </x:c>
      <x:c r="E77" s="99" t="str">
        <x:v>234</x:v>
      </x:c>
      <x:c r="F77" s="99" t="str">
        <x:v>ISO 3166-1 assigned</x:v>
      </x:c>
      <x:c r="G77" s="99" t="str">
        <x:v>Territory, dependency or special-area record</x:v>
      </x:c>
      <x:c r="H77" s="99" t="str">
        <x:v>Kingdom of Denmark</x:v>
      </x:c>
      <x:c r="I77" s="99" t="str">
        <x:v>Europe</x:v>
      </x:c>
      <x:c r="J77" s="99" t="str">
        <x:v>Northern Europe</x:v>
      </x:c>
      <x:c r="K77" s="99" t="str">
        <x:v>National/territorial customs framework—local validation required</x:v>
      </x:c>
      <x:c r="L77" s="99" t="str">
        <x:v>UPU/operator contract, bilateral rules, EAD/message versions and serviceability must be validated</x:v>
      </x:c>
      <x:c r="M77" s="99" t="str">
        <x:v>ICAO state rules, PLACI regime, security status, carrier routing and serviceability must be validated</x:v>
      </x:c>
      <x:c r="N77" s="99" t="str">
        <x:v>Country-pack privacy law and transfer mechanism required</x:v>
      </x:c>
      <x:c r="O77" s="99" t="str">
        <x:v>Screen live lists for every applicable nexus; resolve ownership, sectoral, end-use and licence controls</x:v>
      </x:c>
      <x:c r="P77" s="99" t="str">
        <x:v>No static legal conclusion. Validate current national/territorial customs, tax, licensing, product, privacy and carrier sources before activation.</x:v>
      </x:c>
      <x:c r="Q77" s="99" t="str">
        <x:v>BLOCKED until tariff, prohibitions, documents and carrier services approved</x:v>
      </x:c>
      <x:c r="R77" s="99" t="str">
        <x:v>BLOCKED until ICAO/state/operator variations and certified review path approved</x:v>
      </x:c>
      <x:c r="S77" s="99" t="str">
        <x:v>BLOCKED until SPS/agency/temperature rules and external filing path approved</x:v>
      </x:c>
      <x:c r="T77" s="99" t="str">
        <x:v>BLOCKED until product/site/importer authorizations and quality path approved</x:v>
      </x:c>
      <x:c r="U77" s="99" t="str">
        <x:v>BLOCKED until excise/licences/age/carrier contract approved</x:v>
      </x:c>
      <x:c r="V77" s="99" t="str">
        <x:v>BLOCKED until classification/end-use/licensing and sanctions path approved</x:v>
      </x:c>
      <x:c r="W77" s="99" t="str">
        <x:v>BLOCKED until provenance/security/insurance/carrier limits approved</x:v>
      </x:c>
      <x:c r="X77" s="99" t="str">
        <x:v>BLOCKED until purpose, values, relief evidence and restrictions approved</x:v>
      </x:c>
      <x:c r="Y77" s="103" t="b">
        <x:v>0</x:v>
      </x:c>
      <x:c r="Z77" s="103" t="b">
        <x:v>0</x:v>
      </x:c>
      <x:c r="AA77" s="103" t="b">
        <x:v>0</x:v>
      </x:c>
      <x:c r="AB77" s="103" t="b">
        <x:v>0</x:v>
      </x:c>
      <x:c r="AC77" s="103" t="b">
        <x:v>0</x:v>
      </x:c>
      <x:c r="AD77" s="106" t="str">
        <x:v>BLOCKED_PENDING_VALIDATION</x:v>
      </x:c>
      <x:c r="AE77" s="99" t="str">
        <x:v>NOT_STARTED</x:v>
      </x:c>
      <x:c r="AF77" s="99" t="str">
        <x:v>Unassigned country-pack owner</x:v>
      </x:c>
      <x:c r="AG77" s="99" t="str">
        <x:v>SRC-CUS-001, SRC-CUS-005, SRC-CUS-007, SRC-DAT-001, SRC-POST-001, SRC-PRV-001</x:v>
      </x:c>
      <x:c r="AH77" s="99" t="str">
        <x:v>2026-07-25</x:v>
      </x:c>
      <x:c r="AI77" s="99" t="str">
        <x:v>2026-08-25</x:v>
      </x:c>
      <x:c r="AJ77" s="99" t="str">
        <x:v>Registry coverage only. Production readiness is capability-specific and requires the release checklist.</x:v>
      </x:c>
    </x:row>
    <x:row r="78" ht="54" customHeight="1">
      <x:c r="A78" s="97" t="str">
        <x:v>CP-FJ</x:v>
      </x:c>
      <x:c r="B78" s="97" t="str">
        <x:v>Fiji</x:v>
      </x:c>
      <x:c r="C78" s="97" t="str">
        <x:v>FJ</x:v>
      </x:c>
      <x:c r="D78" s="97" t="str">
        <x:v>FJI</x:v>
      </x:c>
      <x:c r="E78" s="97" t="str">
        <x:v>242</x:v>
      </x:c>
      <x:c r="F78" s="97" t="str">
        <x:v>ISO 3166-1 assigned</x:v>
      </x:c>
      <x:c r="G78" s="97" t="str">
        <x:v>Independent state</x:v>
      </x:c>
      <x:c r="H78" s="97" t="str">
        <x:v>Self-administered for pack indexing; legal status follows authoritative sources</x:v>
      </x:c>
      <x:c r="I78" s="97" t="str">
        <x:v>Oceania</x:v>
      </x:c>
      <x:c r="J78" s="97" t="str">
        <x:v>Melanesia</x:v>
      </x:c>
      <x:c r="K78" s="97" t="str">
        <x:v>National/territorial customs framework—local validation required</x:v>
      </x:c>
      <x:c r="L78" s="97" t="str">
        <x:v>UPU/operator contract, bilateral rules, EAD/message versions and serviceability must be validated</x:v>
      </x:c>
      <x:c r="M78" s="97" t="str">
        <x:v>ICAO state rules, PLACI regime, security status, carrier routing and serviceability must be validated</x:v>
      </x:c>
      <x:c r="N78" s="97" t="str">
        <x:v>Country-pack privacy law and transfer mechanism required</x:v>
      </x:c>
      <x:c r="O78" s="97" t="str">
        <x:v>Screen live lists for every applicable nexus; resolve ownership, sectoral, end-use and licence controls</x:v>
      </x:c>
      <x:c r="P78" s="97" t="str">
        <x:v>No static legal conclusion. Validate current national/territorial customs, tax, licensing, product, privacy and carrier sources before activation.</x:v>
      </x:c>
      <x:c r="Q78" s="97" t="str">
        <x:v>BLOCKED until tariff, prohibitions, documents and carrier services approved</x:v>
      </x:c>
      <x:c r="R78" s="97" t="str">
        <x:v>BLOCKED until ICAO/state/operator variations and certified review path approved</x:v>
      </x:c>
      <x:c r="S78" s="97" t="str">
        <x:v>BLOCKED until SPS/agency/temperature rules and external filing path approved</x:v>
      </x:c>
      <x:c r="T78" s="97" t="str">
        <x:v>BLOCKED until product/site/importer authorizations and quality path approved</x:v>
      </x:c>
      <x:c r="U78" s="97" t="str">
        <x:v>BLOCKED until excise/licences/age/carrier contract approved</x:v>
      </x:c>
      <x:c r="V78" s="97" t="str">
        <x:v>BLOCKED until classification/end-use/licensing and sanctions path approved</x:v>
      </x:c>
      <x:c r="W78" s="97" t="str">
        <x:v>BLOCKED until provenance/security/insurance/carrier limits approved</x:v>
      </x:c>
      <x:c r="X78" s="97" t="str">
        <x:v>BLOCKED until purpose, values, relief evidence and restrictions approved</x:v>
      </x:c>
      <x:c r="Y78" s="104" t="b">
        <x:v>0</x:v>
      </x:c>
      <x:c r="Z78" s="104" t="b">
        <x:v>0</x:v>
      </x:c>
      <x:c r="AA78" s="104" t="b">
        <x:v>0</x:v>
      </x:c>
      <x:c r="AB78" s="104" t="b">
        <x:v>0</x:v>
      </x:c>
      <x:c r="AC78" s="104" t="b">
        <x:v>0</x:v>
      </x:c>
      <x:c r="AD78" s="106" t="str">
        <x:v>BLOCKED_PENDING_VALIDATION</x:v>
      </x:c>
      <x:c r="AE78" s="97" t="str">
        <x:v>NOT_STARTED</x:v>
      </x:c>
      <x:c r="AF78" s="97" t="str">
        <x:v>Unassigned country-pack owner</x:v>
      </x:c>
      <x:c r="AG78" s="97" t="str">
        <x:v>SRC-CUS-001, SRC-CUS-005, SRC-CUS-007, SRC-DAT-001, SRC-POST-001, SRC-PRV-001</x:v>
      </x:c>
      <x:c r="AH78" s="97" t="str">
        <x:v>2026-07-25</x:v>
      </x:c>
      <x:c r="AI78" s="97" t="str">
        <x:v>2026-08-25</x:v>
      </x:c>
      <x:c r="AJ78" s="97" t="str">
        <x:v>Registry coverage only. Production readiness is capability-specific and requires the release checklist.</x:v>
      </x:c>
    </x:row>
    <x:row r="79" ht="54" customHeight="1">
      <x:c r="A79" s="99" t="str">
        <x:v>CP-FI</x:v>
      </x:c>
      <x:c r="B79" s="99" t="str">
        <x:v>Finland</x:v>
      </x:c>
      <x:c r="C79" s="99" t="str">
        <x:v>FI</x:v>
      </x:c>
      <x:c r="D79" s="99" t="str">
        <x:v>FIN</x:v>
      </x:c>
      <x:c r="E79" s="99" t="str">
        <x:v>246</x:v>
      </x:c>
      <x:c r="F79" s="99" t="str">
        <x:v>ISO 3166-1 assigned</x:v>
      </x:c>
      <x:c r="G79" s="99" t="str">
        <x:v>Independent state</x:v>
      </x:c>
      <x:c r="H79" s="99" t="str">
        <x:v>Self-administered for pack indexing; legal status follows authoritative sources</x:v>
      </x:c>
      <x:c r="I79" s="99" t="str">
        <x:v>Europe</x:v>
      </x:c>
      <x:c r="J79" s="99" t="str">
        <x:v>Northern Europe</x:v>
      </x:c>
      <x:c r="K79" s="99" t="str">
        <x:v>EU customs framework; validate special fiscal/customs territory</x:v>
      </x:c>
      <x:c r="L79" s="99" t="str">
        <x:v>UPU/operator contract, bilateral rules, EAD/message versions and serviceability must be validated</x:v>
      </x:c>
      <x:c r="M79" s="99" t="str">
        <x:v>ICAO state rules, PLACI regime, security status, carrier routing and serviceability must be validated</x:v>
      </x:c>
      <x:c r="N79" s="99" t="str">
        <x:v>GDPR/EEA transfer controls; local supplements</x:v>
      </x:c>
      <x:c r="O79" s="99" t="str">
        <x:v>Screen live lists for every applicable nexus; resolve ownership, sectoral, end-use and licence controls</x:v>
      </x:c>
      <x:c r="P79" s="99" t="str">
        <x:v>EU baseline: ICS2/ENS and current low-value/VAT rules; member and special-territory validation still required.</x:v>
      </x:c>
      <x:c r="Q79" s="99" t="str">
        <x:v>BLOCKED until tariff, prohibitions, documents and carrier services approved</x:v>
      </x:c>
      <x:c r="R79" s="99" t="str">
        <x:v>BLOCKED until ICAO/state/operator variations and certified review path approved</x:v>
      </x:c>
      <x:c r="S79" s="99" t="str">
        <x:v>BLOCKED until SPS/agency/temperature rules and external filing path approved</x:v>
      </x:c>
      <x:c r="T79" s="99" t="str">
        <x:v>BLOCKED until product/site/importer authorizations and quality path approved</x:v>
      </x:c>
      <x:c r="U79" s="99" t="str">
        <x:v>BLOCKED until excise/licences/age/carrier contract approved</x:v>
      </x:c>
      <x:c r="V79" s="99" t="str">
        <x:v>BLOCKED until classification/end-use/licensing and sanctions path approved</x:v>
      </x:c>
      <x:c r="W79" s="99" t="str">
        <x:v>BLOCKED until provenance/security/insurance/carrier limits approved</x:v>
      </x:c>
      <x:c r="X79" s="99" t="str">
        <x:v>BLOCKED until purpose, values, relief evidence and restrictions approved</x:v>
      </x:c>
      <x:c r="Y79" s="103" t="b">
        <x:v>0</x:v>
      </x:c>
      <x:c r="Z79" s="103" t="b">
        <x:v>0</x:v>
      </x:c>
      <x:c r="AA79" s="103" t="b">
        <x:v>0</x:v>
      </x:c>
      <x:c r="AB79" s="103" t="b">
        <x:v>0</x:v>
      </x:c>
      <x:c r="AC79" s="103" t="b">
        <x:v>0</x:v>
      </x:c>
      <x:c r="AD79" s="106" t="str">
        <x:v>BLOCKED_PENDING_VALIDATION</x:v>
      </x:c>
      <x:c r="AE79" s="99" t="str">
        <x:v>NOT_STARTED</x:v>
      </x:c>
      <x:c r="AF79" s="99" t="str">
        <x:v>Unassigned country-pack owner</x:v>
      </x:c>
      <x:c r="AG79" s="99" t="str">
        <x:v>SRC-CUS-001, SRC-CUS-005, SRC-CUS-007, SRC-DAT-001, SRC-POST-001, SRC-PRV-001, SRC-EU-001, SRC-EU-002, SRC-EU-003, SRC-EU-004, SRC-PRV-002</x:v>
      </x:c>
      <x:c r="AH79" s="99" t="str">
        <x:v>2026-07-25</x:v>
      </x:c>
      <x:c r="AI79" s="99" t="str">
        <x:v>2026-08-25</x:v>
      </x:c>
      <x:c r="AJ79" s="99" t="str">
        <x:v>Registry coverage only. Production readiness is capability-specific and requires the release checklist.</x:v>
      </x:c>
    </x:row>
    <x:row r="80" ht="54" customHeight="1">
      <x:c r="A80" s="97" t="str">
        <x:v>CP-FR</x:v>
      </x:c>
      <x:c r="B80" s="97" t="str">
        <x:v>France</x:v>
      </x:c>
      <x:c r="C80" s="97" t="str">
        <x:v>FR</x:v>
      </x:c>
      <x:c r="D80" s="97" t="str">
        <x:v>FRA</x:v>
      </x:c>
      <x:c r="E80" s="97" t="str">
        <x:v>250</x:v>
      </x:c>
      <x:c r="F80" s="97" t="str">
        <x:v>ISO 3166-1 assigned</x:v>
      </x:c>
      <x:c r="G80" s="97" t="str">
        <x:v>Independent state</x:v>
      </x:c>
      <x:c r="H80" s="97" t="str">
        <x:v>Self-administered for pack indexing; legal status follows authoritative sources</x:v>
      </x:c>
      <x:c r="I80" s="97" t="str">
        <x:v>Europe</x:v>
      </x:c>
      <x:c r="J80" s="97" t="str">
        <x:v>Western Europe</x:v>
      </x:c>
      <x:c r="K80" s="97" t="str">
        <x:v>EU customs framework; validate special fiscal/customs territory</x:v>
      </x:c>
      <x:c r="L80" s="97" t="str">
        <x:v>UPU/operator contract, bilateral rules, EAD/message versions and serviceability must be validated</x:v>
      </x:c>
      <x:c r="M80" s="97" t="str">
        <x:v>ICAO state rules, PLACI regime, security status, carrier routing and serviceability must be validated</x:v>
      </x:c>
      <x:c r="N80" s="97" t="str">
        <x:v>GDPR/EEA transfer controls; local supplements</x:v>
      </x:c>
      <x:c r="O80" s="97" t="str">
        <x:v>Screen live lists for every applicable nexus; resolve ownership, sectoral, end-use and licence controls</x:v>
      </x:c>
      <x:c r="P80" s="97" t="str">
        <x:v>EU baseline: ICS2/ENS and current low-value/VAT rules; member and special-territory validation still required.</x:v>
      </x:c>
      <x:c r="Q80" s="97" t="str">
        <x:v>BLOCKED until tariff, prohibitions, documents and carrier services approved</x:v>
      </x:c>
      <x:c r="R80" s="97" t="str">
        <x:v>BLOCKED until ICAO/state/operator variations and certified review path approved</x:v>
      </x:c>
      <x:c r="S80" s="97" t="str">
        <x:v>BLOCKED until SPS/agency/temperature rules and external filing path approved</x:v>
      </x:c>
      <x:c r="T80" s="97" t="str">
        <x:v>BLOCKED until product/site/importer authorizations and quality path approved</x:v>
      </x:c>
      <x:c r="U80" s="97" t="str">
        <x:v>BLOCKED until excise/licences/age/carrier contract approved</x:v>
      </x:c>
      <x:c r="V80" s="97" t="str">
        <x:v>BLOCKED until classification/end-use/licensing and sanctions path approved</x:v>
      </x:c>
      <x:c r="W80" s="97" t="str">
        <x:v>BLOCKED until provenance/security/insurance/carrier limits approved</x:v>
      </x:c>
      <x:c r="X80" s="97" t="str">
        <x:v>BLOCKED until purpose, values, relief evidence and restrictions approved</x:v>
      </x:c>
      <x:c r="Y80" s="104" t="b">
        <x:v>0</x:v>
      </x:c>
      <x:c r="Z80" s="104" t="b">
        <x:v>0</x:v>
      </x:c>
      <x:c r="AA80" s="104" t="b">
        <x:v>0</x:v>
      </x:c>
      <x:c r="AB80" s="104" t="b">
        <x:v>0</x:v>
      </x:c>
      <x:c r="AC80" s="104" t="b">
        <x:v>0</x:v>
      </x:c>
      <x:c r="AD80" s="106" t="str">
        <x:v>BLOCKED_PENDING_VALIDATION</x:v>
      </x:c>
      <x:c r="AE80" s="97" t="str">
        <x:v>NOT_STARTED</x:v>
      </x:c>
      <x:c r="AF80" s="97" t="str">
        <x:v>Unassigned country-pack owner</x:v>
      </x:c>
      <x:c r="AG80" s="97" t="str">
        <x:v>SRC-CUS-001, SRC-CUS-005, SRC-CUS-007, SRC-DAT-001, SRC-POST-001, SRC-PRV-001, SRC-EU-001, SRC-EU-002, SRC-EU-003, SRC-EU-004, SRC-PRV-002</x:v>
      </x:c>
      <x:c r="AH80" s="97" t="str">
        <x:v>2026-07-25</x:v>
      </x:c>
      <x:c r="AI80" s="97" t="str">
        <x:v>2026-08-25</x:v>
      </x:c>
      <x:c r="AJ80" s="97" t="str">
        <x:v>Registry coverage only. Production readiness is capability-specific and requires the release checklist.</x:v>
      </x:c>
    </x:row>
    <x:row r="81" ht="54" customHeight="1">
      <x:c r="A81" s="99" t="str">
        <x:v>CP-GF</x:v>
      </x:c>
      <x:c r="B81" s="99" t="str">
        <x:v>French Guiana</x:v>
      </x:c>
      <x:c r="C81" s="99" t="str">
        <x:v>GF</x:v>
      </x:c>
      <x:c r="D81" s="99" t="str">
        <x:v>GUF</x:v>
      </x:c>
      <x:c r="E81" s="99" t="str">
        <x:v>254</x:v>
      </x:c>
      <x:c r="F81" s="99" t="str">
        <x:v>ISO 3166-1 assigned</x:v>
      </x:c>
      <x:c r="G81" s="99" t="str">
        <x:v>Territory, dependency or special-area record</x:v>
      </x:c>
      <x:c r="H81" s="99" t="str">
        <x:v>France</x:v>
      </x:c>
      <x:c r="I81" s="99" t="str">
        <x:v>Americas</x:v>
      </x:c>
      <x:c r="J81" s="99" t="str">
        <x:v>South America</x:v>
      </x:c>
      <x:c r="K81" s="99" t="str">
        <x:v>National/territorial customs framework—local validation required</x:v>
      </x:c>
      <x:c r="L81" s="99" t="str">
        <x:v>UPU/operator contract, bilateral rules, EAD/message versions and serviceability must be validated</x:v>
      </x:c>
      <x:c r="M81" s="99" t="str">
        <x:v>ICAO state rules, PLACI regime, security status, carrier routing and serviceability must be validated</x:v>
      </x:c>
      <x:c r="N81" s="99" t="str">
        <x:v>Country-pack privacy law and transfer mechanism required</x:v>
      </x:c>
      <x:c r="O81" s="99" t="str">
        <x:v>Screen live lists for every applicable nexus; resolve ownership, sectoral, end-use and licence controls</x:v>
      </x:c>
      <x:c r="P81" s="99" t="str">
        <x:v>No static legal conclusion. Validate current national/territorial customs, tax, licensing, product, privacy and carrier sources before activation.</x:v>
      </x:c>
      <x:c r="Q81" s="99" t="str">
        <x:v>BLOCKED until tariff, prohibitions, documents and carrier services approved</x:v>
      </x:c>
      <x:c r="R81" s="99" t="str">
        <x:v>BLOCKED until ICAO/state/operator variations and certified review path approved</x:v>
      </x:c>
      <x:c r="S81" s="99" t="str">
        <x:v>BLOCKED until SPS/agency/temperature rules and external filing path approved</x:v>
      </x:c>
      <x:c r="T81" s="99" t="str">
        <x:v>BLOCKED until product/site/importer authorizations and quality path approved</x:v>
      </x:c>
      <x:c r="U81" s="99" t="str">
        <x:v>BLOCKED until excise/licences/age/carrier contract approved</x:v>
      </x:c>
      <x:c r="V81" s="99" t="str">
        <x:v>BLOCKED until classification/end-use/licensing and sanctions path approved</x:v>
      </x:c>
      <x:c r="W81" s="99" t="str">
        <x:v>BLOCKED until provenance/security/insurance/carrier limits approved</x:v>
      </x:c>
      <x:c r="X81" s="99" t="str">
        <x:v>BLOCKED until purpose, values, relief evidence and restrictions approved</x:v>
      </x:c>
      <x:c r="Y81" s="103" t="b">
        <x:v>0</x:v>
      </x:c>
      <x:c r="Z81" s="103" t="b">
        <x:v>0</x:v>
      </x:c>
      <x:c r="AA81" s="103" t="b">
        <x:v>0</x:v>
      </x:c>
      <x:c r="AB81" s="103" t="b">
        <x:v>0</x:v>
      </x:c>
      <x:c r="AC81" s="103" t="b">
        <x:v>0</x:v>
      </x:c>
      <x:c r="AD81" s="106" t="str">
        <x:v>BLOCKED_PENDING_VALIDATION</x:v>
      </x:c>
      <x:c r="AE81" s="99" t="str">
        <x:v>NOT_STARTED</x:v>
      </x:c>
      <x:c r="AF81" s="99" t="str">
        <x:v>Unassigned country-pack owner</x:v>
      </x:c>
      <x:c r="AG81" s="99" t="str">
        <x:v>SRC-CUS-001, SRC-CUS-005, SRC-CUS-007, SRC-DAT-001, SRC-POST-001, SRC-PRV-001</x:v>
      </x:c>
      <x:c r="AH81" s="99" t="str">
        <x:v>2026-07-25</x:v>
      </x:c>
      <x:c r="AI81" s="99" t="str">
        <x:v>2026-08-25</x:v>
      </x:c>
      <x:c r="AJ81" s="99" t="str">
        <x:v>Registry coverage only. Production readiness is capability-specific and requires the release checklist.</x:v>
      </x:c>
    </x:row>
    <x:row r="82" ht="54" customHeight="1">
      <x:c r="A82" s="97" t="str">
        <x:v>CP-PF</x:v>
      </x:c>
      <x:c r="B82" s="97" t="str">
        <x:v>French Polynesia</x:v>
      </x:c>
      <x:c r="C82" s="97" t="str">
        <x:v>PF</x:v>
      </x:c>
      <x:c r="D82" s="97" t="str">
        <x:v>PYF</x:v>
      </x:c>
      <x:c r="E82" s="97" t="str">
        <x:v>258</x:v>
      </x:c>
      <x:c r="F82" s="97" t="str">
        <x:v>ISO 3166-1 assigned</x:v>
      </x:c>
      <x:c r="G82" s="97" t="str">
        <x:v>Territory, dependency or special-area record</x:v>
      </x:c>
      <x:c r="H82" s="97" t="str">
        <x:v>France</x:v>
      </x:c>
      <x:c r="I82" s="97" t="str">
        <x:v>Oceania</x:v>
      </x:c>
      <x:c r="J82" s="97" t="str">
        <x:v>Polynesia</x:v>
      </x:c>
      <x:c r="K82" s="97" t="str">
        <x:v>National/territorial customs framework—local validation required</x:v>
      </x:c>
      <x:c r="L82" s="97" t="str">
        <x:v>UPU/operator contract, bilateral rules, EAD/message versions and serviceability must be validated</x:v>
      </x:c>
      <x:c r="M82" s="97" t="str">
        <x:v>ICAO state rules, PLACI regime, security status, carrier routing and serviceability must be validated</x:v>
      </x:c>
      <x:c r="N82" s="97" t="str">
        <x:v>Country-pack privacy law and transfer mechanism required</x:v>
      </x:c>
      <x:c r="O82" s="97" t="str">
        <x:v>Screen live lists for every applicable nexus; resolve ownership, sectoral, end-use and licence controls</x:v>
      </x:c>
      <x:c r="P82" s="97" t="str">
        <x:v>No static legal conclusion. Validate current national/territorial customs, tax, licensing, product, privacy and carrier sources before activation.</x:v>
      </x:c>
      <x:c r="Q82" s="97" t="str">
        <x:v>BLOCKED until tariff, prohibitions, documents and carrier services approved</x:v>
      </x:c>
      <x:c r="R82" s="97" t="str">
        <x:v>BLOCKED until ICAO/state/operator variations and certified review path approved</x:v>
      </x:c>
      <x:c r="S82" s="97" t="str">
        <x:v>BLOCKED until SPS/agency/temperature rules and external filing path approved</x:v>
      </x:c>
      <x:c r="T82" s="97" t="str">
        <x:v>BLOCKED until product/site/importer authorizations and quality path approved</x:v>
      </x:c>
      <x:c r="U82" s="97" t="str">
        <x:v>BLOCKED until excise/licences/age/carrier contract approved</x:v>
      </x:c>
      <x:c r="V82" s="97" t="str">
        <x:v>BLOCKED until classification/end-use/licensing and sanctions path approved</x:v>
      </x:c>
      <x:c r="W82" s="97" t="str">
        <x:v>BLOCKED until provenance/security/insurance/carrier limits approved</x:v>
      </x:c>
      <x:c r="X82" s="97" t="str">
        <x:v>BLOCKED until purpose, values, relief evidence and restrictions approved</x:v>
      </x:c>
      <x:c r="Y82" s="104" t="b">
        <x:v>0</x:v>
      </x:c>
      <x:c r="Z82" s="104" t="b">
        <x:v>0</x:v>
      </x:c>
      <x:c r="AA82" s="104" t="b">
        <x:v>0</x:v>
      </x:c>
      <x:c r="AB82" s="104" t="b">
        <x:v>0</x:v>
      </x:c>
      <x:c r="AC82" s="104" t="b">
        <x:v>0</x:v>
      </x:c>
      <x:c r="AD82" s="106" t="str">
        <x:v>BLOCKED_PENDING_VALIDATION</x:v>
      </x:c>
      <x:c r="AE82" s="97" t="str">
        <x:v>NOT_STARTED</x:v>
      </x:c>
      <x:c r="AF82" s="97" t="str">
        <x:v>Unassigned country-pack owner</x:v>
      </x:c>
      <x:c r="AG82" s="97" t="str">
        <x:v>SRC-CUS-001, SRC-CUS-005, SRC-CUS-007, SRC-DAT-001, SRC-POST-001, SRC-PRV-001</x:v>
      </x:c>
      <x:c r="AH82" s="97" t="str">
        <x:v>2026-07-25</x:v>
      </x:c>
      <x:c r="AI82" s="97" t="str">
        <x:v>2026-08-25</x:v>
      </x:c>
      <x:c r="AJ82" s="97" t="str">
        <x:v>Registry coverage only. Production readiness is capability-specific and requires the release checklist.</x:v>
      </x:c>
    </x:row>
    <x:row r="83" ht="54" customHeight="1">
      <x:c r="A83" s="99" t="str">
        <x:v>CP-TF</x:v>
      </x:c>
      <x:c r="B83" s="99" t="str">
        <x:v>French Southern and Antarctic Lands</x:v>
      </x:c>
      <x:c r="C83" s="99" t="str">
        <x:v>TF</x:v>
      </x:c>
      <x:c r="D83" s="99" t="str">
        <x:v>ATF</x:v>
      </x:c>
      <x:c r="E83" s="99" t="str">
        <x:v>260</x:v>
      </x:c>
      <x:c r="F83" s="99" t="str">
        <x:v>ISO 3166-1 assigned</x:v>
      </x:c>
      <x:c r="G83" s="99" t="str">
        <x:v>Territory, dependency or special-area record</x:v>
      </x:c>
      <x:c r="H83" s="99" t="str">
        <x:v>France</x:v>
      </x:c>
      <x:c r="I83" s="99" t="str">
        <x:v>Antarctic</x:v>
      </x:c>
      <x:c r="J83" s="99" t="str">
        <x:v>Other</x:v>
      </x:c>
      <x:c r="K83" s="99" t="str">
        <x:v>Non-standard/limited commercial service; carrier confirmation mandatory</x:v>
      </x:c>
      <x:c r="L83" s="99" t="str">
        <x:v>UPU/operator contract, bilateral rules, EAD/message versions and serviceability must be validated</x:v>
      </x:c>
      <x:c r="M83" s="99" t="str">
        <x:v>ICAO state rules, PLACI regime, security status, carrier routing and serviceability must be validated</x:v>
      </x:c>
      <x:c r="N83" s="99" t="str">
        <x:v>Country-pack privacy law and transfer mechanism required</x:v>
      </x:c>
      <x:c r="O83" s="99" t="str">
        <x:v>Screen live lists for every applicable nexus; resolve ownership, sectoral, end-use and licence controls</x:v>
      </x:c>
      <x:c r="P83" s="99" t="str">
        <x:v>No static legal conclusion. Validate current national/territorial customs, tax, licensing, product, privacy and carrier sources before activation.</x:v>
      </x:c>
      <x:c r="Q83" s="99" t="str">
        <x:v>BLOCKED until tariff, prohibitions, documents and carrier services approved</x:v>
      </x:c>
      <x:c r="R83" s="99" t="str">
        <x:v>BLOCKED until ICAO/state/operator variations and certified review path approved</x:v>
      </x:c>
      <x:c r="S83" s="99" t="str">
        <x:v>BLOCKED until SPS/agency/temperature rules and external filing path approved</x:v>
      </x:c>
      <x:c r="T83" s="99" t="str">
        <x:v>BLOCKED until product/site/importer authorizations and quality path approved</x:v>
      </x:c>
      <x:c r="U83" s="99" t="str">
        <x:v>BLOCKED until excise/licences/age/carrier contract approved</x:v>
      </x:c>
      <x:c r="V83" s="99" t="str">
        <x:v>BLOCKED until classification/end-use/licensing and sanctions path approved</x:v>
      </x:c>
      <x:c r="W83" s="99" t="str">
        <x:v>BLOCKED until provenance/security/insurance/carrier limits approved</x:v>
      </x:c>
      <x:c r="X83" s="99" t="str">
        <x:v>BLOCKED until purpose, values, relief evidence and restrictions approved</x:v>
      </x:c>
      <x:c r="Y83" s="103" t="b">
        <x:v>0</x:v>
      </x:c>
      <x:c r="Z83" s="103" t="b">
        <x:v>0</x:v>
      </x:c>
      <x:c r="AA83" s="103" t="b">
        <x:v>0</x:v>
      </x:c>
      <x:c r="AB83" s="103" t="b">
        <x:v>0</x:v>
      </x:c>
      <x:c r="AC83" s="103" t="b">
        <x:v>0</x:v>
      </x:c>
      <x:c r="AD83" s="106" t="str">
        <x:v>BLOCKED_PENDING_VALIDATION</x:v>
      </x:c>
      <x:c r="AE83" s="99" t="str">
        <x:v>NOT_STARTED</x:v>
      </x:c>
      <x:c r="AF83" s="99" t="str">
        <x:v>Unassigned country-pack owner</x:v>
      </x:c>
      <x:c r="AG83" s="99" t="str">
        <x:v>SRC-CUS-001, SRC-CUS-005, SRC-CUS-007, SRC-DAT-001, SRC-POST-001, SRC-PRV-001</x:v>
      </x:c>
      <x:c r="AH83" s="99" t="str">
        <x:v>2026-07-25</x:v>
      </x:c>
      <x:c r="AI83" s="99" t="str">
        <x:v>2026-08-25</x:v>
      </x:c>
      <x:c r="AJ83" s="99" t="str">
        <x:v>Registry coverage only. Production readiness is capability-specific and requires the release checklist.</x:v>
      </x:c>
    </x:row>
    <x:row r="84" ht="54" customHeight="1">
      <x:c r="A84" s="97" t="str">
        <x:v>CP-GA</x:v>
      </x:c>
      <x:c r="B84" s="97" t="str">
        <x:v>Gabon</x:v>
      </x:c>
      <x:c r="C84" s="97" t="str">
        <x:v>GA</x:v>
      </x:c>
      <x:c r="D84" s="97" t="str">
        <x:v>GAB</x:v>
      </x:c>
      <x:c r="E84" s="97" t="str">
        <x:v>266</x:v>
      </x:c>
      <x:c r="F84" s="97" t="str">
        <x:v>ISO 3166-1 assigned</x:v>
      </x:c>
      <x:c r="G84" s="97" t="str">
        <x:v>Independent state</x:v>
      </x:c>
      <x:c r="H84" s="97" t="str">
        <x:v>Self-administered for pack indexing; legal status follows authoritative sources</x:v>
      </x:c>
      <x:c r="I84" s="97" t="str">
        <x:v>Africa</x:v>
      </x:c>
      <x:c r="J84" s="97" t="str">
        <x:v>Middle Africa</x:v>
      </x:c>
      <x:c r="K84" s="97" t="str">
        <x:v>National/territorial customs framework—local validation required</x:v>
      </x:c>
      <x:c r="L84" s="97" t="str">
        <x:v>UPU/operator contract, bilateral rules, EAD/message versions and serviceability must be validated</x:v>
      </x:c>
      <x:c r="M84" s="97" t="str">
        <x:v>ICAO state rules, PLACI regime, security status, carrier routing and serviceability must be validated</x:v>
      </x:c>
      <x:c r="N84" s="97" t="str">
        <x:v>Country-pack privacy law and transfer mechanism required</x:v>
      </x:c>
      <x:c r="O84" s="97" t="str">
        <x:v>Screen live lists for every applicable nexus; resolve ownership, sectoral, end-use and licence controls</x:v>
      </x:c>
      <x:c r="P84" s="97" t="str">
        <x:v>No static legal conclusion. Validate current national/territorial customs, tax, licensing, product, privacy and carrier sources before activation.</x:v>
      </x:c>
      <x:c r="Q84" s="97" t="str">
        <x:v>BLOCKED until tariff, prohibitions, documents and carrier services approved</x:v>
      </x:c>
      <x:c r="R84" s="97" t="str">
        <x:v>BLOCKED until ICAO/state/operator variations and certified review path approved</x:v>
      </x:c>
      <x:c r="S84" s="97" t="str">
        <x:v>BLOCKED until SPS/agency/temperature rules and external filing path approved</x:v>
      </x:c>
      <x:c r="T84" s="97" t="str">
        <x:v>BLOCKED until product/site/importer authorizations and quality path approved</x:v>
      </x:c>
      <x:c r="U84" s="97" t="str">
        <x:v>BLOCKED until excise/licences/age/carrier contract approved</x:v>
      </x:c>
      <x:c r="V84" s="97" t="str">
        <x:v>BLOCKED until classification/end-use/licensing and sanctions path approved</x:v>
      </x:c>
      <x:c r="W84" s="97" t="str">
        <x:v>BLOCKED until provenance/security/insurance/carrier limits approved</x:v>
      </x:c>
      <x:c r="X84" s="97" t="str">
        <x:v>BLOCKED until purpose, values, relief evidence and restrictions approved</x:v>
      </x:c>
      <x:c r="Y84" s="104" t="b">
        <x:v>0</x:v>
      </x:c>
      <x:c r="Z84" s="104" t="b">
        <x:v>0</x:v>
      </x:c>
      <x:c r="AA84" s="104" t="b">
        <x:v>0</x:v>
      </x:c>
      <x:c r="AB84" s="104" t="b">
        <x:v>0</x:v>
      </x:c>
      <x:c r="AC84" s="104" t="b">
        <x:v>0</x:v>
      </x:c>
      <x:c r="AD84" s="106" t="str">
        <x:v>BLOCKED_PENDING_VALIDATION</x:v>
      </x:c>
      <x:c r="AE84" s="97" t="str">
        <x:v>NOT_STARTED</x:v>
      </x:c>
      <x:c r="AF84" s="97" t="str">
        <x:v>Unassigned country-pack owner</x:v>
      </x:c>
      <x:c r="AG84" s="97" t="str">
        <x:v>SRC-CUS-001, SRC-CUS-005, SRC-CUS-007, SRC-DAT-001, SRC-POST-001, SRC-PRV-001</x:v>
      </x:c>
      <x:c r="AH84" s="97" t="str">
        <x:v>2026-07-25</x:v>
      </x:c>
      <x:c r="AI84" s="97" t="str">
        <x:v>2026-08-25</x:v>
      </x:c>
      <x:c r="AJ84" s="97" t="str">
        <x:v>Registry coverage only. Production readiness is capability-specific and requires the release checklist.</x:v>
      </x:c>
    </x:row>
    <x:row r="85" ht="54" customHeight="1">
      <x:c r="A85" s="99" t="str">
        <x:v>CP-GM</x:v>
      </x:c>
      <x:c r="B85" s="99" t="str">
        <x:v>Gambia</x:v>
      </x:c>
      <x:c r="C85" s="99" t="str">
        <x:v>GM</x:v>
      </x:c>
      <x:c r="D85" s="99" t="str">
        <x:v>GMB</x:v>
      </x:c>
      <x:c r="E85" s="99" t="str">
        <x:v>270</x:v>
      </x:c>
      <x:c r="F85" s="99" t="str">
        <x:v>ISO 3166-1 assigned</x:v>
      </x:c>
      <x:c r="G85" s="99" t="str">
        <x:v>Independent state</x:v>
      </x:c>
      <x:c r="H85" s="99" t="str">
        <x:v>Self-administered for pack indexing; legal status follows authoritative sources</x:v>
      </x:c>
      <x:c r="I85" s="99" t="str">
        <x:v>Africa</x:v>
      </x:c>
      <x:c r="J85" s="99" t="str">
        <x:v>Western Africa</x:v>
      </x:c>
      <x:c r="K85" s="99" t="str">
        <x:v>National/territorial customs framework—local validation required</x:v>
      </x:c>
      <x:c r="L85" s="99" t="str">
        <x:v>UPU/operator contract, bilateral rules, EAD/message versions and serviceability must be validated</x:v>
      </x:c>
      <x:c r="M85" s="99" t="str">
        <x:v>ICAO state rules, PLACI regime, security status, carrier routing and serviceability must be validated</x:v>
      </x:c>
      <x:c r="N85" s="99" t="str">
        <x:v>Country-pack privacy law and transfer mechanism required</x:v>
      </x:c>
      <x:c r="O85" s="99" t="str">
        <x:v>Screen live lists for every applicable nexus; resolve ownership, sectoral, end-use and licence controls</x:v>
      </x:c>
      <x:c r="P85" s="99" t="str">
        <x:v>No static legal conclusion. Validate current national/territorial customs, tax, licensing, product, privacy and carrier sources before activation.</x:v>
      </x:c>
      <x:c r="Q85" s="99" t="str">
        <x:v>BLOCKED until tariff, prohibitions, documents and carrier services approved</x:v>
      </x:c>
      <x:c r="R85" s="99" t="str">
        <x:v>BLOCKED until ICAO/state/operator variations and certified review path approved</x:v>
      </x:c>
      <x:c r="S85" s="99" t="str">
        <x:v>BLOCKED until SPS/agency/temperature rules and external filing path approved</x:v>
      </x:c>
      <x:c r="T85" s="99" t="str">
        <x:v>BLOCKED until product/site/importer authorizations and quality path approved</x:v>
      </x:c>
      <x:c r="U85" s="99" t="str">
        <x:v>BLOCKED until excise/licences/age/carrier contract approved</x:v>
      </x:c>
      <x:c r="V85" s="99" t="str">
        <x:v>BLOCKED until classification/end-use/licensing and sanctions path approved</x:v>
      </x:c>
      <x:c r="W85" s="99" t="str">
        <x:v>BLOCKED until provenance/security/insurance/carrier limits approved</x:v>
      </x:c>
      <x:c r="X85" s="99" t="str">
        <x:v>BLOCKED until purpose, values, relief evidence and restrictions approved</x:v>
      </x:c>
      <x:c r="Y85" s="103" t="b">
        <x:v>0</x:v>
      </x:c>
      <x:c r="Z85" s="103" t="b">
        <x:v>0</x:v>
      </x:c>
      <x:c r="AA85" s="103" t="b">
        <x:v>0</x:v>
      </x:c>
      <x:c r="AB85" s="103" t="b">
        <x:v>0</x:v>
      </x:c>
      <x:c r="AC85" s="103" t="b">
        <x:v>0</x:v>
      </x:c>
      <x:c r="AD85" s="106" t="str">
        <x:v>BLOCKED_PENDING_VALIDATION</x:v>
      </x:c>
      <x:c r="AE85" s="99" t="str">
        <x:v>NOT_STARTED</x:v>
      </x:c>
      <x:c r="AF85" s="99" t="str">
        <x:v>Unassigned country-pack owner</x:v>
      </x:c>
      <x:c r="AG85" s="99" t="str">
        <x:v>SRC-CUS-001, SRC-CUS-005, SRC-CUS-007, SRC-DAT-001, SRC-POST-001, SRC-PRV-001</x:v>
      </x:c>
      <x:c r="AH85" s="99" t="str">
        <x:v>2026-07-25</x:v>
      </x:c>
      <x:c r="AI85" s="99" t="str">
        <x:v>2026-08-25</x:v>
      </x:c>
      <x:c r="AJ85" s="99" t="str">
        <x:v>Registry coverage only. Production readiness is capability-specific and requires the release checklist.</x:v>
      </x:c>
    </x:row>
    <x:row r="86" ht="54" customHeight="1">
      <x:c r="A86" s="97" t="str">
        <x:v>CP-GE</x:v>
      </x:c>
      <x:c r="B86" s="97" t="str">
        <x:v>Georgia</x:v>
      </x:c>
      <x:c r="C86" s="97" t="str">
        <x:v>GE</x:v>
      </x:c>
      <x:c r="D86" s="97" t="str">
        <x:v>GEO</x:v>
      </x:c>
      <x:c r="E86" s="97" t="str">
        <x:v>268</x:v>
      </x:c>
      <x:c r="F86" s="97" t="str">
        <x:v>ISO 3166-1 assigned</x:v>
      </x:c>
      <x:c r="G86" s="97" t="str">
        <x:v>Independent state</x:v>
      </x:c>
      <x:c r="H86" s="97" t="str">
        <x:v>Self-administered for pack indexing; legal status follows authoritative sources</x:v>
      </x:c>
      <x:c r="I86" s="97" t="str">
        <x:v>Asia</x:v>
      </x:c>
      <x:c r="J86" s="97" t="str">
        <x:v>Western Asia</x:v>
      </x:c>
      <x:c r="K86" s="97" t="str">
        <x:v>National/territorial customs framework—local validation required</x:v>
      </x:c>
      <x:c r="L86" s="97" t="str">
        <x:v>UPU/operator contract, bilateral rules, EAD/message versions and serviceability must be validated</x:v>
      </x:c>
      <x:c r="M86" s="97" t="str">
        <x:v>ICAO state rules, PLACI regime, security status, carrier routing and serviceability must be validated</x:v>
      </x:c>
      <x:c r="N86" s="97" t="str">
        <x:v>Country-pack privacy law and transfer mechanism required</x:v>
      </x:c>
      <x:c r="O86" s="97" t="str">
        <x:v>Screen live lists for every applicable nexus; resolve ownership, sectoral, end-use and licence controls</x:v>
      </x:c>
      <x:c r="P86" s="97" t="str">
        <x:v>No static legal conclusion. Validate current national/territorial customs, tax, licensing, product, privacy and carrier sources before activation.</x:v>
      </x:c>
      <x:c r="Q86" s="97" t="str">
        <x:v>BLOCKED until tariff, prohibitions, documents and carrier services approved</x:v>
      </x:c>
      <x:c r="R86" s="97" t="str">
        <x:v>BLOCKED until ICAO/state/operator variations and certified review path approved</x:v>
      </x:c>
      <x:c r="S86" s="97" t="str">
        <x:v>BLOCKED until SPS/agency/temperature rules and external filing path approved</x:v>
      </x:c>
      <x:c r="T86" s="97" t="str">
        <x:v>BLOCKED until product/site/importer authorizations and quality path approved</x:v>
      </x:c>
      <x:c r="U86" s="97" t="str">
        <x:v>BLOCKED until excise/licences/age/carrier contract approved</x:v>
      </x:c>
      <x:c r="V86" s="97" t="str">
        <x:v>BLOCKED until classification/end-use/licensing and sanctions path approved</x:v>
      </x:c>
      <x:c r="W86" s="97" t="str">
        <x:v>BLOCKED until provenance/security/insurance/carrier limits approved</x:v>
      </x:c>
      <x:c r="X86" s="97" t="str">
        <x:v>BLOCKED until purpose, values, relief evidence and restrictions approved</x:v>
      </x:c>
      <x:c r="Y86" s="104" t="b">
        <x:v>0</x:v>
      </x:c>
      <x:c r="Z86" s="104" t="b">
        <x:v>0</x:v>
      </x:c>
      <x:c r="AA86" s="104" t="b">
        <x:v>0</x:v>
      </x:c>
      <x:c r="AB86" s="104" t="b">
        <x:v>0</x:v>
      </x:c>
      <x:c r="AC86" s="104" t="b">
        <x:v>0</x:v>
      </x:c>
      <x:c r="AD86" s="106" t="str">
        <x:v>BLOCKED_PENDING_VALIDATION</x:v>
      </x:c>
      <x:c r="AE86" s="97" t="str">
        <x:v>NOT_STARTED</x:v>
      </x:c>
      <x:c r="AF86" s="97" t="str">
        <x:v>Unassigned country-pack owner</x:v>
      </x:c>
      <x:c r="AG86" s="97" t="str">
        <x:v>SRC-CUS-001, SRC-CUS-005, SRC-CUS-007, SRC-DAT-001, SRC-POST-001, SRC-PRV-001</x:v>
      </x:c>
      <x:c r="AH86" s="97" t="str">
        <x:v>2026-07-25</x:v>
      </x:c>
      <x:c r="AI86" s="97" t="str">
        <x:v>2026-08-25</x:v>
      </x:c>
      <x:c r="AJ86" s="97" t="str">
        <x:v>Registry coverage only. Production readiness is capability-specific and requires the release checklist.</x:v>
      </x:c>
    </x:row>
    <x:row r="87" ht="54" customHeight="1">
      <x:c r="A87" s="99" t="str">
        <x:v>CP-DE</x:v>
      </x:c>
      <x:c r="B87" s="99" t="str">
        <x:v>Germany</x:v>
      </x:c>
      <x:c r="C87" s="99" t="str">
        <x:v>DE</x:v>
      </x:c>
      <x:c r="D87" s="99" t="str">
        <x:v>DEU</x:v>
      </x:c>
      <x:c r="E87" s="99" t="str">
        <x:v>276</x:v>
      </x:c>
      <x:c r="F87" s="99" t="str">
        <x:v>ISO 3166-1 assigned</x:v>
      </x:c>
      <x:c r="G87" s="99" t="str">
        <x:v>Independent state</x:v>
      </x:c>
      <x:c r="H87" s="99" t="str">
        <x:v>Self-administered for pack indexing; legal status follows authoritative sources</x:v>
      </x:c>
      <x:c r="I87" s="99" t="str">
        <x:v>Europe</x:v>
      </x:c>
      <x:c r="J87" s="99" t="str">
        <x:v>Western Europe</x:v>
      </x:c>
      <x:c r="K87" s="99" t="str">
        <x:v>EU customs framework; validate special fiscal/customs territory</x:v>
      </x:c>
      <x:c r="L87" s="99" t="str">
        <x:v>UPU/operator contract, bilateral rules, EAD/message versions and serviceability must be validated</x:v>
      </x:c>
      <x:c r="M87" s="99" t="str">
        <x:v>ICAO state rules, PLACI regime, security status, carrier routing and serviceability must be validated</x:v>
      </x:c>
      <x:c r="N87" s="99" t="str">
        <x:v>GDPR/EEA transfer controls; local supplements</x:v>
      </x:c>
      <x:c r="O87" s="99" t="str">
        <x:v>Screen live lists for every applicable nexus; resolve ownership, sectoral, end-use and licence controls</x:v>
      </x:c>
      <x:c r="P87" s="99" t="str">
        <x:v>EU baseline: ICS2/ENS and current low-value/VAT rules; member and special-territory validation still required.</x:v>
      </x:c>
      <x:c r="Q87" s="99" t="str">
        <x:v>BLOCKED until tariff, prohibitions, documents and carrier services approved</x:v>
      </x:c>
      <x:c r="R87" s="99" t="str">
        <x:v>BLOCKED until ICAO/state/operator variations and certified review path approved</x:v>
      </x:c>
      <x:c r="S87" s="99" t="str">
        <x:v>BLOCKED until SPS/agency/temperature rules and external filing path approved</x:v>
      </x:c>
      <x:c r="T87" s="99" t="str">
        <x:v>BLOCKED until product/site/importer authorizations and quality path approved</x:v>
      </x:c>
      <x:c r="U87" s="99" t="str">
        <x:v>BLOCKED until excise/licences/age/carrier contract approved</x:v>
      </x:c>
      <x:c r="V87" s="99" t="str">
        <x:v>BLOCKED until classification/end-use/licensing and sanctions path approved</x:v>
      </x:c>
      <x:c r="W87" s="99" t="str">
        <x:v>BLOCKED until provenance/security/insurance/carrier limits approved</x:v>
      </x:c>
      <x:c r="X87" s="99" t="str">
        <x:v>BLOCKED until purpose, values, relief evidence and restrictions approved</x:v>
      </x:c>
      <x:c r="Y87" s="103" t="b">
        <x:v>0</x:v>
      </x:c>
      <x:c r="Z87" s="103" t="b">
        <x:v>0</x:v>
      </x:c>
      <x:c r="AA87" s="103" t="b">
        <x:v>0</x:v>
      </x:c>
      <x:c r="AB87" s="103" t="b">
        <x:v>0</x:v>
      </x:c>
      <x:c r="AC87" s="103" t="b">
        <x:v>0</x:v>
      </x:c>
      <x:c r="AD87" s="106" t="str">
        <x:v>BLOCKED_PENDING_VALIDATION</x:v>
      </x:c>
      <x:c r="AE87" s="99" t="str">
        <x:v>NOT_STARTED</x:v>
      </x:c>
      <x:c r="AF87" s="99" t="str">
        <x:v>Unassigned country-pack owner</x:v>
      </x:c>
      <x:c r="AG87" s="99" t="str">
        <x:v>SRC-CUS-001, SRC-CUS-005, SRC-CUS-007, SRC-DAT-001, SRC-POST-001, SRC-PRV-001, SRC-EU-001, SRC-EU-002, SRC-EU-003, SRC-EU-004, SRC-PRV-002</x:v>
      </x:c>
      <x:c r="AH87" s="99" t="str">
        <x:v>2026-07-25</x:v>
      </x:c>
      <x:c r="AI87" s="99" t="str">
        <x:v>2026-08-25</x:v>
      </x:c>
      <x:c r="AJ87" s="99" t="str">
        <x:v>Registry coverage only. Production readiness is capability-specific and requires the release checklist.</x:v>
      </x:c>
    </x:row>
    <x:row r="88" ht="54" customHeight="1">
      <x:c r="A88" s="97" t="str">
        <x:v>CP-GH</x:v>
      </x:c>
      <x:c r="B88" s="97" t="str">
        <x:v>Ghana</x:v>
      </x:c>
      <x:c r="C88" s="97" t="str">
        <x:v>GH</x:v>
      </x:c>
      <x:c r="D88" s="97" t="str">
        <x:v>GHA</x:v>
      </x:c>
      <x:c r="E88" s="97" t="str">
        <x:v>288</x:v>
      </x:c>
      <x:c r="F88" s="97" t="str">
        <x:v>ISO 3166-1 assigned</x:v>
      </x:c>
      <x:c r="G88" s="97" t="str">
        <x:v>Independent state</x:v>
      </x:c>
      <x:c r="H88" s="97" t="str">
        <x:v>Self-administered for pack indexing; legal status follows authoritative sources</x:v>
      </x:c>
      <x:c r="I88" s="97" t="str">
        <x:v>Africa</x:v>
      </x:c>
      <x:c r="J88" s="97" t="str">
        <x:v>Western Africa</x:v>
      </x:c>
      <x:c r="K88" s="97" t="str">
        <x:v>National/territorial customs framework—local validation required</x:v>
      </x:c>
      <x:c r="L88" s="97" t="str">
        <x:v>UPU/operator contract, bilateral rules, EAD/message versions and serviceability must be validated</x:v>
      </x:c>
      <x:c r="M88" s="97" t="str">
        <x:v>ICAO state rules, PLACI regime, security status, carrier routing and serviceability must be validated</x:v>
      </x:c>
      <x:c r="N88" s="97" t="str">
        <x:v>Country-pack privacy law and transfer mechanism required</x:v>
      </x:c>
      <x:c r="O88" s="97" t="str">
        <x:v>Screen live lists for every applicable nexus; resolve ownership, sectoral, end-use and licence controls</x:v>
      </x:c>
      <x:c r="P88" s="97" t="str">
        <x:v>No static legal conclusion. Validate current national/territorial customs, tax, licensing, product, privacy and carrier sources before activation.</x:v>
      </x:c>
      <x:c r="Q88" s="97" t="str">
        <x:v>BLOCKED until tariff, prohibitions, documents and carrier services approved</x:v>
      </x:c>
      <x:c r="R88" s="97" t="str">
        <x:v>BLOCKED until ICAO/state/operator variations and certified review path approved</x:v>
      </x:c>
      <x:c r="S88" s="97" t="str">
        <x:v>BLOCKED until SPS/agency/temperature rules and external filing path approved</x:v>
      </x:c>
      <x:c r="T88" s="97" t="str">
        <x:v>BLOCKED until product/site/importer authorizations and quality path approved</x:v>
      </x:c>
      <x:c r="U88" s="97" t="str">
        <x:v>BLOCKED until excise/licences/age/carrier contract approved</x:v>
      </x:c>
      <x:c r="V88" s="97" t="str">
        <x:v>BLOCKED until classification/end-use/licensing and sanctions path approved</x:v>
      </x:c>
      <x:c r="W88" s="97" t="str">
        <x:v>BLOCKED until provenance/security/insurance/carrier limits approved</x:v>
      </x:c>
      <x:c r="X88" s="97" t="str">
        <x:v>BLOCKED until purpose, values, relief evidence and restrictions approved</x:v>
      </x:c>
      <x:c r="Y88" s="104" t="b">
        <x:v>0</x:v>
      </x:c>
      <x:c r="Z88" s="104" t="b">
        <x:v>0</x:v>
      </x:c>
      <x:c r="AA88" s="104" t="b">
        <x:v>0</x:v>
      </x:c>
      <x:c r="AB88" s="104" t="b">
        <x:v>0</x:v>
      </x:c>
      <x:c r="AC88" s="104" t="b">
        <x:v>0</x:v>
      </x:c>
      <x:c r="AD88" s="106" t="str">
        <x:v>BLOCKED_PENDING_VALIDATION</x:v>
      </x:c>
      <x:c r="AE88" s="97" t="str">
        <x:v>NOT_STARTED</x:v>
      </x:c>
      <x:c r="AF88" s="97" t="str">
        <x:v>Unassigned country-pack owner</x:v>
      </x:c>
      <x:c r="AG88" s="97" t="str">
        <x:v>SRC-CUS-001, SRC-CUS-005, SRC-CUS-007, SRC-DAT-001, SRC-POST-001, SRC-PRV-001</x:v>
      </x:c>
      <x:c r="AH88" s="97" t="str">
        <x:v>2026-07-25</x:v>
      </x:c>
      <x:c r="AI88" s="97" t="str">
        <x:v>2026-08-25</x:v>
      </x:c>
      <x:c r="AJ88" s="97" t="str">
        <x:v>Registry coverage only. Production readiness is capability-specific and requires the release checklist.</x:v>
      </x:c>
    </x:row>
    <x:row r="89" ht="54" customHeight="1">
      <x:c r="A89" s="99" t="str">
        <x:v>CP-GI</x:v>
      </x:c>
      <x:c r="B89" s="99" t="str">
        <x:v>Gibraltar</x:v>
      </x:c>
      <x:c r="C89" s="99" t="str">
        <x:v>GI</x:v>
      </x:c>
      <x:c r="D89" s="99" t="str">
        <x:v>GIB</x:v>
      </x:c>
      <x:c r="E89" s="99" t="str">
        <x:v>292</x:v>
      </x:c>
      <x:c r="F89" s="99" t="str">
        <x:v>ISO 3166-1 assigned</x:v>
      </x:c>
      <x:c r="G89" s="99" t="str">
        <x:v>Territory, dependency or special-area record</x:v>
      </x:c>
      <x:c r="H89" s="99" t="str">
        <x:v>United Kingdom</x:v>
      </x:c>
      <x:c r="I89" s="99" t="str">
        <x:v>Europe</x:v>
      </x:c>
      <x:c r="J89" s="99" t="str">
        <x:v>Southern Europe</x:v>
      </x:c>
      <x:c r="K89" s="99" t="str">
        <x:v>National/territorial customs framework—local validation required</x:v>
      </x:c>
      <x:c r="L89" s="99" t="str">
        <x:v>UPU/operator contract, bilateral rules, EAD/message versions and serviceability must be validated</x:v>
      </x:c>
      <x:c r="M89" s="99" t="str">
        <x:v>ICAO state rules, PLACI regime, security status, carrier routing and serviceability must be validated</x:v>
      </x:c>
      <x:c r="N89" s="99" t="str">
        <x:v>Country-pack privacy law and transfer mechanism required</x:v>
      </x:c>
      <x:c r="O89" s="99" t="str">
        <x:v>Screen live lists for every applicable nexus; resolve ownership, sectoral, end-use and licence controls</x:v>
      </x:c>
      <x:c r="P89" s="99" t="str">
        <x:v>No static legal conclusion. Validate current national/territorial customs, tax, licensing, product, privacy and carrier sources before activation.</x:v>
      </x:c>
      <x:c r="Q89" s="99" t="str">
        <x:v>BLOCKED until tariff, prohibitions, documents and carrier services approved</x:v>
      </x:c>
      <x:c r="R89" s="99" t="str">
        <x:v>BLOCKED until ICAO/state/operator variations and certified review path approved</x:v>
      </x:c>
      <x:c r="S89" s="99" t="str">
        <x:v>BLOCKED until SPS/agency/temperature rules and external filing path approved</x:v>
      </x:c>
      <x:c r="T89" s="99" t="str">
        <x:v>BLOCKED until product/site/importer authorizations and quality path approved</x:v>
      </x:c>
      <x:c r="U89" s="99" t="str">
        <x:v>BLOCKED until excise/licences/age/carrier contract approved</x:v>
      </x:c>
      <x:c r="V89" s="99" t="str">
        <x:v>BLOCKED until classification/end-use/licensing and sanctions path approved</x:v>
      </x:c>
      <x:c r="W89" s="99" t="str">
        <x:v>BLOCKED until provenance/security/insurance/carrier limits approved</x:v>
      </x:c>
      <x:c r="X89" s="99" t="str">
        <x:v>BLOCKED until purpose, values, relief evidence and restrictions approved</x:v>
      </x:c>
      <x:c r="Y89" s="103" t="b">
        <x:v>0</x:v>
      </x:c>
      <x:c r="Z89" s="103" t="b">
        <x:v>0</x:v>
      </x:c>
      <x:c r="AA89" s="103" t="b">
        <x:v>0</x:v>
      </x:c>
      <x:c r="AB89" s="103" t="b">
        <x:v>0</x:v>
      </x:c>
      <x:c r="AC89" s="103" t="b">
        <x:v>0</x:v>
      </x:c>
      <x:c r="AD89" s="106" t="str">
        <x:v>BLOCKED_PENDING_VALIDATION</x:v>
      </x:c>
      <x:c r="AE89" s="99" t="str">
        <x:v>NOT_STARTED</x:v>
      </x:c>
      <x:c r="AF89" s="99" t="str">
        <x:v>Unassigned country-pack owner</x:v>
      </x:c>
      <x:c r="AG89" s="99" t="str">
        <x:v>SRC-CUS-001, SRC-CUS-005, SRC-CUS-007, SRC-DAT-001, SRC-POST-001, SRC-PRV-001, SRC-UK-001, SRC-UK-002, SRC-UK-003, SRC-UK-004, SRC-UK-005</x:v>
      </x:c>
      <x:c r="AH89" s="99" t="str">
        <x:v>2026-07-25</x:v>
      </x:c>
      <x:c r="AI89" s="99" t="str">
        <x:v>2026-08-25</x:v>
      </x:c>
      <x:c r="AJ89" s="99" t="str">
        <x:v>Registry coverage only. Production readiness is capability-specific and requires the release checklist.</x:v>
      </x:c>
    </x:row>
    <x:row r="90" ht="54" customHeight="1">
      <x:c r="A90" s="97" t="str">
        <x:v>CP-GR</x:v>
      </x:c>
      <x:c r="B90" s="97" t="str">
        <x:v>Greece</x:v>
      </x:c>
      <x:c r="C90" s="97" t="str">
        <x:v>GR</x:v>
      </x:c>
      <x:c r="D90" s="97" t="str">
        <x:v>GRC</x:v>
      </x:c>
      <x:c r="E90" s="97" t="str">
        <x:v>300</x:v>
      </x:c>
      <x:c r="F90" s="97" t="str">
        <x:v>ISO 3166-1 assigned</x:v>
      </x:c>
      <x:c r="G90" s="97" t="str">
        <x:v>Independent state</x:v>
      </x:c>
      <x:c r="H90" s="97" t="str">
        <x:v>Self-administered for pack indexing; legal status follows authoritative sources</x:v>
      </x:c>
      <x:c r="I90" s="97" t="str">
        <x:v>Europe</x:v>
      </x:c>
      <x:c r="J90" s="97" t="str">
        <x:v>Southern Europe</x:v>
      </x:c>
      <x:c r="K90" s="97" t="str">
        <x:v>EU customs framework; validate special fiscal/customs territory</x:v>
      </x:c>
      <x:c r="L90" s="97" t="str">
        <x:v>UPU/operator contract, bilateral rules, EAD/message versions and serviceability must be validated</x:v>
      </x:c>
      <x:c r="M90" s="97" t="str">
        <x:v>ICAO state rules, PLACI regime, security status, carrier routing and serviceability must be validated</x:v>
      </x:c>
      <x:c r="N90" s="97" t="str">
        <x:v>GDPR/EEA transfer controls; local supplements</x:v>
      </x:c>
      <x:c r="O90" s="97" t="str">
        <x:v>Screen live lists for every applicable nexus; resolve ownership, sectoral, end-use and licence controls</x:v>
      </x:c>
      <x:c r="P90" s="97" t="str">
        <x:v>EU baseline: ICS2/ENS and current low-value/VAT rules; member and special-territory validation still required.</x:v>
      </x:c>
      <x:c r="Q90" s="97" t="str">
        <x:v>BLOCKED until tariff, prohibitions, documents and carrier services approved</x:v>
      </x:c>
      <x:c r="R90" s="97" t="str">
        <x:v>BLOCKED until ICAO/state/operator variations and certified review path approved</x:v>
      </x:c>
      <x:c r="S90" s="97" t="str">
        <x:v>BLOCKED until SPS/agency/temperature rules and external filing path approved</x:v>
      </x:c>
      <x:c r="T90" s="97" t="str">
        <x:v>BLOCKED until product/site/importer authorizations and quality path approved</x:v>
      </x:c>
      <x:c r="U90" s="97" t="str">
        <x:v>BLOCKED until excise/licences/age/carrier contract approved</x:v>
      </x:c>
      <x:c r="V90" s="97" t="str">
        <x:v>BLOCKED until classification/end-use/licensing and sanctions path approved</x:v>
      </x:c>
      <x:c r="W90" s="97" t="str">
        <x:v>BLOCKED until provenance/security/insurance/carrier limits approved</x:v>
      </x:c>
      <x:c r="X90" s="97" t="str">
        <x:v>BLOCKED until purpose, values, relief evidence and restrictions approved</x:v>
      </x:c>
      <x:c r="Y90" s="104" t="b">
        <x:v>0</x:v>
      </x:c>
      <x:c r="Z90" s="104" t="b">
        <x:v>0</x:v>
      </x:c>
      <x:c r="AA90" s="104" t="b">
        <x:v>0</x:v>
      </x:c>
      <x:c r="AB90" s="104" t="b">
        <x:v>0</x:v>
      </x:c>
      <x:c r="AC90" s="104" t="b">
        <x:v>0</x:v>
      </x:c>
      <x:c r="AD90" s="106" t="str">
        <x:v>BLOCKED_PENDING_VALIDATION</x:v>
      </x:c>
      <x:c r="AE90" s="97" t="str">
        <x:v>NOT_STARTED</x:v>
      </x:c>
      <x:c r="AF90" s="97" t="str">
        <x:v>Unassigned country-pack owner</x:v>
      </x:c>
      <x:c r="AG90" s="97" t="str">
        <x:v>SRC-CUS-001, SRC-CUS-005, SRC-CUS-007, SRC-DAT-001, SRC-POST-001, SRC-PRV-001, SRC-EU-001, SRC-EU-002, SRC-EU-003, SRC-EU-004, SRC-PRV-002</x:v>
      </x:c>
      <x:c r="AH90" s="97" t="str">
        <x:v>2026-07-25</x:v>
      </x:c>
      <x:c r="AI90" s="97" t="str">
        <x:v>2026-08-25</x:v>
      </x:c>
      <x:c r="AJ90" s="97" t="str">
        <x:v>Registry coverage only. Production readiness is capability-specific and requires the release checklist.</x:v>
      </x:c>
    </x:row>
    <x:row r="91" ht="54" customHeight="1">
      <x:c r="A91" s="99" t="str">
        <x:v>CP-GL</x:v>
      </x:c>
      <x:c r="B91" s="99" t="str">
        <x:v>Greenland</x:v>
      </x:c>
      <x:c r="C91" s="99" t="str">
        <x:v>GL</x:v>
      </x:c>
      <x:c r="D91" s="99" t="str">
        <x:v>GRL</x:v>
      </x:c>
      <x:c r="E91" s="99" t="str">
        <x:v>304</x:v>
      </x:c>
      <x:c r="F91" s="99" t="str">
        <x:v>ISO 3166-1 assigned</x:v>
      </x:c>
      <x:c r="G91" s="99" t="str">
        <x:v>Territory, dependency or special-area record</x:v>
      </x:c>
      <x:c r="H91" s="99" t="str">
        <x:v>Kingdom of Denmark</x:v>
      </x:c>
      <x:c r="I91" s="99" t="str">
        <x:v>Americas</x:v>
      </x:c>
      <x:c r="J91" s="99" t="str">
        <x:v>North America</x:v>
      </x:c>
      <x:c r="K91" s="99" t="str">
        <x:v>National/territorial customs framework—local validation required</x:v>
      </x:c>
      <x:c r="L91" s="99" t="str">
        <x:v>UPU/operator contract, bilateral rules, EAD/message versions and serviceability must be validated</x:v>
      </x:c>
      <x:c r="M91" s="99" t="str">
        <x:v>ICAO state rules, PLACI regime, security status, carrier routing and serviceability must be validated</x:v>
      </x:c>
      <x:c r="N91" s="99" t="str">
        <x:v>Country-pack privacy law and transfer mechanism required</x:v>
      </x:c>
      <x:c r="O91" s="99" t="str">
        <x:v>Screen live lists for every applicable nexus; resolve ownership, sectoral, end-use and licence controls</x:v>
      </x:c>
      <x:c r="P91" s="99" t="str">
        <x:v>No static legal conclusion. Validate current national/territorial customs, tax, licensing, product, privacy and carrier sources before activation.</x:v>
      </x:c>
      <x:c r="Q91" s="99" t="str">
        <x:v>BLOCKED until tariff, prohibitions, documents and carrier services approved</x:v>
      </x:c>
      <x:c r="R91" s="99" t="str">
        <x:v>BLOCKED until ICAO/state/operator variations and certified review path approved</x:v>
      </x:c>
      <x:c r="S91" s="99" t="str">
        <x:v>BLOCKED until SPS/agency/temperature rules and external filing path approved</x:v>
      </x:c>
      <x:c r="T91" s="99" t="str">
        <x:v>BLOCKED until product/site/importer authorizations and quality path approved</x:v>
      </x:c>
      <x:c r="U91" s="99" t="str">
        <x:v>BLOCKED until excise/licences/age/carrier contract approved</x:v>
      </x:c>
      <x:c r="V91" s="99" t="str">
        <x:v>BLOCKED until classification/end-use/licensing and sanctions path approved</x:v>
      </x:c>
      <x:c r="W91" s="99" t="str">
        <x:v>BLOCKED until provenance/security/insurance/carrier limits approved</x:v>
      </x:c>
      <x:c r="X91" s="99" t="str">
        <x:v>BLOCKED until purpose, values, relief evidence and restrictions approved</x:v>
      </x:c>
      <x:c r="Y91" s="103" t="b">
        <x:v>0</x:v>
      </x:c>
      <x:c r="Z91" s="103" t="b">
        <x:v>0</x:v>
      </x:c>
      <x:c r="AA91" s="103" t="b">
        <x:v>0</x:v>
      </x:c>
      <x:c r="AB91" s="103" t="b">
        <x:v>0</x:v>
      </x:c>
      <x:c r="AC91" s="103" t="b">
        <x:v>0</x:v>
      </x:c>
      <x:c r="AD91" s="106" t="str">
        <x:v>BLOCKED_PENDING_VALIDATION</x:v>
      </x:c>
      <x:c r="AE91" s="99" t="str">
        <x:v>NOT_STARTED</x:v>
      </x:c>
      <x:c r="AF91" s="99" t="str">
        <x:v>Unassigned country-pack owner</x:v>
      </x:c>
      <x:c r="AG91" s="99" t="str">
        <x:v>SRC-CUS-001, SRC-CUS-005, SRC-CUS-007, SRC-DAT-001, SRC-POST-001, SRC-PRV-001</x:v>
      </x:c>
      <x:c r="AH91" s="99" t="str">
        <x:v>2026-07-25</x:v>
      </x:c>
      <x:c r="AI91" s="99" t="str">
        <x:v>2026-08-25</x:v>
      </x:c>
      <x:c r="AJ91" s="99" t="str">
        <x:v>Registry coverage only. Production readiness is capability-specific and requires the release checklist.</x:v>
      </x:c>
    </x:row>
    <x:row r="92" ht="54" customHeight="1">
      <x:c r="A92" s="97" t="str">
        <x:v>CP-GD</x:v>
      </x:c>
      <x:c r="B92" s="97" t="str">
        <x:v>Grenada</x:v>
      </x:c>
      <x:c r="C92" s="97" t="str">
        <x:v>GD</x:v>
      </x:c>
      <x:c r="D92" s="97" t="str">
        <x:v>GRD</x:v>
      </x:c>
      <x:c r="E92" s="97" t="str">
        <x:v>308</x:v>
      </x:c>
      <x:c r="F92" s="97" t="str">
        <x:v>ISO 3166-1 assigned</x:v>
      </x:c>
      <x:c r="G92" s="97" t="str">
        <x:v>Independent state</x:v>
      </x:c>
      <x:c r="H92" s="97" t="str">
        <x:v>Self-administered for pack indexing; legal status follows authoritative sources</x:v>
      </x:c>
      <x:c r="I92" s="97" t="str">
        <x:v>Americas</x:v>
      </x:c>
      <x:c r="J92" s="97" t="str">
        <x:v>Caribbean</x:v>
      </x:c>
      <x:c r="K92" s="97" t="str">
        <x:v>National/territorial customs framework—local validation required</x:v>
      </x:c>
      <x:c r="L92" s="97" t="str">
        <x:v>UPU/operator contract, bilateral rules, EAD/message versions and serviceability must be validated</x:v>
      </x:c>
      <x:c r="M92" s="97" t="str">
        <x:v>ICAO state rules, PLACI regime, security status, carrier routing and serviceability must be validated</x:v>
      </x:c>
      <x:c r="N92" s="97" t="str">
        <x:v>Country-pack privacy law and transfer mechanism required</x:v>
      </x:c>
      <x:c r="O92" s="97" t="str">
        <x:v>Screen live lists for every applicable nexus; resolve ownership, sectoral, end-use and licence controls</x:v>
      </x:c>
      <x:c r="P92" s="97" t="str">
        <x:v>No static legal conclusion. Validate current national/territorial customs, tax, licensing, product, privacy and carrier sources before activation.</x:v>
      </x:c>
      <x:c r="Q92" s="97" t="str">
        <x:v>BLOCKED until tariff, prohibitions, documents and carrier services approved</x:v>
      </x:c>
      <x:c r="R92" s="97" t="str">
        <x:v>BLOCKED until ICAO/state/operator variations and certified review path approved</x:v>
      </x:c>
      <x:c r="S92" s="97" t="str">
        <x:v>BLOCKED until SPS/agency/temperature rules and external filing path approved</x:v>
      </x:c>
      <x:c r="T92" s="97" t="str">
        <x:v>BLOCKED until product/site/importer authorizations and quality path approved</x:v>
      </x:c>
      <x:c r="U92" s="97" t="str">
        <x:v>BLOCKED until excise/licences/age/carrier contract approved</x:v>
      </x:c>
      <x:c r="V92" s="97" t="str">
        <x:v>BLOCKED until classification/end-use/licensing and sanctions path approved</x:v>
      </x:c>
      <x:c r="W92" s="97" t="str">
        <x:v>BLOCKED until provenance/security/insurance/carrier limits approved</x:v>
      </x:c>
      <x:c r="X92" s="97" t="str">
        <x:v>BLOCKED until purpose, values, relief evidence and restrictions approved</x:v>
      </x:c>
      <x:c r="Y92" s="104" t="b">
        <x:v>0</x:v>
      </x:c>
      <x:c r="Z92" s="104" t="b">
        <x:v>0</x:v>
      </x:c>
      <x:c r="AA92" s="104" t="b">
        <x:v>0</x:v>
      </x:c>
      <x:c r="AB92" s="104" t="b">
        <x:v>0</x:v>
      </x:c>
      <x:c r="AC92" s="104" t="b">
        <x:v>0</x:v>
      </x:c>
      <x:c r="AD92" s="106" t="str">
        <x:v>BLOCKED_PENDING_VALIDATION</x:v>
      </x:c>
      <x:c r="AE92" s="97" t="str">
        <x:v>NOT_STARTED</x:v>
      </x:c>
      <x:c r="AF92" s="97" t="str">
        <x:v>Unassigned country-pack owner</x:v>
      </x:c>
      <x:c r="AG92" s="97" t="str">
        <x:v>SRC-CUS-001, SRC-CUS-005, SRC-CUS-007, SRC-DAT-001, SRC-POST-001, SRC-PRV-001</x:v>
      </x:c>
      <x:c r="AH92" s="97" t="str">
        <x:v>2026-07-25</x:v>
      </x:c>
      <x:c r="AI92" s="97" t="str">
        <x:v>2026-08-25</x:v>
      </x:c>
      <x:c r="AJ92" s="97" t="str">
        <x:v>Registry coverage only. Production readiness is capability-specific and requires the release checklist.</x:v>
      </x:c>
    </x:row>
    <x:row r="93" ht="54" customHeight="1">
      <x:c r="A93" s="99" t="str">
        <x:v>CP-GP</x:v>
      </x:c>
      <x:c r="B93" s="99" t="str">
        <x:v>Guadeloupe</x:v>
      </x:c>
      <x:c r="C93" s="99" t="str">
        <x:v>GP</x:v>
      </x:c>
      <x:c r="D93" s="99" t="str">
        <x:v>GLP</x:v>
      </x:c>
      <x:c r="E93" s="99" t="str">
        <x:v>312</x:v>
      </x:c>
      <x:c r="F93" s="99" t="str">
        <x:v>ISO 3166-1 assigned</x:v>
      </x:c>
      <x:c r="G93" s="99" t="str">
        <x:v>Territory, dependency or special-area record</x:v>
      </x:c>
      <x:c r="H93" s="99" t="str">
        <x:v>France</x:v>
      </x:c>
      <x:c r="I93" s="99" t="str">
        <x:v>Americas</x:v>
      </x:c>
      <x:c r="J93" s="99" t="str">
        <x:v>Caribbean</x:v>
      </x:c>
      <x:c r="K93" s="99" t="str">
        <x:v>National/territorial customs framework—local validation required</x:v>
      </x:c>
      <x:c r="L93" s="99" t="str">
        <x:v>UPU/operator contract, bilateral rules, EAD/message versions and serviceability must be validated</x:v>
      </x:c>
      <x:c r="M93" s="99" t="str">
        <x:v>ICAO state rules, PLACI regime, security status, carrier routing and serviceability must be validated</x:v>
      </x:c>
      <x:c r="N93" s="99" t="str">
        <x:v>Country-pack privacy law and transfer mechanism required</x:v>
      </x:c>
      <x:c r="O93" s="99" t="str">
        <x:v>Screen live lists for every applicable nexus; resolve ownership, sectoral, end-use and licence controls</x:v>
      </x:c>
      <x:c r="P93" s="99" t="str">
        <x:v>No static legal conclusion. Validate current national/territorial customs, tax, licensing, product, privacy and carrier sources before activation.</x:v>
      </x:c>
      <x:c r="Q93" s="99" t="str">
        <x:v>BLOCKED until tariff, prohibitions, documents and carrier services approved</x:v>
      </x:c>
      <x:c r="R93" s="99" t="str">
        <x:v>BLOCKED until ICAO/state/operator variations and certified review path approved</x:v>
      </x:c>
      <x:c r="S93" s="99" t="str">
        <x:v>BLOCKED until SPS/agency/temperature rules and external filing path approved</x:v>
      </x:c>
      <x:c r="T93" s="99" t="str">
        <x:v>BLOCKED until product/site/importer authorizations and quality path approved</x:v>
      </x:c>
      <x:c r="U93" s="99" t="str">
        <x:v>BLOCKED until excise/licences/age/carrier contract approved</x:v>
      </x:c>
      <x:c r="V93" s="99" t="str">
        <x:v>BLOCKED until classification/end-use/licensing and sanctions path approved</x:v>
      </x:c>
      <x:c r="W93" s="99" t="str">
        <x:v>BLOCKED until provenance/security/insurance/carrier limits approved</x:v>
      </x:c>
      <x:c r="X93" s="99" t="str">
        <x:v>BLOCKED until purpose, values, relief evidence and restrictions approved</x:v>
      </x:c>
      <x:c r="Y93" s="103" t="b">
        <x:v>0</x:v>
      </x:c>
      <x:c r="Z93" s="103" t="b">
        <x:v>0</x:v>
      </x:c>
      <x:c r="AA93" s="103" t="b">
        <x:v>0</x:v>
      </x:c>
      <x:c r="AB93" s="103" t="b">
        <x:v>0</x:v>
      </x:c>
      <x:c r="AC93" s="103" t="b">
        <x:v>0</x:v>
      </x:c>
      <x:c r="AD93" s="106" t="str">
        <x:v>BLOCKED_PENDING_VALIDATION</x:v>
      </x:c>
      <x:c r="AE93" s="99" t="str">
        <x:v>NOT_STARTED</x:v>
      </x:c>
      <x:c r="AF93" s="99" t="str">
        <x:v>Unassigned country-pack owner</x:v>
      </x:c>
      <x:c r="AG93" s="99" t="str">
        <x:v>SRC-CUS-001, SRC-CUS-005, SRC-CUS-007, SRC-DAT-001, SRC-POST-001, SRC-PRV-001</x:v>
      </x:c>
      <x:c r="AH93" s="99" t="str">
        <x:v>2026-07-25</x:v>
      </x:c>
      <x:c r="AI93" s="99" t="str">
        <x:v>2026-08-25</x:v>
      </x:c>
      <x:c r="AJ93" s="99" t="str">
        <x:v>Registry coverage only. Production readiness is capability-specific and requires the release checklist.</x:v>
      </x:c>
    </x:row>
    <x:row r="94" ht="54" customHeight="1">
      <x:c r="A94" s="97" t="str">
        <x:v>CP-GU</x:v>
      </x:c>
      <x:c r="B94" s="97" t="str">
        <x:v>Guam</x:v>
      </x:c>
      <x:c r="C94" s="97" t="str">
        <x:v>GU</x:v>
      </x:c>
      <x:c r="D94" s="97" t="str">
        <x:v>GUM</x:v>
      </x:c>
      <x:c r="E94" s="97" t="str">
        <x:v>316</x:v>
      </x:c>
      <x:c r="F94" s="97" t="str">
        <x:v>ISO 3166-1 assigned</x:v>
      </x:c>
      <x:c r="G94" s="97" t="str">
        <x:v>Territory, dependency or special-area record</x:v>
      </x:c>
      <x:c r="H94" s="97" t="str">
        <x:v>United States</x:v>
      </x:c>
      <x:c r="I94" s="97" t="str">
        <x:v>Oceania</x:v>
      </x:c>
      <x:c r="J94" s="97" t="str">
        <x:v>Micronesia</x:v>
      </x:c>
      <x:c r="K94" s="97" t="str">
        <x:v>National/territorial customs framework—local validation required</x:v>
      </x:c>
      <x:c r="L94" s="97" t="str">
        <x:v>UPU/operator contract, bilateral rules, EAD/message versions and serviceability must be validated</x:v>
      </x:c>
      <x:c r="M94" s="97" t="str">
        <x:v>ICAO state rules, PLACI regime, security status, carrier routing and serviceability must be validated</x:v>
      </x:c>
      <x:c r="N94" s="97" t="str">
        <x:v>Country-pack privacy law and transfer mechanism required</x:v>
      </x:c>
      <x:c r="O94" s="97" t="str">
        <x:v>Screen live lists for every applicable nexus; resolve ownership, sectoral, end-use and licence controls</x:v>
      </x:c>
      <x:c r="P94" s="97" t="str">
        <x:v>No static legal conclusion. Validate current national/territorial customs, tax, licensing, product, privacy and carrier sources before activation.</x:v>
      </x:c>
      <x:c r="Q94" s="97" t="str">
        <x:v>BLOCKED until tariff, prohibitions, documents and carrier services approved</x:v>
      </x:c>
      <x:c r="R94" s="97" t="str">
        <x:v>BLOCKED until ICAO/state/operator variations and certified review path approved</x:v>
      </x:c>
      <x:c r="S94" s="97" t="str">
        <x:v>BLOCKED until SPS/agency/temperature rules and external filing path approved</x:v>
      </x:c>
      <x:c r="T94" s="97" t="str">
        <x:v>BLOCKED until product/site/importer authorizations and quality path approved</x:v>
      </x:c>
      <x:c r="U94" s="97" t="str">
        <x:v>BLOCKED until excise/licences/age/carrier contract approved</x:v>
      </x:c>
      <x:c r="V94" s="97" t="str">
        <x:v>BLOCKED until classification/end-use/licensing and sanctions path approved</x:v>
      </x:c>
      <x:c r="W94" s="97" t="str">
        <x:v>BLOCKED until provenance/security/insurance/carrier limits approved</x:v>
      </x:c>
      <x:c r="X94" s="97" t="str">
        <x:v>BLOCKED until purpose, values, relief evidence and restrictions approved</x:v>
      </x:c>
      <x:c r="Y94" s="104" t="b">
        <x:v>0</x:v>
      </x:c>
      <x:c r="Z94" s="104" t="b">
        <x:v>0</x:v>
      </x:c>
      <x:c r="AA94" s="104" t="b">
        <x:v>0</x:v>
      </x:c>
      <x:c r="AB94" s="104" t="b">
        <x:v>0</x:v>
      </x:c>
      <x:c r="AC94" s="104" t="b">
        <x:v>0</x:v>
      </x:c>
      <x:c r="AD94" s="106" t="str">
        <x:v>BLOCKED_PENDING_VALIDATION</x:v>
      </x:c>
      <x:c r="AE94" s="97" t="str">
        <x:v>NOT_STARTED</x:v>
      </x:c>
      <x:c r="AF94" s="97" t="str">
        <x:v>Unassigned country-pack owner</x:v>
      </x:c>
      <x:c r="AG94" s="97" t="str">
        <x:v>SRC-CUS-001, SRC-CUS-005, SRC-CUS-007, SRC-DAT-001, SRC-POST-001, SRC-PRV-001, SRC-USA-001, SRC-USA-002, SRC-PRV-012</x:v>
      </x:c>
      <x:c r="AH94" s="97" t="str">
        <x:v>2026-07-25</x:v>
      </x:c>
      <x:c r="AI94" s="97" t="str">
        <x:v>2026-08-25</x:v>
      </x:c>
      <x:c r="AJ94" s="97" t="str">
        <x:v>Registry coverage only. Production readiness is capability-specific and requires the release checklist.</x:v>
      </x:c>
    </x:row>
    <x:row r="95" ht="54" customHeight="1">
      <x:c r="A95" s="99" t="str">
        <x:v>CP-GT</x:v>
      </x:c>
      <x:c r="B95" s="99" t="str">
        <x:v>Guatemala</x:v>
      </x:c>
      <x:c r="C95" s="99" t="str">
        <x:v>GT</x:v>
      </x:c>
      <x:c r="D95" s="99" t="str">
        <x:v>GTM</x:v>
      </x:c>
      <x:c r="E95" s="99" t="str">
        <x:v>320</x:v>
      </x:c>
      <x:c r="F95" s="99" t="str">
        <x:v>ISO 3166-1 assigned</x:v>
      </x:c>
      <x:c r="G95" s="99" t="str">
        <x:v>Independent state</x:v>
      </x:c>
      <x:c r="H95" s="99" t="str">
        <x:v>Self-administered for pack indexing; legal status follows authoritative sources</x:v>
      </x:c>
      <x:c r="I95" s="99" t="str">
        <x:v>Americas</x:v>
      </x:c>
      <x:c r="J95" s="99" t="str">
        <x:v>Central America</x:v>
      </x:c>
      <x:c r="K95" s="99" t="str">
        <x:v>National/territorial customs framework—local validation required</x:v>
      </x:c>
      <x:c r="L95" s="99" t="str">
        <x:v>UPU/operator contract, bilateral rules, EAD/message versions and serviceability must be validated</x:v>
      </x:c>
      <x:c r="M95" s="99" t="str">
        <x:v>ICAO state rules, PLACI regime, security status, carrier routing and serviceability must be validated</x:v>
      </x:c>
      <x:c r="N95" s="99" t="str">
        <x:v>Country-pack privacy law and transfer mechanism required</x:v>
      </x:c>
      <x:c r="O95" s="99" t="str">
        <x:v>Screen live lists for every applicable nexus; resolve ownership, sectoral, end-use and licence controls</x:v>
      </x:c>
      <x:c r="P95" s="99" t="str">
        <x:v>No static legal conclusion. Validate current national/territorial customs, tax, licensing, product, privacy and carrier sources before activation.</x:v>
      </x:c>
      <x:c r="Q95" s="99" t="str">
        <x:v>BLOCKED until tariff, prohibitions, documents and carrier services approved</x:v>
      </x:c>
      <x:c r="R95" s="99" t="str">
        <x:v>BLOCKED until ICAO/state/operator variations and certified review path approved</x:v>
      </x:c>
      <x:c r="S95" s="99" t="str">
        <x:v>BLOCKED until SPS/agency/temperature rules and external filing path approved</x:v>
      </x:c>
      <x:c r="T95" s="99" t="str">
        <x:v>BLOCKED until product/site/importer authorizations and quality path approved</x:v>
      </x:c>
      <x:c r="U95" s="99" t="str">
        <x:v>BLOCKED until excise/licences/age/carrier contract approved</x:v>
      </x:c>
      <x:c r="V95" s="99" t="str">
        <x:v>BLOCKED until classification/end-use/licensing and sanctions path approved</x:v>
      </x:c>
      <x:c r="W95" s="99" t="str">
        <x:v>BLOCKED until provenance/security/insurance/carrier limits approved</x:v>
      </x:c>
      <x:c r="X95" s="99" t="str">
        <x:v>BLOCKED until purpose, values, relief evidence and restrictions approved</x:v>
      </x:c>
      <x:c r="Y95" s="103" t="b">
        <x:v>0</x:v>
      </x:c>
      <x:c r="Z95" s="103" t="b">
        <x:v>0</x:v>
      </x:c>
      <x:c r="AA95" s="103" t="b">
        <x:v>0</x:v>
      </x:c>
      <x:c r="AB95" s="103" t="b">
        <x:v>0</x:v>
      </x:c>
      <x:c r="AC95" s="103" t="b">
        <x:v>0</x:v>
      </x:c>
      <x:c r="AD95" s="106" t="str">
        <x:v>BLOCKED_PENDING_VALIDATION</x:v>
      </x:c>
      <x:c r="AE95" s="99" t="str">
        <x:v>NOT_STARTED</x:v>
      </x:c>
      <x:c r="AF95" s="99" t="str">
        <x:v>Unassigned country-pack owner</x:v>
      </x:c>
      <x:c r="AG95" s="99" t="str">
        <x:v>SRC-CUS-001, SRC-CUS-005, SRC-CUS-007, SRC-DAT-001, SRC-POST-001, SRC-PRV-001</x:v>
      </x:c>
      <x:c r="AH95" s="99" t="str">
        <x:v>2026-07-25</x:v>
      </x:c>
      <x:c r="AI95" s="99" t="str">
        <x:v>2026-08-25</x:v>
      </x:c>
      <x:c r="AJ95" s="99" t="str">
        <x:v>Registry coverage only. Production readiness is capability-specific and requires the release checklist.</x:v>
      </x:c>
    </x:row>
    <x:row r="96" ht="54" customHeight="1">
      <x:c r="A96" s="97" t="str">
        <x:v>CP-GG</x:v>
      </x:c>
      <x:c r="B96" s="97" t="str">
        <x:v>Guernsey</x:v>
      </x:c>
      <x:c r="C96" s="97" t="str">
        <x:v>GG</x:v>
      </x:c>
      <x:c r="D96" s="97" t="str">
        <x:v>GGY</x:v>
      </x:c>
      <x:c r="E96" s="97" t="str">
        <x:v>831</x:v>
      </x:c>
      <x:c r="F96" s="97" t="str">
        <x:v>ISO 3166-1 assigned</x:v>
      </x:c>
      <x:c r="G96" s="97" t="str">
        <x:v>Territory, dependency or special-area record</x:v>
      </x:c>
      <x:c r="H96" s="97" t="str">
        <x:v>British Crown dependency</x:v>
      </x:c>
      <x:c r="I96" s="97" t="str">
        <x:v>Europe</x:v>
      </x:c>
      <x:c r="J96" s="97" t="str">
        <x:v>Northern Europe</x:v>
      </x:c>
      <x:c r="K96" s="97" t="str">
        <x:v>National/territorial customs framework—local validation required</x:v>
      </x:c>
      <x:c r="L96" s="97" t="str">
        <x:v>UPU/operator contract, bilateral rules, EAD/message versions and serviceability must be validated</x:v>
      </x:c>
      <x:c r="M96" s="97" t="str">
        <x:v>ICAO state rules, PLACI regime, security status, carrier routing and serviceability must be validated</x:v>
      </x:c>
      <x:c r="N96" s="97" t="str">
        <x:v>Country-pack privacy law and transfer mechanism required</x:v>
      </x:c>
      <x:c r="O96" s="97" t="str">
        <x:v>Screen live lists for every applicable nexus; resolve ownership, sectoral, end-use and licence controls</x:v>
      </x:c>
      <x:c r="P96" s="97" t="str">
        <x:v>No static legal conclusion. Validate current national/territorial customs, tax, licensing, product, privacy and carrier sources before activation.</x:v>
      </x:c>
      <x:c r="Q96" s="97" t="str">
        <x:v>BLOCKED until tariff, prohibitions, documents and carrier services approved</x:v>
      </x:c>
      <x:c r="R96" s="97" t="str">
        <x:v>BLOCKED until ICAO/state/operator variations and certified review path approved</x:v>
      </x:c>
      <x:c r="S96" s="97" t="str">
        <x:v>BLOCKED until SPS/agency/temperature rules and external filing path approved</x:v>
      </x:c>
      <x:c r="T96" s="97" t="str">
        <x:v>BLOCKED until product/site/importer authorizations and quality path approved</x:v>
      </x:c>
      <x:c r="U96" s="97" t="str">
        <x:v>BLOCKED until excise/licences/age/carrier contract approved</x:v>
      </x:c>
      <x:c r="V96" s="97" t="str">
        <x:v>BLOCKED until classification/end-use/licensing and sanctions path approved</x:v>
      </x:c>
      <x:c r="W96" s="97" t="str">
        <x:v>BLOCKED until provenance/security/insurance/carrier limits approved</x:v>
      </x:c>
      <x:c r="X96" s="97" t="str">
        <x:v>BLOCKED until purpose, values, relief evidence and restrictions approved</x:v>
      </x:c>
      <x:c r="Y96" s="104" t="b">
        <x:v>0</x:v>
      </x:c>
      <x:c r="Z96" s="104" t="b">
        <x:v>0</x:v>
      </x:c>
      <x:c r="AA96" s="104" t="b">
        <x:v>0</x:v>
      </x:c>
      <x:c r="AB96" s="104" t="b">
        <x:v>0</x:v>
      </x:c>
      <x:c r="AC96" s="104" t="b">
        <x:v>0</x:v>
      </x:c>
      <x:c r="AD96" s="106" t="str">
        <x:v>BLOCKED_PENDING_VALIDATION</x:v>
      </x:c>
      <x:c r="AE96" s="97" t="str">
        <x:v>NOT_STARTED</x:v>
      </x:c>
      <x:c r="AF96" s="97" t="str">
        <x:v>Unassigned country-pack owner</x:v>
      </x:c>
      <x:c r="AG96" s="97" t="str">
        <x:v>SRC-CUS-001, SRC-CUS-005, SRC-CUS-007, SRC-DAT-001, SRC-POST-001, SRC-PRV-001, SRC-UK-001, SRC-UK-002, SRC-UK-003, SRC-UK-004, SRC-UK-005</x:v>
      </x:c>
      <x:c r="AH96" s="97" t="str">
        <x:v>2026-07-25</x:v>
      </x:c>
      <x:c r="AI96" s="97" t="str">
        <x:v>2026-08-25</x:v>
      </x:c>
      <x:c r="AJ96" s="97" t="str">
        <x:v>Registry coverage only. Production readiness is capability-specific and requires the release checklist.</x:v>
      </x:c>
    </x:row>
    <x:row r="97" ht="54" customHeight="1">
      <x:c r="A97" s="99" t="str">
        <x:v>CP-GN</x:v>
      </x:c>
      <x:c r="B97" s="99" t="str">
        <x:v>Guinea</x:v>
      </x:c>
      <x:c r="C97" s="99" t="str">
        <x:v>GN</x:v>
      </x:c>
      <x:c r="D97" s="99" t="str">
        <x:v>GIN</x:v>
      </x:c>
      <x:c r="E97" s="99" t="str">
        <x:v>324</x:v>
      </x:c>
      <x:c r="F97" s="99" t="str">
        <x:v>ISO 3166-1 assigned</x:v>
      </x:c>
      <x:c r="G97" s="99" t="str">
        <x:v>Independent state</x:v>
      </x:c>
      <x:c r="H97" s="99" t="str">
        <x:v>Self-administered for pack indexing; legal status follows authoritative sources</x:v>
      </x:c>
      <x:c r="I97" s="99" t="str">
        <x:v>Africa</x:v>
      </x:c>
      <x:c r="J97" s="99" t="str">
        <x:v>Western Africa</x:v>
      </x:c>
      <x:c r="K97" s="99" t="str">
        <x:v>National/territorial customs framework—local validation required</x:v>
      </x:c>
      <x:c r="L97" s="99" t="str">
        <x:v>UPU/operator contract, bilateral rules, EAD/message versions and serviceability must be validated</x:v>
      </x:c>
      <x:c r="M97" s="99" t="str">
        <x:v>ICAO state rules, PLACI regime, security status, carrier routing and serviceability must be validated</x:v>
      </x:c>
      <x:c r="N97" s="99" t="str">
        <x:v>Country-pack privacy law and transfer mechanism required</x:v>
      </x:c>
      <x:c r="O97" s="99" t="str">
        <x:v>Screen live lists for every applicable nexus; resolve ownership, sectoral, end-use and licence controls</x:v>
      </x:c>
      <x:c r="P97" s="99" t="str">
        <x:v>No static legal conclusion. Validate current national/territorial customs, tax, licensing, product, privacy and carrier sources before activation.</x:v>
      </x:c>
      <x:c r="Q97" s="99" t="str">
        <x:v>BLOCKED until tariff, prohibitions, documents and carrier services approved</x:v>
      </x:c>
      <x:c r="R97" s="99" t="str">
        <x:v>BLOCKED until ICAO/state/operator variations and certified review path approved</x:v>
      </x:c>
      <x:c r="S97" s="99" t="str">
        <x:v>BLOCKED until SPS/agency/temperature rules and external filing path approved</x:v>
      </x:c>
      <x:c r="T97" s="99" t="str">
        <x:v>BLOCKED until product/site/importer authorizations and quality path approved</x:v>
      </x:c>
      <x:c r="U97" s="99" t="str">
        <x:v>BLOCKED until excise/licences/age/carrier contract approved</x:v>
      </x:c>
      <x:c r="V97" s="99" t="str">
        <x:v>BLOCKED until classification/end-use/licensing and sanctions path approved</x:v>
      </x:c>
      <x:c r="W97" s="99" t="str">
        <x:v>BLOCKED until provenance/security/insurance/carrier limits approved</x:v>
      </x:c>
      <x:c r="X97" s="99" t="str">
        <x:v>BLOCKED until purpose, values, relief evidence and restrictions approved</x:v>
      </x:c>
      <x:c r="Y97" s="103" t="b">
        <x:v>0</x:v>
      </x:c>
      <x:c r="Z97" s="103" t="b">
        <x:v>0</x:v>
      </x:c>
      <x:c r="AA97" s="103" t="b">
        <x:v>0</x:v>
      </x:c>
      <x:c r="AB97" s="103" t="b">
        <x:v>0</x:v>
      </x:c>
      <x:c r="AC97" s="103" t="b">
        <x:v>0</x:v>
      </x:c>
      <x:c r="AD97" s="106" t="str">
        <x:v>BLOCKED_PENDING_VALIDATION</x:v>
      </x:c>
      <x:c r="AE97" s="99" t="str">
        <x:v>NOT_STARTED</x:v>
      </x:c>
      <x:c r="AF97" s="99" t="str">
        <x:v>Unassigned country-pack owner</x:v>
      </x:c>
      <x:c r="AG97" s="99" t="str">
        <x:v>SRC-CUS-001, SRC-CUS-005, SRC-CUS-007, SRC-DAT-001, SRC-POST-001, SRC-PRV-001</x:v>
      </x:c>
      <x:c r="AH97" s="99" t="str">
        <x:v>2026-07-25</x:v>
      </x:c>
      <x:c r="AI97" s="99" t="str">
        <x:v>2026-08-25</x:v>
      </x:c>
      <x:c r="AJ97" s="99" t="str">
        <x:v>Registry coverage only. Production readiness is capability-specific and requires the release checklist.</x:v>
      </x:c>
    </x:row>
    <x:row r="98" ht="54" customHeight="1">
      <x:c r="A98" s="97" t="str">
        <x:v>CP-GW</x:v>
      </x:c>
      <x:c r="B98" s="97" t="str">
        <x:v>Guinea-Bissau</x:v>
      </x:c>
      <x:c r="C98" s="97" t="str">
        <x:v>GW</x:v>
      </x:c>
      <x:c r="D98" s="97" t="str">
        <x:v>GNB</x:v>
      </x:c>
      <x:c r="E98" s="97" t="str">
        <x:v>624</x:v>
      </x:c>
      <x:c r="F98" s="97" t="str">
        <x:v>ISO 3166-1 assigned</x:v>
      </x:c>
      <x:c r="G98" s="97" t="str">
        <x:v>Independent state</x:v>
      </x:c>
      <x:c r="H98" s="97" t="str">
        <x:v>Self-administered for pack indexing; legal status follows authoritative sources</x:v>
      </x:c>
      <x:c r="I98" s="97" t="str">
        <x:v>Africa</x:v>
      </x:c>
      <x:c r="J98" s="97" t="str">
        <x:v>Western Africa</x:v>
      </x:c>
      <x:c r="K98" s="97" t="str">
        <x:v>National/territorial customs framework—local validation required</x:v>
      </x:c>
      <x:c r="L98" s="97" t="str">
        <x:v>UPU/operator contract, bilateral rules, EAD/message versions and serviceability must be validated</x:v>
      </x:c>
      <x:c r="M98" s="97" t="str">
        <x:v>ICAO state rules, PLACI regime, security status, carrier routing and serviceability must be validated</x:v>
      </x:c>
      <x:c r="N98" s="97" t="str">
        <x:v>Country-pack privacy law and transfer mechanism required</x:v>
      </x:c>
      <x:c r="O98" s="97" t="str">
        <x:v>Screen live lists for every applicable nexus; resolve ownership, sectoral, end-use and licence controls</x:v>
      </x:c>
      <x:c r="P98" s="97" t="str">
        <x:v>No static legal conclusion. Validate current national/territorial customs, tax, licensing, product, privacy and carrier sources before activation.</x:v>
      </x:c>
      <x:c r="Q98" s="97" t="str">
        <x:v>BLOCKED until tariff, prohibitions, documents and carrier services approved</x:v>
      </x:c>
      <x:c r="R98" s="97" t="str">
        <x:v>BLOCKED until ICAO/state/operator variations and certified review path approved</x:v>
      </x:c>
      <x:c r="S98" s="97" t="str">
        <x:v>BLOCKED until SPS/agency/temperature rules and external filing path approved</x:v>
      </x:c>
      <x:c r="T98" s="97" t="str">
        <x:v>BLOCKED until product/site/importer authorizations and quality path approved</x:v>
      </x:c>
      <x:c r="U98" s="97" t="str">
        <x:v>BLOCKED until excise/licences/age/carrier contract approved</x:v>
      </x:c>
      <x:c r="V98" s="97" t="str">
        <x:v>BLOCKED until classification/end-use/licensing and sanctions path approved</x:v>
      </x:c>
      <x:c r="W98" s="97" t="str">
        <x:v>BLOCKED until provenance/security/insurance/carrier limits approved</x:v>
      </x:c>
      <x:c r="X98" s="97" t="str">
        <x:v>BLOCKED until purpose, values, relief evidence and restrictions approved</x:v>
      </x:c>
      <x:c r="Y98" s="104" t="b">
        <x:v>0</x:v>
      </x:c>
      <x:c r="Z98" s="104" t="b">
        <x:v>0</x:v>
      </x:c>
      <x:c r="AA98" s="104" t="b">
        <x:v>0</x:v>
      </x:c>
      <x:c r="AB98" s="104" t="b">
        <x:v>0</x:v>
      </x:c>
      <x:c r="AC98" s="104" t="b">
        <x:v>0</x:v>
      </x:c>
      <x:c r="AD98" s="106" t="str">
        <x:v>BLOCKED_PENDING_VALIDATION</x:v>
      </x:c>
      <x:c r="AE98" s="97" t="str">
        <x:v>NOT_STARTED</x:v>
      </x:c>
      <x:c r="AF98" s="97" t="str">
        <x:v>Unassigned country-pack owner</x:v>
      </x:c>
      <x:c r="AG98" s="97" t="str">
        <x:v>SRC-CUS-001, SRC-CUS-005, SRC-CUS-007, SRC-DAT-001, SRC-POST-001, SRC-PRV-001</x:v>
      </x:c>
      <x:c r="AH98" s="97" t="str">
        <x:v>2026-07-25</x:v>
      </x:c>
      <x:c r="AI98" s="97" t="str">
        <x:v>2026-08-25</x:v>
      </x:c>
      <x:c r="AJ98" s="97" t="str">
        <x:v>Registry coverage only. Production readiness is capability-specific and requires the release checklist.</x:v>
      </x:c>
    </x:row>
    <x:row r="99" ht="54" customHeight="1">
      <x:c r="A99" s="99" t="str">
        <x:v>CP-GY</x:v>
      </x:c>
      <x:c r="B99" s="99" t="str">
        <x:v>Guyana</x:v>
      </x:c>
      <x:c r="C99" s="99" t="str">
        <x:v>GY</x:v>
      </x:c>
      <x:c r="D99" s="99" t="str">
        <x:v>GUY</x:v>
      </x:c>
      <x:c r="E99" s="99" t="str">
        <x:v>328</x:v>
      </x:c>
      <x:c r="F99" s="99" t="str">
        <x:v>ISO 3166-1 assigned</x:v>
      </x:c>
      <x:c r="G99" s="99" t="str">
        <x:v>Independent state</x:v>
      </x:c>
      <x:c r="H99" s="99" t="str">
        <x:v>Self-administered for pack indexing; legal status follows authoritative sources</x:v>
      </x:c>
      <x:c r="I99" s="99" t="str">
        <x:v>Americas</x:v>
      </x:c>
      <x:c r="J99" s="99" t="str">
        <x:v>South America</x:v>
      </x:c>
      <x:c r="K99" s="99" t="str">
        <x:v>National/territorial customs framework—local validation required</x:v>
      </x:c>
      <x:c r="L99" s="99" t="str">
        <x:v>UPU/operator contract, bilateral rules, EAD/message versions and serviceability must be validated</x:v>
      </x:c>
      <x:c r="M99" s="99" t="str">
        <x:v>ICAO state rules, PLACI regime, security status, carrier routing and serviceability must be validated</x:v>
      </x:c>
      <x:c r="N99" s="99" t="str">
        <x:v>Country-pack privacy law and transfer mechanism required</x:v>
      </x:c>
      <x:c r="O99" s="99" t="str">
        <x:v>Screen live lists for every applicable nexus; resolve ownership, sectoral, end-use and licence controls</x:v>
      </x:c>
      <x:c r="P99" s="99" t="str">
        <x:v>No static legal conclusion. Validate current national/territorial customs, tax, licensing, product, privacy and carrier sources before activation.</x:v>
      </x:c>
      <x:c r="Q99" s="99" t="str">
        <x:v>BLOCKED until tariff, prohibitions, documents and carrier services approved</x:v>
      </x:c>
      <x:c r="R99" s="99" t="str">
        <x:v>BLOCKED until ICAO/state/operator variations and certified review path approved</x:v>
      </x:c>
      <x:c r="S99" s="99" t="str">
        <x:v>BLOCKED until SPS/agency/temperature rules and external filing path approved</x:v>
      </x:c>
      <x:c r="T99" s="99" t="str">
        <x:v>BLOCKED until product/site/importer authorizations and quality path approved</x:v>
      </x:c>
      <x:c r="U99" s="99" t="str">
        <x:v>BLOCKED until excise/licences/age/carrier contract approved</x:v>
      </x:c>
      <x:c r="V99" s="99" t="str">
        <x:v>BLOCKED until classification/end-use/licensing and sanctions path approved</x:v>
      </x:c>
      <x:c r="W99" s="99" t="str">
        <x:v>BLOCKED until provenance/security/insurance/carrier limits approved</x:v>
      </x:c>
      <x:c r="X99" s="99" t="str">
        <x:v>BLOCKED until purpose, values, relief evidence and restrictions approved</x:v>
      </x:c>
      <x:c r="Y99" s="103" t="b">
        <x:v>0</x:v>
      </x:c>
      <x:c r="Z99" s="103" t="b">
        <x:v>0</x:v>
      </x:c>
      <x:c r="AA99" s="103" t="b">
        <x:v>0</x:v>
      </x:c>
      <x:c r="AB99" s="103" t="b">
        <x:v>0</x:v>
      </x:c>
      <x:c r="AC99" s="103" t="b">
        <x:v>0</x:v>
      </x:c>
      <x:c r="AD99" s="106" t="str">
        <x:v>BLOCKED_PENDING_VALIDATION</x:v>
      </x:c>
      <x:c r="AE99" s="99" t="str">
        <x:v>NOT_STARTED</x:v>
      </x:c>
      <x:c r="AF99" s="99" t="str">
        <x:v>Unassigned country-pack owner</x:v>
      </x:c>
      <x:c r="AG99" s="99" t="str">
        <x:v>SRC-CUS-001, SRC-CUS-005, SRC-CUS-007, SRC-DAT-001, SRC-POST-001, SRC-PRV-001</x:v>
      </x:c>
      <x:c r="AH99" s="99" t="str">
        <x:v>2026-07-25</x:v>
      </x:c>
      <x:c r="AI99" s="99" t="str">
        <x:v>2026-08-25</x:v>
      </x:c>
      <x:c r="AJ99" s="99" t="str">
        <x:v>Registry coverage only. Production readiness is capability-specific and requires the release checklist.</x:v>
      </x:c>
    </x:row>
    <x:row r="100" ht="54" customHeight="1">
      <x:c r="A100" s="97" t="str">
        <x:v>CP-HT</x:v>
      </x:c>
      <x:c r="B100" s="97" t="str">
        <x:v>Haiti</x:v>
      </x:c>
      <x:c r="C100" s="97" t="str">
        <x:v>HT</x:v>
      </x:c>
      <x:c r="D100" s="97" t="str">
        <x:v>HTI</x:v>
      </x:c>
      <x:c r="E100" s="97" t="str">
        <x:v>332</x:v>
      </x:c>
      <x:c r="F100" s="97" t="str">
        <x:v>ISO 3166-1 assigned</x:v>
      </x:c>
      <x:c r="G100" s="97" t="str">
        <x:v>Independent state</x:v>
      </x:c>
      <x:c r="H100" s="97" t="str">
        <x:v>Self-administered for pack indexing; legal status follows authoritative sources</x:v>
      </x:c>
      <x:c r="I100" s="97" t="str">
        <x:v>Americas</x:v>
      </x:c>
      <x:c r="J100" s="97" t="str">
        <x:v>Caribbean</x:v>
      </x:c>
      <x:c r="K100" s="97" t="str">
        <x:v>National/territorial customs framework—local validation required</x:v>
      </x:c>
      <x:c r="L100" s="97" t="str">
        <x:v>UPU/operator contract, bilateral rules, EAD/message versions and serviceability must be validated</x:v>
      </x:c>
      <x:c r="M100" s="97" t="str">
        <x:v>ICAO state rules, PLACI regime, security status, carrier routing and serviceability must be validated</x:v>
      </x:c>
      <x:c r="N100" s="97" t="str">
        <x:v>Country-pack privacy law and transfer mechanism required</x:v>
      </x:c>
      <x:c r="O100" s="97" t="str">
        <x:v>Screen live lists for every applicable nexus; resolve ownership, sectoral, end-use and licence controls</x:v>
      </x:c>
      <x:c r="P100" s="97" t="str">
        <x:v>No static legal conclusion. Validate current national/territorial customs, tax, licensing, product, privacy and carrier sources before activation.</x:v>
      </x:c>
      <x:c r="Q100" s="97" t="str">
        <x:v>BLOCKED until tariff, prohibitions, documents and carrier services approved</x:v>
      </x:c>
      <x:c r="R100" s="97" t="str">
        <x:v>BLOCKED until ICAO/state/operator variations and certified review path approved</x:v>
      </x:c>
      <x:c r="S100" s="97" t="str">
        <x:v>BLOCKED until SPS/agency/temperature rules and external filing path approved</x:v>
      </x:c>
      <x:c r="T100" s="97" t="str">
        <x:v>BLOCKED until product/site/importer authorizations and quality path approved</x:v>
      </x:c>
      <x:c r="U100" s="97" t="str">
        <x:v>BLOCKED until excise/licences/age/carrier contract approved</x:v>
      </x:c>
      <x:c r="V100" s="97" t="str">
        <x:v>BLOCKED until classification/end-use/licensing and sanctions path approved</x:v>
      </x:c>
      <x:c r="W100" s="97" t="str">
        <x:v>BLOCKED until provenance/security/insurance/carrier limits approved</x:v>
      </x:c>
      <x:c r="X100" s="97" t="str">
        <x:v>BLOCKED until purpose, values, relief evidence and restrictions approved</x:v>
      </x:c>
      <x:c r="Y100" s="104" t="b">
        <x:v>0</x:v>
      </x:c>
      <x:c r="Z100" s="104" t="b">
        <x:v>0</x:v>
      </x:c>
      <x:c r="AA100" s="104" t="b">
        <x:v>0</x:v>
      </x:c>
      <x:c r="AB100" s="104" t="b">
        <x:v>0</x:v>
      </x:c>
      <x:c r="AC100" s="104" t="b">
        <x:v>0</x:v>
      </x:c>
      <x:c r="AD100" s="106" t="str">
        <x:v>BLOCKED_PENDING_VALIDATION</x:v>
      </x:c>
      <x:c r="AE100" s="97" t="str">
        <x:v>NOT_STARTED</x:v>
      </x:c>
      <x:c r="AF100" s="97" t="str">
        <x:v>Unassigned country-pack owner</x:v>
      </x:c>
      <x:c r="AG100" s="97" t="str">
        <x:v>SRC-CUS-001, SRC-CUS-005, SRC-CUS-007, SRC-DAT-001, SRC-POST-001, SRC-PRV-001</x:v>
      </x:c>
      <x:c r="AH100" s="97" t="str">
        <x:v>2026-07-25</x:v>
      </x:c>
      <x:c r="AI100" s="97" t="str">
        <x:v>2026-08-25</x:v>
      </x:c>
      <x:c r="AJ100" s="97" t="str">
        <x:v>Registry coverage only. Production readiness is capability-specific and requires the release checklist.</x:v>
      </x:c>
    </x:row>
    <x:row r="101" ht="54" customHeight="1">
      <x:c r="A101" s="99" t="str">
        <x:v>CP-HM</x:v>
      </x:c>
      <x:c r="B101" s="99" t="str">
        <x:v>Heard Island and McDonald Islands</x:v>
      </x:c>
      <x:c r="C101" s="99" t="str">
        <x:v>HM</x:v>
      </x:c>
      <x:c r="D101" s="99" t="str">
        <x:v>HMD</x:v>
      </x:c>
      <x:c r="E101" s="99" t="str">
        <x:v>334</x:v>
      </x:c>
      <x:c r="F101" s="99" t="str">
        <x:v>ISO 3166-1 assigned</x:v>
      </x:c>
      <x:c r="G101" s="99" t="str">
        <x:v>Territory, dependency or special-area record</x:v>
      </x:c>
      <x:c r="H101" s="99" t="str">
        <x:v>Australia</x:v>
      </x:c>
      <x:c r="I101" s="99" t="str">
        <x:v>Antarctic</x:v>
      </x:c>
      <x:c r="J101" s="99" t="str">
        <x:v>Other</x:v>
      </x:c>
      <x:c r="K101" s="99" t="str">
        <x:v>Non-standard/limited commercial service; carrier confirmation mandatory</x:v>
      </x:c>
      <x:c r="L101" s="99" t="str">
        <x:v>UPU/operator contract, bilateral rules, EAD/message versions and serviceability must be validated</x:v>
      </x:c>
      <x:c r="M101" s="99" t="str">
        <x:v>ICAO state rules, PLACI regime, security status, carrier routing and serviceability must be validated</x:v>
      </x:c>
      <x:c r="N101" s="99" t="str">
        <x:v>Country-pack privacy law and transfer mechanism required</x:v>
      </x:c>
      <x:c r="O101" s="99" t="str">
        <x:v>Screen live lists for every applicable nexus; resolve ownership, sectoral, end-use and licence controls</x:v>
      </x:c>
      <x:c r="P101" s="99" t="str">
        <x:v>No static legal conclusion. Validate current national/territorial customs, tax, licensing, product, privacy and carrier sources before activation.</x:v>
      </x:c>
      <x:c r="Q101" s="99" t="str">
        <x:v>BLOCKED until tariff, prohibitions, documents and carrier services approved</x:v>
      </x:c>
      <x:c r="R101" s="99" t="str">
        <x:v>BLOCKED until ICAO/state/operator variations and certified review path approved</x:v>
      </x:c>
      <x:c r="S101" s="99" t="str">
        <x:v>BLOCKED until SPS/agency/temperature rules and external filing path approved</x:v>
      </x:c>
      <x:c r="T101" s="99" t="str">
        <x:v>BLOCKED until product/site/importer authorizations and quality path approved</x:v>
      </x:c>
      <x:c r="U101" s="99" t="str">
        <x:v>BLOCKED until excise/licences/age/carrier contract approved</x:v>
      </x:c>
      <x:c r="V101" s="99" t="str">
        <x:v>BLOCKED until classification/end-use/licensing and sanctions path approved</x:v>
      </x:c>
      <x:c r="W101" s="99" t="str">
        <x:v>BLOCKED until provenance/security/insurance/carrier limits approved</x:v>
      </x:c>
      <x:c r="X101" s="99" t="str">
        <x:v>BLOCKED until purpose, values, relief evidence and restrictions approved</x:v>
      </x:c>
      <x:c r="Y101" s="103" t="b">
        <x:v>0</x:v>
      </x:c>
      <x:c r="Z101" s="103" t="b">
        <x:v>0</x:v>
      </x:c>
      <x:c r="AA101" s="103" t="b">
        <x:v>0</x:v>
      </x:c>
      <x:c r="AB101" s="103" t="b">
        <x:v>0</x:v>
      </x:c>
      <x:c r="AC101" s="103" t="b">
        <x:v>0</x:v>
      </x:c>
      <x:c r="AD101" s="106" t="str">
        <x:v>BLOCKED_PENDING_VALIDATION</x:v>
      </x:c>
      <x:c r="AE101" s="99" t="str">
        <x:v>NOT_STARTED</x:v>
      </x:c>
      <x:c r="AF101" s="99" t="str">
        <x:v>Unassigned country-pack owner</x:v>
      </x:c>
      <x:c r="AG101" s="99" t="str">
        <x:v>SRC-CUS-001, SRC-CUS-005, SRC-CUS-007, SRC-DAT-001, SRC-POST-001, SRC-PRV-001</x:v>
      </x:c>
      <x:c r="AH101" s="99" t="str">
        <x:v>2026-07-25</x:v>
      </x:c>
      <x:c r="AI101" s="99" t="str">
        <x:v>2026-08-25</x:v>
      </x:c>
      <x:c r="AJ101" s="99" t="str">
        <x:v>Registry coverage only. Production readiness is capability-specific and requires the release checklist.</x:v>
      </x:c>
    </x:row>
    <x:row r="102" ht="54" customHeight="1">
      <x:c r="A102" s="97" t="str">
        <x:v>CP-HN</x:v>
      </x:c>
      <x:c r="B102" s="97" t="str">
        <x:v>Honduras</x:v>
      </x:c>
      <x:c r="C102" s="97" t="str">
        <x:v>HN</x:v>
      </x:c>
      <x:c r="D102" s="97" t="str">
        <x:v>HND</x:v>
      </x:c>
      <x:c r="E102" s="97" t="str">
        <x:v>340</x:v>
      </x:c>
      <x:c r="F102" s="97" t="str">
        <x:v>ISO 3166-1 assigned</x:v>
      </x:c>
      <x:c r="G102" s="97" t="str">
        <x:v>Independent state</x:v>
      </x:c>
      <x:c r="H102" s="97" t="str">
        <x:v>Self-administered for pack indexing; legal status follows authoritative sources</x:v>
      </x:c>
      <x:c r="I102" s="97" t="str">
        <x:v>Americas</x:v>
      </x:c>
      <x:c r="J102" s="97" t="str">
        <x:v>Central America</x:v>
      </x:c>
      <x:c r="K102" s="97" t="str">
        <x:v>National/territorial customs framework—local validation required</x:v>
      </x:c>
      <x:c r="L102" s="97" t="str">
        <x:v>UPU/operator contract, bilateral rules, EAD/message versions and serviceability must be validated</x:v>
      </x:c>
      <x:c r="M102" s="97" t="str">
        <x:v>ICAO state rules, PLACI regime, security status, carrier routing and serviceability must be validated</x:v>
      </x:c>
      <x:c r="N102" s="97" t="str">
        <x:v>Country-pack privacy law and transfer mechanism required</x:v>
      </x:c>
      <x:c r="O102" s="97" t="str">
        <x:v>Screen live lists for every applicable nexus; resolve ownership, sectoral, end-use and licence controls</x:v>
      </x:c>
      <x:c r="P102" s="97" t="str">
        <x:v>No static legal conclusion. Validate current national/territorial customs, tax, licensing, product, privacy and carrier sources before activation.</x:v>
      </x:c>
      <x:c r="Q102" s="97" t="str">
        <x:v>BLOCKED until tariff, prohibitions, documents and carrier services approved</x:v>
      </x:c>
      <x:c r="R102" s="97" t="str">
        <x:v>BLOCKED until ICAO/state/operator variations and certified review path approved</x:v>
      </x:c>
      <x:c r="S102" s="97" t="str">
        <x:v>BLOCKED until SPS/agency/temperature rules and external filing path approved</x:v>
      </x:c>
      <x:c r="T102" s="97" t="str">
        <x:v>BLOCKED until product/site/importer authorizations and quality path approved</x:v>
      </x:c>
      <x:c r="U102" s="97" t="str">
        <x:v>BLOCKED until excise/licences/age/carrier contract approved</x:v>
      </x:c>
      <x:c r="V102" s="97" t="str">
        <x:v>BLOCKED until classification/end-use/licensing and sanctions path approved</x:v>
      </x:c>
      <x:c r="W102" s="97" t="str">
        <x:v>BLOCKED until provenance/security/insurance/carrier limits approved</x:v>
      </x:c>
      <x:c r="X102" s="97" t="str">
        <x:v>BLOCKED until purpose, values, relief evidence and restrictions approved</x:v>
      </x:c>
      <x:c r="Y102" s="104" t="b">
        <x:v>0</x:v>
      </x:c>
      <x:c r="Z102" s="104" t="b">
        <x:v>0</x:v>
      </x:c>
      <x:c r="AA102" s="104" t="b">
        <x:v>0</x:v>
      </x:c>
      <x:c r="AB102" s="104" t="b">
        <x:v>0</x:v>
      </x:c>
      <x:c r="AC102" s="104" t="b">
        <x:v>0</x:v>
      </x:c>
      <x:c r="AD102" s="106" t="str">
        <x:v>BLOCKED_PENDING_VALIDATION</x:v>
      </x:c>
      <x:c r="AE102" s="97" t="str">
        <x:v>NOT_STARTED</x:v>
      </x:c>
      <x:c r="AF102" s="97" t="str">
        <x:v>Unassigned country-pack owner</x:v>
      </x:c>
      <x:c r="AG102" s="97" t="str">
        <x:v>SRC-CUS-001, SRC-CUS-005, SRC-CUS-007, SRC-DAT-001, SRC-POST-001, SRC-PRV-001</x:v>
      </x:c>
      <x:c r="AH102" s="97" t="str">
        <x:v>2026-07-25</x:v>
      </x:c>
      <x:c r="AI102" s="97" t="str">
        <x:v>2026-08-25</x:v>
      </x:c>
      <x:c r="AJ102" s="97" t="str">
        <x:v>Registry coverage only. Production readiness is capability-specific and requires the release checklist.</x:v>
      </x:c>
    </x:row>
    <x:row r="103" ht="54" customHeight="1">
      <x:c r="A103" s="99" t="str">
        <x:v>CP-HK</x:v>
      </x:c>
      <x:c r="B103" s="99" t="str">
        <x:v>Hong Kong</x:v>
      </x:c>
      <x:c r="C103" s="99" t="str">
        <x:v>HK</x:v>
      </x:c>
      <x:c r="D103" s="99" t="str">
        <x:v>HKG</x:v>
      </x:c>
      <x:c r="E103" s="99" t="str">
        <x:v>344</x:v>
      </x:c>
      <x:c r="F103" s="99" t="str">
        <x:v>ISO 3166-1 assigned</x:v>
      </x:c>
      <x:c r="G103" s="99" t="str">
        <x:v>Territory, dependency or special-area record</x:v>
      </x:c>
      <x:c r="H103" s="99" t="str">
        <x:v>China (special administrative region)</x:v>
      </x:c>
      <x:c r="I103" s="99" t="str">
        <x:v>Asia</x:v>
      </x:c>
      <x:c r="J103" s="99" t="str">
        <x:v>Eastern Asia</x:v>
      </x:c>
      <x:c r="K103" s="99" t="str">
        <x:v>Separate customs territory</x:v>
      </x:c>
      <x:c r="L103" s="99" t="str">
        <x:v>UPU/operator contract, bilateral rules, EAD/message versions and serviceability must be validated</x:v>
      </x:c>
      <x:c r="M103" s="99" t="str">
        <x:v>ICAO state rules, PLACI regime, security status, carrier routing and serviceability must be validated</x:v>
      </x:c>
      <x:c r="N103" s="99" t="str">
        <x:v>Hong Kong PDPO; transfer position must be validated</x:v>
      </x:c>
      <x:c r="O103" s="99" t="str">
        <x:v>Screen live lists for every applicable nexus; resolve ownership, sectoral, end-use and licence controls</x:v>
      </x:c>
      <x:c r="P103" s="99" t="str">
        <x:v>No static legal conclusion. Validate current national/territorial customs, tax, licensing, product, privacy and carrier sources before activation.</x:v>
      </x:c>
      <x:c r="Q103" s="99" t="str">
        <x:v>BLOCKED until tariff, prohibitions, documents and carrier services approved</x:v>
      </x:c>
      <x:c r="R103" s="99" t="str">
        <x:v>BLOCKED until ICAO/state/operator variations and certified review path approved</x:v>
      </x:c>
      <x:c r="S103" s="99" t="str">
        <x:v>BLOCKED until SPS/agency/temperature rules and external filing path approved</x:v>
      </x:c>
      <x:c r="T103" s="99" t="str">
        <x:v>BLOCKED until product/site/importer authorizations and quality path approved</x:v>
      </x:c>
      <x:c r="U103" s="99" t="str">
        <x:v>BLOCKED until excise/licences/age/carrier contract approved</x:v>
      </x:c>
      <x:c r="V103" s="99" t="str">
        <x:v>BLOCKED until classification/end-use/licensing and sanctions path approved</x:v>
      </x:c>
      <x:c r="W103" s="99" t="str">
        <x:v>BLOCKED until provenance/security/insurance/carrier limits approved</x:v>
      </x:c>
      <x:c r="X103" s="99" t="str">
        <x:v>BLOCKED until purpose, values, relief evidence and restrictions approved</x:v>
      </x:c>
      <x:c r="Y103" s="103" t="b">
        <x:v>0</x:v>
      </x:c>
      <x:c r="Z103" s="103" t="b">
        <x:v>0</x:v>
      </x:c>
      <x:c r="AA103" s="103" t="b">
        <x:v>0</x:v>
      </x:c>
      <x:c r="AB103" s="103" t="b">
        <x:v>0</x:v>
      </x:c>
      <x:c r="AC103" s="103" t="b">
        <x:v>0</x:v>
      </x:c>
      <x:c r="AD103" s="106" t="str">
        <x:v>BLOCKED_PENDING_VALIDATION</x:v>
      </x:c>
      <x:c r="AE103" s="99" t="str">
        <x:v>NOT_STARTED</x:v>
      </x:c>
      <x:c r="AF103" s="99" t="str">
        <x:v>Unassigned country-pack owner</x:v>
      </x:c>
      <x:c r="AG103" s="99" t="str">
        <x:v>SRC-CUS-001, SRC-CUS-005, SRC-CUS-007, SRC-DAT-001, SRC-POST-001, SRC-PRV-001</x:v>
      </x:c>
      <x:c r="AH103" s="99" t="str">
        <x:v>2026-07-25</x:v>
      </x:c>
      <x:c r="AI103" s="99" t="str">
        <x:v>2026-08-25</x:v>
      </x:c>
      <x:c r="AJ103" s="99" t="str">
        <x:v>Registry coverage only. Production readiness is capability-specific and requires the release checklist.</x:v>
      </x:c>
    </x:row>
    <x:row r="104" ht="54" customHeight="1">
      <x:c r="A104" s="97" t="str">
        <x:v>CP-HU</x:v>
      </x:c>
      <x:c r="B104" s="97" t="str">
        <x:v>Hungary</x:v>
      </x:c>
      <x:c r="C104" s="97" t="str">
        <x:v>HU</x:v>
      </x:c>
      <x:c r="D104" s="97" t="str">
        <x:v>HUN</x:v>
      </x:c>
      <x:c r="E104" s="97" t="str">
        <x:v>348</x:v>
      </x:c>
      <x:c r="F104" s="97" t="str">
        <x:v>ISO 3166-1 assigned</x:v>
      </x:c>
      <x:c r="G104" s="97" t="str">
        <x:v>Independent state</x:v>
      </x:c>
      <x:c r="H104" s="97" t="str">
        <x:v>Self-administered for pack indexing; legal status follows authoritative sources</x:v>
      </x:c>
      <x:c r="I104" s="97" t="str">
        <x:v>Europe</x:v>
      </x:c>
      <x:c r="J104" s="97" t="str">
        <x:v>Central Europe</x:v>
      </x:c>
      <x:c r="K104" s="97" t="str">
        <x:v>EU customs framework; validate special fiscal/customs territory</x:v>
      </x:c>
      <x:c r="L104" s="97" t="str">
        <x:v>UPU/operator contract, bilateral rules, EAD/message versions and serviceability must be validated</x:v>
      </x:c>
      <x:c r="M104" s="97" t="str">
        <x:v>ICAO state rules, PLACI regime, security status, carrier routing and serviceability must be validated</x:v>
      </x:c>
      <x:c r="N104" s="97" t="str">
        <x:v>GDPR/EEA transfer controls; local supplements</x:v>
      </x:c>
      <x:c r="O104" s="97" t="str">
        <x:v>Screen live lists for every applicable nexus; resolve ownership, sectoral, end-use and licence controls</x:v>
      </x:c>
      <x:c r="P104" s="97" t="str">
        <x:v>EU baseline: ICS2/ENS and current low-value/VAT rules; member and special-territory validation still required.</x:v>
      </x:c>
      <x:c r="Q104" s="97" t="str">
        <x:v>BLOCKED until tariff, prohibitions, documents and carrier services approved</x:v>
      </x:c>
      <x:c r="R104" s="97" t="str">
        <x:v>BLOCKED until ICAO/state/operator variations and certified review path approved</x:v>
      </x:c>
      <x:c r="S104" s="97" t="str">
        <x:v>BLOCKED until SPS/agency/temperature rules and external filing path approved</x:v>
      </x:c>
      <x:c r="T104" s="97" t="str">
        <x:v>BLOCKED until product/site/importer authorizations and quality path approved</x:v>
      </x:c>
      <x:c r="U104" s="97" t="str">
        <x:v>BLOCKED until excise/licences/age/carrier contract approved</x:v>
      </x:c>
      <x:c r="V104" s="97" t="str">
        <x:v>BLOCKED until classification/end-use/licensing and sanctions path approved</x:v>
      </x:c>
      <x:c r="W104" s="97" t="str">
        <x:v>BLOCKED until provenance/security/insurance/carrier limits approved</x:v>
      </x:c>
      <x:c r="X104" s="97" t="str">
        <x:v>BLOCKED until purpose, values, relief evidence and restrictions approved</x:v>
      </x:c>
      <x:c r="Y104" s="104" t="b">
        <x:v>0</x:v>
      </x:c>
      <x:c r="Z104" s="104" t="b">
        <x:v>0</x:v>
      </x:c>
      <x:c r="AA104" s="104" t="b">
        <x:v>0</x:v>
      </x:c>
      <x:c r="AB104" s="104" t="b">
        <x:v>0</x:v>
      </x:c>
      <x:c r="AC104" s="104" t="b">
        <x:v>0</x:v>
      </x:c>
      <x:c r="AD104" s="106" t="str">
        <x:v>BLOCKED_PENDING_VALIDATION</x:v>
      </x:c>
      <x:c r="AE104" s="97" t="str">
        <x:v>NOT_STARTED</x:v>
      </x:c>
      <x:c r="AF104" s="97" t="str">
        <x:v>Unassigned country-pack owner</x:v>
      </x:c>
      <x:c r="AG104" s="97" t="str">
        <x:v>SRC-CUS-001, SRC-CUS-005, SRC-CUS-007, SRC-DAT-001, SRC-POST-001, SRC-PRV-001, SRC-EU-001, SRC-EU-002, SRC-EU-003, SRC-EU-004, SRC-PRV-002</x:v>
      </x:c>
      <x:c r="AH104" s="97" t="str">
        <x:v>2026-07-25</x:v>
      </x:c>
      <x:c r="AI104" s="97" t="str">
        <x:v>2026-08-25</x:v>
      </x:c>
      <x:c r="AJ104" s="97" t="str">
        <x:v>Registry coverage only. Production readiness is capability-specific and requires the release checklist.</x:v>
      </x:c>
    </x:row>
    <x:row r="105" ht="54" customHeight="1">
      <x:c r="A105" s="99" t="str">
        <x:v>CP-IS</x:v>
      </x:c>
      <x:c r="B105" s="99" t="str">
        <x:v>Iceland</x:v>
      </x:c>
      <x:c r="C105" s="99" t="str">
        <x:v>IS</x:v>
      </x:c>
      <x:c r="D105" s="99" t="str">
        <x:v>ISL</x:v>
      </x:c>
      <x:c r="E105" s="99" t="str">
        <x:v>352</x:v>
      </x:c>
      <x:c r="F105" s="99" t="str">
        <x:v>ISO 3166-1 assigned</x:v>
      </x:c>
      <x:c r="G105" s="99" t="str">
        <x:v>Independent state</x:v>
      </x:c>
      <x:c r="H105" s="99" t="str">
        <x:v>Self-administered for pack indexing; legal status follows authoritative sources</x:v>
      </x:c>
      <x:c r="I105" s="99" t="str">
        <x:v>Europe</x:v>
      </x:c>
      <x:c r="J105" s="99" t="str">
        <x:v>Northern Europe</x:v>
      </x:c>
      <x:c r="K105" s="99" t="str">
        <x:v>EEA/EFTA; not EU customs territory</x:v>
      </x:c>
      <x:c r="L105" s="99" t="str">
        <x:v>UPU/operator contract, bilateral rules, EAD/message versions and serviceability must be validated</x:v>
      </x:c>
      <x:c r="M105" s="99" t="str">
        <x:v>ICAO state rules, PLACI regime, security status, carrier routing and serviceability must be validated</x:v>
      </x:c>
      <x:c r="N105" s="99" t="str">
        <x:v>GDPR/EEA transfer controls; local supplements</x:v>
      </x:c>
      <x:c r="O105" s="99" t="str">
        <x:v>Screen live lists for every applicable nexus; resolve ownership, sectoral, end-use and licence controls</x:v>
      </x:c>
      <x:c r="P105" s="99" t="str">
        <x:v>No static legal conclusion. Validate current national/territorial customs, tax, licensing, product, privacy and carrier sources before activation.</x:v>
      </x:c>
      <x:c r="Q105" s="99" t="str">
        <x:v>BLOCKED until tariff, prohibitions, documents and carrier services approved</x:v>
      </x:c>
      <x:c r="R105" s="99" t="str">
        <x:v>BLOCKED until ICAO/state/operator variations and certified review path approved</x:v>
      </x:c>
      <x:c r="S105" s="99" t="str">
        <x:v>BLOCKED until SPS/agency/temperature rules and external filing path approved</x:v>
      </x:c>
      <x:c r="T105" s="99" t="str">
        <x:v>BLOCKED until product/site/importer authorizations and quality path approved</x:v>
      </x:c>
      <x:c r="U105" s="99" t="str">
        <x:v>BLOCKED until excise/licences/age/carrier contract approved</x:v>
      </x:c>
      <x:c r="V105" s="99" t="str">
        <x:v>BLOCKED until classification/end-use/licensing and sanctions path approved</x:v>
      </x:c>
      <x:c r="W105" s="99" t="str">
        <x:v>BLOCKED until provenance/security/insurance/carrier limits approved</x:v>
      </x:c>
      <x:c r="X105" s="99" t="str">
        <x:v>BLOCKED until purpose, values, relief evidence and restrictions approved</x:v>
      </x:c>
      <x:c r="Y105" s="103" t="b">
        <x:v>0</x:v>
      </x:c>
      <x:c r="Z105" s="103" t="b">
        <x:v>0</x:v>
      </x:c>
      <x:c r="AA105" s="103" t="b">
        <x:v>0</x:v>
      </x:c>
      <x:c r="AB105" s="103" t="b">
        <x:v>0</x:v>
      </x:c>
      <x:c r="AC105" s="103" t="b">
        <x:v>0</x:v>
      </x:c>
      <x:c r="AD105" s="106" t="str">
        <x:v>BLOCKED_PENDING_VALIDATION</x:v>
      </x:c>
      <x:c r="AE105" s="99" t="str">
        <x:v>NOT_STARTED</x:v>
      </x:c>
      <x:c r="AF105" s="99" t="str">
        <x:v>Unassigned country-pack owner</x:v>
      </x:c>
      <x:c r="AG105" s="99" t="str">
        <x:v>SRC-CUS-001, SRC-CUS-005, SRC-CUS-007, SRC-DAT-001, SRC-POST-001, SRC-PRV-001</x:v>
      </x:c>
      <x:c r="AH105" s="99" t="str">
        <x:v>2026-07-25</x:v>
      </x:c>
      <x:c r="AI105" s="99" t="str">
        <x:v>2026-08-25</x:v>
      </x:c>
      <x:c r="AJ105" s="99" t="str">
        <x:v>Registry coverage only. Production readiness is capability-specific and requires the release checklist.</x:v>
      </x:c>
    </x:row>
    <x:row r="106" ht="54" customHeight="1">
      <x:c r="A106" s="97" t="str">
        <x:v>CP-IN</x:v>
      </x:c>
      <x:c r="B106" s="97" t="str">
        <x:v>India</x:v>
      </x:c>
      <x:c r="C106" s="97" t="str">
        <x:v>IN</x:v>
      </x:c>
      <x:c r="D106" s="97" t="str">
        <x:v>IND</x:v>
      </x:c>
      <x:c r="E106" s="97" t="str">
        <x:v>356</x:v>
      </x:c>
      <x:c r="F106" s="97" t="str">
        <x:v>ISO 3166-1 assigned</x:v>
      </x:c>
      <x:c r="G106" s="97" t="str">
        <x:v>Independent state</x:v>
      </x:c>
      <x:c r="H106" s="97" t="str">
        <x:v>Self-administered for pack indexing; legal status follows authoritative sources</x:v>
      </x:c>
      <x:c r="I106" s="97" t="str">
        <x:v>Asia</x:v>
      </x:c>
      <x:c r="J106" s="97" t="str">
        <x:v>Southern Asia</x:v>
      </x:c>
      <x:c r="K106" s="97" t="str">
        <x:v>National/territorial customs framework—local validation required</x:v>
      </x:c>
      <x:c r="L106" s="97" t="str">
        <x:v>UPU/operator contract, bilateral rules, EAD/message versions and serviceability must be validated</x:v>
      </x:c>
      <x:c r="M106" s="97" t="str">
        <x:v>ICAO state rules, PLACI regime, security status, carrier routing and serviceability must be validated</x:v>
      </x:c>
      <x:c r="N106" s="97" t="str">
        <x:v>DPDP Act/Rules with staged commencement</x:v>
      </x:c>
      <x:c r="O106" s="97" t="str">
        <x:v>Screen live lists for every applicable nexus; resolve ownership, sectoral, end-use and licence controls</x:v>
      </x:c>
      <x:c r="P106" s="97" t="str">
        <x:v>India baseline: customs/tax/agency rules require national source validation; privacy pack must model staged DPDP Rule commencements.</x:v>
      </x:c>
      <x:c r="Q106" s="97" t="str">
        <x:v>BLOCKED until tariff, prohibitions, documents and carrier services approved</x:v>
      </x:c>
      <x:c r="R106" s="97" t="str">
        <x:v>BLOCKED until ICAO/state/operator variations and certified review path approved</x:v>
      </x:c>
      <x:c r="S106" s="97" t="str">
        <x:v>BLOCKED until SPS/agency/temperature rules and external filing path approved</x:v>
      </x:c>
      <x:c r="T106" s="97" t="str">
        <x:v>BLOCKED until product/site/importer authorizations and quality path approved</x:v>
      </x:c>
      <x:c r="U106" s="97" t="str">
        <x:v>BLOCKED until excise/licences/age/carrier contract approved</x:v>
      </x:c>
      <x:c r="V106" s="97" t="str">
        <x:v>BLOCKED until classification/end-use/licensing and sanctions path approved</x:v>
      </x:c>
      <x:c r="W106" s="97" t="str">
        <x:v>BLOCKED until provenance/security/insurance/carrier limits approved</x:v>
      </x:c>
      <x:c r="X106" s="97" t="str">
        <x:v>BLOCKED until purpose, values, relief evidence and restrictions approved</x:v>
      </x:c>
      <x:c r="Y106" s="104" t="b">
        <x:v>0</x:v>
      </x:c>
      <x:c r="Z106" s="104" t="b">
        <x:v>0</x:v>
      </x:c>
      <x:c r="AA106" s="104" t="b">
        <x:v>0</x:v>
      </x:c>
      <x:c r="AB106" s="104" t="b">
        <x:v>0</x:v>
      </x:c>
      <x:c r="AC106" s="104" t="b">
        <x:v>0</x:v>
      </x:c>
      <x:c r="AD106" s="106" t="str">
        <x:v>BLOCKED_PENDING_VALIDATION</x:v>
      </x:c>
      <x:c r="AE106" s="97" t="str">
        <x:v>NOT_STARTED</x:v>
      </x:c>
      <x:c r="AF106" s="97" t="str">
        <x:v>Unassigned country-pack owner</x:v>
      </x:c>
      <x:c r="AG106" s="97" t="str">
        <x:v>SRC-CUS-001, SRC-CUS-005, SRC-CUS-007, SRC-DAT-001, SRC-POST-001, SRC-PRV-001, SRC-PRV-005</x:v>
      </x:c>
      <x:c r="AH106" s="97" t="str">
        <x:v>2026-07-25</x:v>
      </x:c>
      <x:c r="AI106" s="97" t="str">
        <x:v>2026-08-25</x:v>
      </x:c>
      <x:c r="AJ106" s="97" t="str">
        <x:v>Registry coverage only. Production readiness is capability-specific and requires the release checklist.</x:v>
      </x:c>
    </x:row>
    <x:row r="107" ht="54" customHeight="1">
      <x:c r="A107" s="99" t="str">
        <x:v>CP-ID</x:v>
      </x:c>
      <x:c r="B107" s="99" t="str">
        <x:v>Indonesia</x:v>
      </x:c>
      <x:c r="C107" s="99" t="str">
        <x:v>ID</x:v>
      </x:c>
      <x:c r="D107" s="99" t="str">
        <x:v>IDN</x:v>
      </x:c>
      <x:c r="E107" s="99" t="str">
        <x:v>360</x:v>
      </x:c>
      <x:c r="F107" s="99" t="str">
        <x:v>ISO 3166-1 assigned</x:v>
      </x:c>
      <x:c r="G107" s="99" t="str">
        <x:v>Independent state</x:v>
      </x:c>
      <x:c r="H107" s="99" t="str">
        <x:v>Self-administered for pack indexing; legal status follows authoritative sources</x:v>
      </x:c>
      <x:c r="I107" s="99" t="str">
        <x:v>Asia</x:v>
      </x:c>
      <x:c r="J107" s="99" t="str">
        <x:v>South-Eastern Asia</x:v>
      </x:c>
      <x:c r="K107" s="99" t="str">
        <x:v>National/territorial customs framework—local validation required</x:v>
      </x:c>
      <x:c r="L107" s="99" t="str">
        <x:v>UPU/operator contract, bilateral rules, EAD/message versions and serviceability must be validated</x:v>
      </x:c>
      <x:c r="M107" s="99" t="str">
        <x:v>ICAO state rules, PLACI regime, security status, carrier routing and serviceability must be validated</x:v>
      </x:c>
      <x:c r="N107" s="99" t="str">
        <x:v>Country-pack privacy law and transfer mechanism required</x:v>
      </x:c>
      <x:c r="O107" s="99" t="str">
        <x:v>Screen live lists for every applicable nexus; resolve ownership, sectoral, end-use and licence controls</x:v>
      </x:c>
      <x:c r="P107" s="99" t="str">
        <x:v>No static legal conclusion. Validate current national/territorial customs, tax, licensing, product, privacy and carrier sources before activation.</x:v>
      </x:c>
      <x:c r="Q107" s="99" t="str">
        <x:v>BLOCKED until tariff, prohibitions, documents and carrier services approved</x:v>
      </x:c>
      <x:c r="R107" s="99" t="str">
        <x:v>BLOCKED until ICAO/state/operator variations and certified review path approved</x:v>
      </x:c>
      <x:c r="S107" s="99" t="str">
        <x:v>BLOCKED until SPS/agency/temperature rules and external filing path approved</x:v>
      </x:c>
      <x:c r="T107" s="99" t="str">
        <x:v>BLOCKED until product/site/importer authorizations and quality path approved</x:v>
      </x:c>
      <x:c r="U107" s="99" t="str">
        <x:v>BLOCKED until excise/licences/age/carrier contract approved</x:v>
      </x:c>
      <x:c r="V107" s="99" t="str">
        <x:v>BLOCKED until classification/end-use/licensing and sanctions path approved</x:v>
      </x:c>
      <x:c r="W107" s="99" t="str">
        <x:v>BLOCKED until provenance/security/insurance/carrier limits approved</x:v>
      </x:c>
      <x:c r="X107" s="99" t="str">
        <x:v>BLOCKED until purpose, values, relief evidence and restrictions approved</x:v>
      </x:c>
      <x:c r="Y107" s="103" t="b">
        <x:v>0</x:v>
      </x:c>
      <x:c r="Z107" s="103" t="b">
        <x:v>0</x:v>
      </x:c>
      <x:c r="AA107" s="103" t="b">
        <x:v>0</x:v>
      </x:c>
      <x:c r="AB107" s="103" t="b">
        <x:v>0</x:v>
      </x:c>
      <x:c r="AC107" s="103" t="b">
        <x:v>0</x:v>
      </x:c>
      <x:c r="AD107" s="106" t="str">
        <x:v>BLOCKED_PENDING_VALIDATION</x:v>
      </x:c>
      <x:c r="AE107" s="99" t="str">
        <x:v>NOT_STARTED</x:v>
      </x:c>
      <x:c r="AF107" s="99" t="str">
        <x:v>Unassigned country-pack owner</x:v>
      </x:c>
      <x:c r="AG107" s="99" t="str">
        <x:v>SRC-CUS-001, SRC-CUS-005, SRC-CUS-007, SRC-DAT-001, SRC-POST-001, SRC-PRV-001</x:v>
      </x:c>
      <x:c r="AH107" s="99" t="str">
        <x:v>2026-07-25</x:v>
      </x:c>
      <x:c r="AI107" s="99" t="str">
        <x:v>2026-08-25</x:v>
      </x:c>
      <x:c r="AJ107" s="99" t="str">
        <x:v>Registry coverage only. Production readiness is capability-specific and requires the release checklist.</x:v>
      </x:c>
    </x:row>
    <x:row r="108" ht="54" customHeight="1">
      <x:c r="A108" s="97" t="str">
        <x:v>CP-IR</x:v>
      </x:c>
      <x:c r="B108" s="97" t="str">
        <x:v>Iran</x:v>
      </x:c>
      <x:c r="C108" s="97" t="str">
        <x:v>IR</x:v>
      </x:c>
      <x:c r="D108" s="97" t="str">
        <x:v>IRN</x:v>
      </x:c>
      <x:c r="E108" s="97" t="str">
        <x:v>364</x:v>
      </x:c>
      <x:c r="F108" s="97" t="str">
        <x:v>ISO 3166-1 assigned</x:v>
      </x:c>
      <x:c r="G108" s="97" t="str">
        <x:v>Independent state</x:v>
      </x:c>
      <x:c r="H108" s="97" t="str">
        <x:v>Self-administered for pack indexing; legal status follows authoritative sources</x:v>
      </x:c>
      <x:c r="I108" s="97" t="str">
        <x:v>Asia</x:v>
      </x:c>
      <x:c r="J108" s="97" t="str">
        <x:v>Southern Asia</x:v>
      </x:c>
      <x:c r="K108" s="97" t="str">
        <x:v>National/territorial customs framework—local validation required</x:v>
      </x:c>
      <x:c r="L108" s="97" t="str">
        <x:v>UPU/operator contract, bilateral rules, EAD/message versions and serviceability must be validated</x:v>
      </x:c>
      <x:c r="M108" s="97" t="str">
        <x:v>ICAO state rules, PLACI regime, security status, carrier routing and serviceability must be validated</x:v>
      </x:c>
      <x:c r="N108" s="97" t="str">
        <x:v>Country-pack privacy law and transfer mechanism required</x:v>
      </x:c>
      <x:c r="O108" s="97" t="str">
        <x:v>Screen live lists for every applicable nexus; resolve ownership, sectoral, end-use and licence controls</x:v>
      </x:c>
      <x:c r="P108" s="97" t="str">
        <x:v>No static legal conclusion. Validate current national/territorial customs, tax, licensing, product, privacy and carrier sources before activation.</x:v>
      </x:c>
      <x:c r="Q108" s="97" t="str">
        <x:v>BLOCKED until tariff, prohibitions, documents and carrier services approved</x:v>
      </x:c>
      <x:c r="R108" s="97" t="str">
        <x:v>BLOCKED until ICAO/state/operator variations and certified review path approved</x:v>
      </x:c>
      <x:c r="S108" s="97" t="str">
        <x:v>BLOCKED until SPS/agency/temperature rules and external filing path approved</x:v>
      </x:c>
      <x:c r="T108" s="97" t="str">
        <x:v>BLOCKED until product/site/importer authorizations and quality path approved</x:v>
      </x:c>
      <x:c r="U108" s="97" t="str">
        <x:v>BLOCKED until excise/licences/age/carrier contract approved</x:v>
      </x:c>
      <x:c r="V108" s="97" t="str">
        <x:v>BLOCKED until classification/end-use/licensing and sanctions path approved</x:v>
      </x:c>
      <x:c r="W108" s="97" t="str">
        <x:v>BLOCKED until provenance/security/insurance/carrier limits approved</x:v>
      </x:c>
      <x:c r="X108" s="97" t="str">
        <x:v>BLOCKED until purpose, values, relief evidence and restrictions approved</x:v>
      </x:c>
      <x:c r="Y108" s="104" t="b">
        <x:v>0</x:v>
      </x:c>
      <x:c r="Z108" s="104" t="b">
        <x:v>0</x:v>
      </x:c>
      <x:c r="AA108" s="104" t="b">
        <x:v>0</x:v>
      </x:c>
      <x:c r="AB108" s="104" t="b">
        <x:v>0</x:v>
      </x:c>
      <x:c r="AC108" s="104" t="b">
        <x:v>0</x:v>
      </x:c>
      <x:c r="AD108" s="106" t="str">
        <x:v>BLOCKED_PENDING_VALIDATION</x:v>
      </x:c>
      <x:c r="AE108" s="97" t="str">
        <x:v>NOT_STARTED</x:v>
      </x:c>
      <x:c r="AF108" s="97" t="str">
        <x:v>Unassigned country-pack owner</x:v>
      </x:c>
      <x:c r="AG108" s="97" t="str">
        <x:v>SRC-CUS-001, SRC-CUS-005, SRC-CUS-007, SRC-DAT-001, SRC-POST-001, SRC-PRV-001</x:v>
      </x:c>
      <x:c r="AH108" s="97" t="str">
        <x:v>2026-07-25</x:v>
      </x:c>
      <x:c r="AI108" s="97" t="str">
        <x:v>2026-08-25</x:v>
      </x:c>
      <x:c r="AJ108" s="97" t="str">
        <x:v>Registry coverage only. Production readiness is capability-specific and requires the release checklist.</x:v>
      </x:c>
    </x:row>
    <x:row r="109" ht="54" customHeight="1">
      <x:c r="A109" s="99" t="str">
        <x:v>CP-IQ</x:v>
      </x:c>
      <x:c r="B109" s="99" t="str">
        <x:v>Iraq</x:v>
      </x:c>
      <x:c r="C109" s="99" t="str">
        <x:v>IQ</x:v>
      </x:c>
      <x:c r="D109" s="99" t="str">
        <x:v>IRQ</x:v>
      </x:c>
      <x:c r="E109" s="99" t="str">
        <x:v>368</x:v>
      </x:c>
      <x:c r="F109" s="99" t="str">
        <x:v>ISO 3166-1 assigned</x:v>
      </x:c>
      <x:c r="G109" s="99" t="str">
        <x:v>Independent state</x:v>
      </x:c>
      <x:c r="H109" s="99" t="str">
        <x:v>Self-administered for pack indexing; legal status follows authoritative sources</x:v>
      </x:c>
      <x:c r="I109" s="99" t="str">
        <x:v>Asia</x:v>
      </x:c>
      <x:c r="J109" s="99" t="str">
        <x:v>Western Asia</x:v>
      </x:c>
      <x:c r="K109" s="99" t="str">
        <x:v>National/territorial customs framework—local validation required</x:v>
      </x:c>
      <x:c r="L109" s="99" t="str">
        <x:v>UPU/operator contract, bilateral rules, EAD/message versions and serviceability must be validated</x:v>
      </x:c>
      <x:c r="M109" s="99" t="str">
        <x:v>ICAO state rules, PLACI regime, security status, carrier routing and serviceability must be validated</x:v>
      </x:c>
      <x:c r="N109" s="99" t="str">
        <x:v>Country-pack privacy law and transfer mechanism required</x:v>
      </x:c>
      <x:c r="O109" s="99" t="str">
        <x:v>Screen live lists for every applicable nexus; resolve ownership, sectoral, end-use and licence controls</x:v>
      </x:c>
      <x:c r="P109" s="99" t="str">
        <x:v>No static legal conclusion. Validate current national/territorial customs, tax, licensing, product, privacy and carrier sources before activation.</x:v>
      </x:c>
      <x:c r="Q109" s="99" t="str">
        <x:v>BLOCKED until tariff, prohibitions, documents and carrier services approved</x:v>
      </x:c>
      <x:c r="R109" s="99" t="str">
        <x:v>BLOCKED until ICAO/state/operator variations and certified review path approved</x:v>
      </x:c>
      <x:c r="S109" s="99" t="str">
        <x:v>BLOCKED until SPS/agency/temperature rules and external filing path approved</x:v>
      </x:c>
      <x:c r="T109" s="99" t="str">
        <x:v>BLOCKED until product/site/importer authorizations and quality path approved</x:v>
      </x:c>
      <x:c r="U109" s="99" t="str">
        <x:v>BLOCKED until excise/licences/age/carrier contract approved</x:v>
      </x:c>
      <x:c r="V109" s="99" t="str">
        <x:v>BLOCKED until classification/end-use/licensing and sanctions path approved</x:v>
      </x:c>
      <x:c r="W109" s="99" t="str">
        <x:v>BLOCKED until provenance/security/insurance/carrier limits approved</x:v>
      </x:c>
      <x:c r="X109" s="99" t="str">
        <x:v>BLOCKED until purpose, values, relief evidence and restrictions approved</x:v>
      </x:c>
      <x:c r="Y109" s="103" t="b">
        <x:v>0</x:v>
      </x:c>
      <x:c r="Z109" s="103" t="b">
        <x:v>0</x:v>
      </x:c>
      <x:c r="AA109" s="103" t="b">
        <x:v>0</x:v>
      </x:c>
      <x:c r="AB109" s="103" t="b">
        <x:v>0</x:v>
      </x:c>
      <x:c r="AC109" s="103" t="b">
        <x:v>0</x:v>
      </x:c>
      <x:c r="AD109" s="106" t="str">
        <x:v>BLOCKED_PENDING_VALIDATION</x:v>
      </x:c>
      <x:c r="AE109" s="99" t="str">
        <x:v>NOT_STARTED</x:v>
      </x:c>
      <x:c r="AF109" s="99" t="str">
        <x:v>Unassigned country-pack owner</x:v>
      </x:c>
      <x:c r="AG109" s="99" t="str">
        <x:v>SRC-CUS-001, SRC-CUS-005, SRC-CUS-007, SRC-DAT-001, SRC-POST-001, SRC-PRV-001</x:v>
      </x:c>
      <x:c r="AH109" s="99" t="str">
        <x:v>2026-07-25</x:v>
      </x:c>
      <x:c r="AI109" s="99" t="str">
        <x:v>2026-08-25</x:v>
      </x:c>
      <x:c r="AJ109" s="99" t="str">
        <x:v>Registry coverage only. Production readiness is capability-specific and requires the release checklist.</x:v>
      </x:c>
    </x:row>
    <x:row r="110" ht="54" customHeight="1">
      <x:c r="A110" s="97" t="str">
        <x:v>CP-IE</x:v>
      </x:c>
      <x:c r="B110" s="97" t="str">
        <x:v>Ireland</x:v>
      </x:c>
      <x:c r="C110" s="97" t="str">
        <x:v>IE</x:v>
      </x:c>
      <x:c r="D110" s="97" t="str">
        <x:v>IRL</x:v>
      </x:c>
      <x:c r="E110" s="97" t="str">
        <x:v>372</x:v>
      </x:c>
      <x:c r="F110" s="97" t="str">
        <x:v>ISO 3166-1 assigned</x:v>
      </x:c>
      <x:c r="G110" s="97" t="str">
        <x:v>Independent state</x:v>
      </x:c>
      <x:c r="H110" s="97" t="str">
        <x:v>Self-administered for pack indexing; legal status follows authoritative sources</x:v>
      </x:c>
      <x:c r="I110" s="97" t="str">
        <x:v>Europe</x:v>
      </x:c>
      <x:c r="J110" s="97" t="str">
        <x:v>Northern Europe</x:v>
      </x:c>
      <x:c r="K110" s="97" t="str">
        <x:v>EU customs framework; validate special fiscal/customs territory</x:v>
      </x:c>
      <x:c r="L110" s="97" t="str">
        <x:v>UPU/operator contract, bilateral rules, EAD/message versions and serviceability must be validated</x:v>
      </x:c>
      <x:c r="M110" s="97" t="str">
        <x:v>ICAO state rules, PLACI regime, security status, carrier routing and serviceability must be validated</x:v>
      </x:c>
      <x:c r="N110" s="97" t="str">
        <x:v>GDPR/EEA transfer controls; local supplements</x:v>
      </x:c>
      <x:c r="O110" s="97" t="str">
        <x:v>Screen live lists for every applicable nexus; resolve ownership, sectoral, end-use and licence controls</x:v>
      </x:c>
      <x:c r="P110" s="97" t="str">
        <x:v>EU baseline: ICS2/ENS and current low-value/VAT rules; member and special-territory validation still required.</x:v>
      </x:c>
      <x:c r="Q110" s="97" t="str">
        <x:v>BLOCKED until tariff, prohibitions, documents and carrier services approved</x:v>
      </x:c>
      <x:c r="R110" s="97" t="str">
        <x:v>BLOCKED until ICAO/state/operator variations and certified review path approved</x:v>
      </x:c>
      <x:c r="S110" s="97" t="str">
        <x:v>BLOCKED until SPS/agency/temperature rules and external filing path approved</x:v>
      </x:c>
      <x:c r="T110" s="97" t="str">
        <x:v>BLOCKED until product/site/importer authorizations and quality path approved</x:v>
      </x:c>
      <x:c r="U110" s="97" t="str">
        <x:v>BLOCKED until excise/licences/age/carrier contract approved</x:v>
      </x:c>
      <x:c r="V110" s="97" t="str">
        <x:v>BLOCKED until classification/end-use/licensing and sanctions path approved</x:v>
      </x:c>
      <x:c r="W110" s="97" t="str">
        <x:v>BLOCKED until provenance/security/insurance/carrier limits approved</x:v>
      </x:c>
      <x:c r="X110" s="97" t="str">
        <x:v>BLOCKED until purpose, values, relief evidence and restrictions approved</x:v>
      </x:c>
      <x:c r="Y110" s="104" t="b">
        <x:v>0</x:v>
      </x:c>
      <x:c r="Z110" s="104" t="b">
        <x:v>0</x:v>
      </x:c>
      <x:c r="AA110" s="104" t="b">
        <x:v>0</x:v>
      </x:c>
      <x:c r="AB110" s="104" t="b">
        <x:v>0</x:v>
      </x:c>
      <x:c r="AC110" s="104" t="b">
        <x:v>0</x:v>
      </x:c>
      <x:c r="AD110" s="106" t="str">
        <x:v>BLOCKED_PENDING_VALIDATION</x:v>
      </x:c>
      <x:c r="AE110" s="97" t="str">
        <x:v>NOT_STARTED</x:v>
      </x:c>
      <x:c r="AF110" s="97" t="str">
        <x:v>Unassigned country-pack owner</x:v>
      </x:c>
      <x:c r="AG110" s="97" t="str">
        <x:v>SRC-CUS-001, SRC-CUS-005, SRC-CUS-007, SRC-DAT-001, SRC-POST-001, SRC-PRV-001, SRC-EU-001, SRC-EU-002, SRC-EU-003, SRC-EU-004, SRC-PRV-002</x:v>
      </x:c>
      <x:c r="AH110" s="97" t="str">
        <x:v>2026-07-25</x:v>
      </x:c>
      <x:c r="AI110" s="97" t="str">
        <x:v>2026-08-25</x:v>
      </x:c>
      <x:c r="AJ110" s="97" t="str">
        <x:v>Registry coverage only. Production readiness is capability-specific and requires the release checklist.</x:v>
      </x:c>
    </x:row>
    <x:row r="111" ht="54" customHeight="1">
      <x:c r="A111" s="99" t="str">
        <x:v>CP-IM</x:v>
      </x:c>
      <x:c r="B111" s="99" t="str">
        <x:v>Isle of Man</x:v>
      </x:c>
      <x:c r="C111" s="99" t="str">
        <x:v>IM</x:v>
      </x:c>
      <x:c r="D111" s="99" t="str">
        <x:v>IMN</x:v>
      </x:c>
      <x:c r="E111" s="99" t="str">
        <x:v>833</x:v>
      </x:c>
      <x:c r="F111" s="99" t="str">
        <x:v>ISO 3166-1 assigned</x:v>
      </x:c>
      <x:c r="G111" s="99" t="str">
        <x:v>Territory, dependency or special-area record</x:v>
      </x:c>
      <x:c r="H111" s="99" t="str">
        <x:v>British Crown dependency</x:v>
      </x:c>
      <x:c r="I111" s="99" t="str">
        <x:v>Europe</x:v>
      </x:c>
      <x:c r="J111" s="99" t="str">
        <x:v>Northern Europe</x:v>
      </x:c>
      <x:c r="K111" s="99" t="str">
        <x:v>National/territorial customs framework—local validation required</x:v>
      </x:c>
      <x:c r="L111" s="99" t="str">
        <x:v>UPU/operator contract, bilateral rules, EAD/message versions and serviceability must be validated</x:v>
      </x:c>
      <x:c r="M111" s="99" t="str">
        <x:v>ICAO state rules, PLACI regime, security status, carrier routing and serviceability must be validated</x:v>
      </x:c>
      <x:c r="N111" s="99" t="str">
        <x:v>Country-pack privacy law and transfer mechanism required</x:v>
      </x:c>
      <x:c r="O111" s="99" t="str">
        <x:v>Screen live lists for every applicable nexus; resolve ownership, sectoral, end-use and licence controls</x:v>
      </x:c>
      <x:c r="P111" s="99" t="str">
        <x:v>No static legal conclusion. Validate current national/territorial customs, tax, licensing, product, privacy and carrier sources before activation.</x:v>
      </x:c>
      <x:c r="Q111" s="99" t="str">
        <x:v>BLOCKED until tariff, prohibitions, documents and carrier services approved</x:v>
      </x:c>
      <x:c r="R111" s="99" t="str">
        <x:v>BLOCKED until ICAO/state/operator variations and certified review path approved</x:v>
      </x:c>
      <x:c r="S111" s="99" t="str">
        <x:v>BLOCKED until SPS/agency/temperature rules and external filing path approved</x:v>
      </x:c>
      <x:c r="T111" s="99" t="str">
        <x:v>BLOCKED until product/site/importer authorizations and quality path approved</x:v>
      </x:c>
      <x:c r="U111" s="99" t="str">
        <x:v>BLOCKED until excise/licences/age/carrier contract approved</x:v>
      </x:c>
      <x:c r="V111" s="99" t="str">
        <x:v>BLOCKED until classification/end-use/licensing and sanctions path approved</x:v>
      </x:c>
      <x:c r="W111" s="99" t="str">
        <x:v>BLOCKED until provenance/security/insurance/carrier limits approved</x:v>
      </x:c>
      <x:c r="X111" s="99" t="str">
        <x:v>BLOCKED until purpose, values, relief evidence and restrictions approved</x:v>
      </x:c>
      <x:c r="Y111" s="103" t="b">
        <x:v>0</x:v>
      </x:c>
      <x:c r="Z111" s="103" t="b">
        <x:v>0</x:v>
      </x:c>
      <x:c r="AA111" s="103" t="b">
        <x:v>0</x:v>
      </x:c>
      <x:c r="AB111" s="103" t="b">
        <x:v>0</x:v>
      </x:c>
      <x:c r="AC111" s="103" t="b">
        <x:v>0</x:v>
      </x:c>
      <x:c r="AD111" s="106" t="str">
        <x:v>BLOCKED_PENDING_VALIDATION</x:v>
      </x:c>
      <x:c r="AE111" s="99" t="str">
        <x:v>NOT_STARTED</x:v>
      </x:c>
      <x:c r="AF111" s="99" t="str">
        <x:v>Unassigned country-pack owner</x:v>
      </x:c>
      <x:c r="AG111" s="99" t="str">
        <x:v>SRC-CUS-001, SRC-CUS-005, SRC-CUS-007, SRC-DAT-001, SRC-POST-001, SRC-PRV-001, SRC-UK-001, SRC-UK-002, SRC-UK-003, SRC-UK-004, SRC-UK-005</x:v>
      </x:c>
      <x:c r="AH111" s="99" t="str">
        <x:v>2026-07-25</x:v>
      </x:c>
      <x:c r="AI111" s="99" t="str">
        <x:v>2026-08-25</x:v>
      </x:c>
      <x:c r="AJ111" s="99" t="str">
        <x:v>Registry coverage only. Production readiness is capability-specific and requires the release checklist.</x:v>
      </x:c>
    </x:row>
    <x:row r="112" ht="54" customHeight="1">
      <x:c r="A112" s="97" t="str">
        <x:v>CP-IL</x:v>
      </x:c>
      <x:c r="B112" s="97" t="str">
        <x:v>Israel</x:v>
      </x:c>
      <x:c r="C112" s="97" t="str">
        <x:v>IL</x:v>
      </x:c>
      <x:c r="D112" s="97" t="str">
        <x:v>ISR</x:v>
      </x:c>
      <x:c r="E112" s="97" t="str">
        <x:v>376</x:v>
      </x:c>
      <x:c r="F112" s="97" t="str">
        <x:v>ISO 3166-1 assigned</x:v>
      </x:c>
      <x:c r="G112" s="97" t="str">
        <x:v>Independent state</x:v>
      </x:c>
      <x:c r="H112" s="97" t="str">
        <x:v>Self-administered for pack indexing; legal status follows authoritative sources</x:v>
      </x:c>
      <x:c r="I112" s="97" t="str">
        <x:v>Asia</x:v>
      </x:c>
      <x:c r="J112" s="97" t="str">
        <x:v>Western Asia</x:v>
      </x:c>
      <x:c r="K112" s="97" t="str">
        <x:v>National/territorial customs framework—local validation required</x:v>
      </x:c>
      <x:c r="L112" s="97" t="str">
        <x:v>UPU/operator contract, bilateral rules, EAD/message versions and serviceability must be validated</x:v>
      </x:c>
      <x:c r="M112" s="97" t="str">
        <x:v>ICAO state rules, PLACI regime, security status, carrier routing and serviceability must be validated</x:v>
      </x:c>
      <x:c r="N112" s="97" t="str">
        <x:v>Country-pack privacy law and transfer mechanism required</x:v>
      </x:c>
      <x:c r="O112" s="97" t="str">
        <x:v>Screen live lists for every applicable nexus; resolve ownership, sectoral, end-use and licence controls</x:v>
      </x:c>
      <x:c r="P112" s="97" t="str">
        <x:v>No static legal conclusion. Validate current national/territorial customs, tax, licensing, product, privacy and carrier sources before activation.</x:v>
      </x:c>
      <x:c r="Q112" s="97" t="str">
        <x:v>BLOCKED until tariff, prohibitions, documents and carrier services approved</x:v>
      </x:c>
      <x:c r="R112" s="97" t="str">
        <x:v>BLOCKED until ICAO/state/operator variations and certified review path approved</x:v>
      </x:c>
      <x:c r="S112" s="97" t="str">
        <x:v>BLOCKED until SPS/agency/temperature rules and external filing path approved</x:v>
      </x:c>
      <x:c r="T112" s="97" t="str">
        <x:v>BLOCKED until product/site/importer authorizations and quality path approved</x:v>
      </x:c>
      <x:c r="U112" s="97" t="str">
        <x:v>BLOCKED until excise/licences/age/carrier contract approved</x:v>
      </x:c>
      <x:c r="V112" s="97" t="str">
        <x:v>BLOCKED until classification/end-use/licensing and sanctions path approved</x:v>
      </x:c>
      <x:c r="W112" s="97" t="str">
        <x:v>BLOCKED until provenance/security/insurance/carrier limits approved</x:v>
      </x:c>
      <x:c r="X112" s="97" t="str">
        <x:v>BLOCKED until purpose, values, relief evidence and restrictions approved</x:v>
      </x:c>
      <x:c r="Y112" s="104" t="b">
        <x:v>0</x:v>
      </x:c>
      <x:c r="Z112" s="104" t="b">
        <x:v>0</x:v>
      </x:c>
      <x:c r="AA112" s="104" t="b">
        <x:v>0</x:v>
      </x:c>
      <x:c r="AB112" s="104" t="b">
        <x:v>0</x:v>
      </x:c>
      <x:c r="AC112" s="104" t="b">
        <x:v>0</x:v>
      </x:c>
      <x:c r="AD112" s="106" t="str">
        <x:v>BLOCKED_PENDING_VALIDATION</x:v>
      </x:c>
      <x:c r="AE112" s="97" t="str">
        <x:v>NOT_STARTED</x:v>
      </x:c>
      <x:c r="AF112" s="97" t="str">
        <x:v>Unassigned country-pack owner</x:v>
      </x:c>
      <x:c r="AG112" s="97" t="str">
        <x:v>SRC-CUS-001, SRC-CUS-005, SRC-CUS-007, SRC-DAT-001, SRC-POST-001, SRC-PRV-001</x:v>
      </x:c>
      <x:c r="AH112" s="97" t="str">
        <x:v>2026-07-25</x:v>
      </x:c>
      <x:c r="AI112" s="97" t="str">
        <x:v>2026-08-25</x:v>
      </x:c>
      <x:c r="AJ112" s="97" t="str">
        <x:v>Registry coverage only. Production readiness is capability-specific and requires the release checklist.</x:v>
      </x:c>
    </x:row>
    <x:row r="113" ht="54" customHeight="1">
      <x:c r="A113" s="99" t="str">
        <x:v>CP-IT</x:v>
      </x:c>
      <x:c r="B113" s="99" t="str">
        <x:v>Italy</x:v>
      </x:c>
      <x:c r="C113" s="99" t="str">
        <x:v>IT</x:v>
      </x:c>
      <x:c r="D113" s="99" t="str">
        <x:v>ITA</x:v>
      </x:c>
      <x:c r="E113" s="99" t="str">
        <x:v>380</x:v>
      </x:c>
      <x:c r="F113" s="99" t="str">
        <x:v>ISO 3166-1 assigned</x:v>
      </x:c>
      <x:c r="G113" s="99" t="str">
        <x:v>Independent state</x:v>
      </x:c>
      <x:c r="H113" s="99" t="str">
        <x:v>Self-administered for pack indexing; legal status follows authoritative sources</x:v>
      </x:c>
      <x:c r="I113" s="99" t="str">
        <x:v>Europe</x:v>
      </x:c>
      <x:c r="J113" s="99" t="str">
        <x:v>Southern Europe</x:v>
      </x:c>
      <x:c r="K113" s="99" t="str">
        <x:v>EU customs framework; validate special fiscal/customs territory</x:v>
      </x:c>
      <x:c r="L113" s="99" t="str">
        <x:v>UPU/operator contract, bilateral rules, EAD/message versions and serviceability must be validated</x:v>
      </x:c>
      <x:c r="M113" s="99" t="str">
        <x:v>ICAO state rules, PLACI regime, security status, carrier routing and serviceability must be validated</x:v>
      </x:c>
      <x:c r="N113" s="99" t="str">
        <x:v>GDPR/EEA transfer controls; local supplements</x:v>
      </x:c>
      <x:c r="O113" s="99" t="str">
        <x:v>Screen live lists for every applicable nexus; resolve ownership, sectoral, end-use and licence controls</x:v>
      </x:c>
      <x:c r="P113" s="99" t="str">
        <x:v>EU baseline: ICS2/ENS and current low-value/VAT rules; member and special-territory validation still required.</x:v>
      </x:c>
      <x:c r="Q113" s="99" t="str">
        <x:v>BLOCKED until tariff, prohibitions, documents and carrier services approved</x:v>
      </x:c>
      <x:c r="R113" s="99" t="str">
        <x:v>BLOCKED until ICAO/state/operator variations and certified review path approved</x:v>
      </x:c>
      <x:c r="S113" s="99" t="str">
        <x:v>BLOCKED until SPS/agency/temperature rules and external filing path approved</x:v>
      </x:c>
      <x:c r="T113" s="99" t="str">
        <x:v>BLOCKED until product/site/importer authorizations and quality path approved</x:v>
      </x:c>
      <x:c r="U113" s="99" t="str">
        <x:v>BLOCKED until excise/licences/age/carrier contract approved</x:v>
      </x:c>
      <x:c r="V113" s="99" t="str">
        <x:v>BLOCKED until classification/end-use/licensing and sanctions path approved</x:v>
      </x:c>
      <x:c r="W113" s="99" t="str">
        <x:v>BLOCKED until provenance/security/insurance/carrier limits approved</x:v>
      </x:c>
      <x:c r="X113" s="99" t="str">
        <x:v>BLOCKED until purpose, values, relief evidence and restrictions approved</x:v>
      </x:c>
      <x:c r="Y113" s="103" t="b">
        <x:v>0</x:v>
      </x:c>
      <x:c r="Z113" s="103" t="b">
        <x:v>0</x:v>
      </x:c>
      <x:c r="AA113" s="103" t="b">
        <x:v>0</x:v>
      </x:c>
      <x:c r="AB113" s="103" t="b">
        <x:v>0</x:v>
      </x:c>
      <x:c r="AC113" s="103" t="b">
        <x:v>0</x:v>
      </x:c>
      <x:c r="AD113" s="106" t="str">
        <x:v>BLOCKED_PENDING_VALIDATION</x:v>
      </x:c>
      <x:c r="AE113" s="99" t="str">
        <x:v>NOT_STARTED</x:v>
      </x:c>
      <x:c r="AF113" s="99" t="str">
        <x:v>Unassigned country-pack owner</x:v>
      </x:c>
      <x:c r="AG113" s="99" t="str">
        <x:v>SRC-CUS-001, SRC-CUS-005, SRC-CUS-007, SRC-DAT-001, SRC-POST-001, SRC-PRV-001, SRC-EU-001, SRC-EU-002, SRC-EU-003, SRC-EU-004, SRC-PRV-002</x:v>
      </x:c>
      <x:c r="AH113" s="99" t="str">
        <x:v>2026-07-25</x:v>
      </x:c>
      <x:c r="AI113" s="99" t="str">
        <x:v>2026-08-25</x:v>
      </x:c>
      <x:c r="AJ113" s="99" t="str">
        <x:v>Registry coverage only. Production readiness is capability-specific and requires the release checklist.</x:v>
      </x:c>
    </x:row>
    <x:row r="114" ht="54" customHeight="1">
      <x:c r="A114" s="97" t="str">
        <x:v>CP-CI</x:v>
      </x:c>
      <x:c r="B114" s="97" t="str">
        <x:v>Ivory Coast</x:v>
      </x:c>
      <x:c r="C114" s="97" t="str">
        <x:v>CI</x:v>
      </x:c>
      <x:c r="D114" s="97" t="str">
        <x:v>CIV</x:v>
      </x:c>
      <x:c r="E114" s="97" t="str">
        <x:v>384</x:v>
      </x:c>
      <x:c r="F114" s="97" t="str">
        <x:v>ISO 3166-1 assigned</x:v>
      </x:c>
      <x:c r="G114" s="97" t="str">
        <x:v>Independent state</x:v>
      </x:c>
      <x:c r="H114" s="97" t="str">
        <x:v>Self-administered for pack indexing; legal status follows authoritative sources</x:v>
      </x:c>
      <x:c r="I114" s="97" t="str">
        <x:v>Africa</x:v>
      </x:c>
      <x:c r="J114" s="97" t="str">
        <x:v>Western Africa</x:v>
      </x:c>
      <x:c r="K114" s="97" t="str">
        <x:v>National/territorial customs framework—local validation required</x:v>
      </x:c>
      <x:c r="L114" s="97" t="str">
        <x:v>UPU/operator contract, bilateral rules, EAD/message versions and serviceability must be validated</x:v>
      </x:c>
      <x:c r="M114" s="97" t="str">
        <x:v>ICAO state rules, PLACI regime, security status, carrier routing and serviceability must be validated</x:v>
      </x:c>
      <x:c r="N114" s="97" t="str">
        <x:v>Country-pack privacy law and transfer mechanism required</x:v>
      </x:c>
      <x:c r="O114" s="97" t="str">
        <x:v>Screen live lists for every applicable nexus; resolve ownership, sectoral, end-use and licence controls</x:v>
      </x:c>
      <x:c r="P114" s="97" t="str">
        <x:v>No static legal conclusion. Validate current national/territorial customs, tax, licensing, product, privacy and carrier sources before activation.</x:v>
      </x:c>
      <x:c r="Q114" s="97" t="str">
        <x:v>BLOCKED until tariff, prohibitions, documents and carrier services approved</x:v>
      </x:c>
      <x:c r="R114" s="97" t="str">
        <x:v>BLOCKED until ICAO/state/operator variations and certified review path approved</x:v>
      </x:c>
      <x:c r="S114" s="97" t="str">
        <x:v>BLOCKED until SPS/agency/temperature rules and external filing path approved</x:v>
      </x:c>
      <x:c r="T114" s="97" t="str">
        <x:v>BLOCKED until product/site/importer authorizations and quality path approved</x:v>
      </x:c>
      <x:c r="U114" s="97" t="str">
        <x:v>BLOCKED until excise/licences/age/carrier contract approved</x:v>
      </x:c>
      <x:c r="V114" s="97" t="str">
        <x:v>BLOCKED until classification/end-use/licensing and sanctions path approved</x:v>
      </x:c>
      <x:c r="W114" s="97" t="str">
        <x:v>BLOCKED until provenance/security/insurance/carrier limits approved</x:v>
      </x:c>
      <x:c r="X114" s="97" t="str">
        <x:v>BLOCKED until purpose, values, relief evidence and restrictions approved</x:v>
      </x:c>
      <x:c r="Y114" s="104" t="b">
        <x:v>0</x:v>
      </x:c>
      <x:c r="Z114" s="104" t="b">
        <x:v>0</x:v>
      </x:c>
      <x:c r="AA114" s="104" t="b">
        <x:v>0</x:v>
      </x:c>
      <x:c r="AB114" s="104" t="b">
        <x:v>0</x:v>
      </x:c>
      <x:c r="AC114" s="104" t="b">
        <x:v>0</x:v>
      </x:c>
      <x:c r="AD114" s="106" t="str">
        <x:v>BLOCKED_PENDING_VALIDATION</x:v>
      </x:c>
      <x:c r="AE114" s="97" t="str">
        <x:v>NOT_STARTED</x:v>
      </x:c>
      <x:c r="AF114" s="97" t="str">
        <x:v>Unassigned country-pack owner</x:v>
      </x:c>
      <x:c r="AG114" s="97" t="str">
        <x:v>SRC-CUS-001, SRC-CUS-005, SRC-CUS-007, SRC-DAT-001, SRC-POST-001, SRC-PRV-001</x:v>
      </x:c>
      <x:c r="AH114" s="97" t="str">
        <x:v>2026-07-25</x:v>
      </x:c>
      <x:c r="AI114" s="97" t="str">
        <x:v>2026-08-25</x:v>
      </x:c>
      <x:c r="AJ114" s="97" t="str">
        <x:v>Registry coverage only. Production readiness is capability-specific and requires the release checklist.</x:v>
      </x:c>
    </x:row>
    <x:row r="115" ht="54" customHeight="1">
      <x:c r="A115" s="99" t="str">
        <x:v>CP-JM</x:v>
      </x:c>
      <x:c r="B115" s="99" t="str">
        <x:v>Jamaica</x:v>
      </x:c>
      <x:c r="C115" s="99" t="str">
        <x:v>JM</x:v>
      </x:c>
      <x:c r="D115" s="99" t="str">
        <x:v>JAM</x:v>
      </x:c>
      <x:c r="E115" s="99" t="str">
        <x:v>388</x:v>
      </x:c>
      <x:c r="F115" s="99" t="str">
        <x:v>ISO 3166-1 assigned</x:v>
      </x:c>
      <x:c r="G115" s="99" t="str">
        <x:v>Independent state</x:v>
      </x:c>
      <x:c r="H115" s="99" t="str">
        <x:v>Self-administered for pack indexing; legal status follows authoritative sources</x:v>
      </x:c>
      <x:c r="I115" s="99" t="str">
        <x:v>Americas</x:v>
      </x:c>
      <x:c r="J115" s="99" t="str">
        <x:v>Caribbean</x:v>
      </x:c>
      <x:c r="K115" s="99" t="str">
        <x:v>National/territorial customs framework—local validation required</x:v>
      </x:c>
      <x:c r="L115" s="99" t="str">
        <x:v>UPU/operator contract, bilateral rules, EAD/message versions and serviceability must be validated</x:v>
      </x:c>
      <x:c r="M115" s="99" t="str">
        <x:v>ICAO state rules, PLACI regime, security status, carrier routing and serviceability must be validated</x:v>
      </x:c>
      <x:c r="N115" s="99" t="str">
        <x:v>Country-pack privacy law and transfer mechanism required</x:v>
      </x:c>
      <x:c r="O115" s="99" t="str">
        <x:v>Screen live lists for every applicable nexus; resolve ownership, sectoral, end-use and licence controls</x:v>
      </x:c>
      <x:c r="P115" s="99" t="str">
        <x:v>No static legal conclusion. Validate current national/territorial customs, tax, licensing, product, privacy and carrier sources before activation.</x:v>
      </x:c>
      <x:c r="Q115" s="99" t="str">
        <x:v>BLOCKED until tariff, prohibitions, documents and carrier services approved</x:v>
      </x:c>
      <x:c r="R115" s="99" t="str">
        <x:v>BLOCKED until ICAO/state/operator variations and certified review path approved</x:v>
      </x:c>
      <x:c r="S115" s="99" t="str">
        <x:v>BLOCKED until SPS/agency/temperature rules and external filing path approved</x:v>
      </x:c>
      <x:c r="T115" s="99" t="str">
        <x:v>BLOCKED until product/site/importer authorizations and quality path approved</x:v>
      </x:c>
      <x:c r="U115" s="99" t="str">
        <x:v>BLOCKED until excise/licences/age/carrier contract approved</x:v>
      </x:c>
      <x:c r="V115" s="99" t="str">
        <x:v>BLOCKED until classification/end-use/licensing and sanctions path approved</x:v>
      </x:c>
      <x:c r="W115" s="99" t="str">
        <x:v>BLOCKED until provenance/security/insurance/carrier limits approved</x:v>
      </x:c>
      <x:c r="X115" s="99" t="str">
        <x:v>BLOCKED until purpose, values, relief evidence and restrictions approved</x:v>
      </x:c>
      <x:c r="Y115" s="103" t="b">
        <x:v>0</x:v>
      </x:c>
      <x:c r="Z115" s="103" t="b">
        <x:v>0</x:v>
      </x:c>
      <x:c r="AA115" s="103" t="b">
        <x:v>0</x:v>
      </x:c>
      <x:c r="AB115" s="103" t="b">
        <x:v>0</x:v>
      </x:c>
      <x:c r="AC115" s="103" t="b">
        <x:v>0</x:v>
      </x:c>
      <x:c r="AD115" s="106" t="str">
        <x:v>BLOCKED_PENDING_VALIDATION</x:v>
      </x:c>
      <x:c r="AE115" s="99" t="str">
        <x:v>NOT_STARTED</x:v>
      </x:c>
      <x:c r="AF115" s="99" t="str">
        <x:v>Unassigned country-pack owner</x:v>
      </x:c>
      <x:c r="AG115" s="99" t="str">
        <x:v>SRC-CUS-001, SRC-CUS-005, SRC-CUS-007, SRC-DAT-001, SRC-POST-001, SRC-PRV-001</x:v>
      </x:c>
      <x:c r="AH115" s="99" t="str">
        <x:v>2026-07-25</x:v>
      </x:c>
      <x:c r="AI115" s="99" t="str">
        <x:v>2026-08-25</x:v>
      </x:c>
      <x:c r="AJ115" s="99" t="str">
        <x:v>Registry coverage only. Production readiness is capability-specific and requires the release checklist.</x:v>
      </x:c>
    </x:row>
    <x:row r="116" ht="54" customHeight="1">
      <x:c r="A116" s="97" t="str">
        <x:v>CP-JP</x:v>
      </x:c>
      <x:c r="B116" s="97" t="str">
        <x:v>Japan</x:v>
      </x:c>
      <x:c r="C116" s="97" t="str">
        <x:v>JP</x:v>
      </x:c>
      <x:c r="D116" s="97" t="str">
        <x:v>JPN</x:v>
      </x:c>
      <x:c r="E116" s="97" t="str">
        <x:v>392</x:v>
      </x:c>
      <x:c r="F116" s="97" t="str">
        <x:v>ISO 3166-1 assigned</x:v>
      </x:c>
      <x:c r="G116" s="97" t="str">
        <x:v>Independent state</x:v>
      </x:c>
      <x:c r="H116" s="97" t="str">
        <x:v>Self-administered for pack indexing; legal status follows authoritative sources</x:v>
      </x:c>
      <x:c r="I116" s="97" t="str">
        <x:v>Asia</x:v>
      </x:c>
      <x:c r="J116" s="97" t="str">
        <x:v>Eastern Asia</x:v>
      </x:c>
      <x:c r="K116" s="97" t="str">
        <x:v>National/territorial customs framework—local validation required</x:v>
      </x:c>
      <x:c r="L116" s="97" t="str">
        <x:v>UPU/operator contract, bilateral rules, EAD/message versions and serviceability must be validated</x:v>
      </x:c>
      <x:c r="M116" s="97" t="str">
        <x:v>ICAO state rules, PLACI regime, security status, carrier routing and serviceability must be validated</x:v>
      </x:c>
      <x:c r="N116" s="97" t="str">
        <x:v>APPI</x:v>
      </x:c>
      <x:c r="O116" s="97" t="str">
        <x:v>Screen live lists for every applicable nexus; resolve ownership, sectoral, end-use and licence controls</x:v>
      </x:c>
      <x:c r="P116" s="97" t="str">
        <x:v>No static legal conclusion. Validate current national/territorial customs, tax, licensing, product, privacy and carrier sources before activation.</x:v>
      </x:c>
      <x:c r="Q116" s="97" t="str">
        <x:v>BLOCKED until tariff, prohibitions, documents and carrier services approved</x:v>
      </x:c>
      <x:c r="R116" s="97" t="str">
        <x:v>BLOCKED until ICAO/state/operator variations and certified review path approved</x:v>
      </x:c>
      <x:c r="S116" s="97" t="str">
        <x:v>BLOCKED until SPS/agency/temperature rules and external filing path approved</x:v>
      </x:c>
      <x:c r="T116" s="97" t="str">
        <x:v>BLOCKED until product/site/importer authorizations and quality path approved</x:v>
      </x:c>
      <x:c r="U116" s="97" t="str">
        <x:v>BLOCKED until excise/licences/age/carrier contract approved</x:v>
      </x:c>
      <x:c r="V116" s="97" t="str">
        <x:v>BLOCKED until classification/end-use/licensing and sanctions path approved</x:v>
      </x:c>
      <x:c r="W116" s="97" t="str">
        <x:v>BLOCKED until provenance/security/insurance/carrier limits approved</x:v>
      </x:c>
      <x:c r="X116" s="97" t="str">
        <x:v>BLOCKED until purpose, values, relief evidence and restrictions approved</x:v>
      </x:c>
      <x:c r="Y116" s="104" t="b">
        <x:v>0</x:v>
      </x:c>
      <x:c r="Z116" s="104" t="b">
        <x:v>0</x:v>
      </x:c>
      <x:c r="AA116" s="104" t="b">
        <x:v>0</x:v>
      </x:c>
      <x:c r="AB116" s="104" t="b">
        <x:v>0</x:v>
      </x:c>
      <x:c r="AC116" s="104" t="b">
        <x:v>0</x:v>
      </x:c>
      <x:c r="AD116" s="106" t="str">
        <x:v>BLOCKED_PENDING_VALIDATION</x:v>
      </x:c>
      <x:c r="AE116" s="97" t="str">
        <x:v>NOT_STARTED</x:v>
      </x:c>
      <x:c r="AF116" s="97" t="str">
        <x:v>Unassigned country-pack owner</x:v>
      </x:c>
      <x:c r="AG116" s="97" t="str">
        <x:v>SRC-CUS-001, SRC-CUS-005, SRC-CUS-007, SRC-DAT-001, SRC-POST-001, SRC-PRV-001, SRC-PRV-006</x:v>
      </x:c>
      <x:c r="AH116" s="97" t="str">
        <x:v>2026-07-25</x:v>
      </x:c>
      <x:c r="AI116" s="97" t="str">
        <x:v>2026-08-25</x:v>
      </x:c>
      <x:c r="AJ116" s="97" t="str">
        <x:v>Registry coverage only. Production readiness is capability-specific and requires the release checklist.</x:v>
      </x:c>
    </x:row>
    <x:row r="117" ht="54" customHeight="1">
      <x:c r="A117" s="99" t="str">
        <x:v>CP-JE</x:v>
      </x:c>
      <x:c r="B117" s="99" t="str">
        <x:v>Jersey</x:v>
      </x:c>
      <x:c r="C117" s="99" t="str">
        <x:v>JE</x:v>
      </x:c>
      <x:c r="D117" s="99" t="str">
        <x:v>JEY</x:v>
      </x:c>
      <x:c r="E117" s="99" t="str">
        <x:v>832</x:v>
      </x:c>
      <x:c r="F117" s="99" t="str">
        <x:v>ISO 3166-1 assigned</x:v>
      </x:c>
      <x:c r="G117" s="99" t="str">
        <x:v>Territory, dependency or special-area record</x:v>
      </x:c>
      <x:c r="H117" s="99" t="str">
        <x:v>British Crown dependency</x:v>
      </x:c>
      <x:c r="I117" s="99" t="str">
        <x:v>Europe</x:v>
      </x:c>
      <x:c r="J117" s="99" t="str">
        <x:v>Northern Europe</x:v>
      </x:c>
      <x:c r="K117" s="99" t="str">
        <x:v>National/territorial customs framework—local validation required</x:v>
      </x:c>
      <x:c r="L117" s="99" t="str">
        <x:v>UPU/operator contract, bilateral rules, EAD/message versions and serviceability must be validated</x:v>
      </x:c>
      <x:c r="M117" s="99" t="str">
        <x:v>ICAO state rules, PLACI regime, security status, carrier routing and serviceability must be validated</x:v>
      </x:c>
      <x:c r="N117" s="99" t="str">
        <x:v>Country-pack privacy law and transfer mechanism required</x:v>
      </x:c>
      <x:c r="O117" s="99" t="str">
        <x:v>Screen live lists for every applicable nexus; resolve ownership, sectoral, end-use and licence controls</x:v>
      </x:c>
      <x:c r="P117" s="99" t="str">
        <x:v>No static legal conclusion. Validate current national/territorial customs, tax, licensing, product, privacy and carrier sources before activation.</x:v>
      </x:c>
      <x:c r="Q117" s="99" t="str">
        <x:v>BLOCKED until tariff, prohibitions, documents and carrier services approved</x:v>
      </x:c>
      <x:c r="R117" s="99" t="str">
        <x:v>BLOCKED until ICAO/state/operator variations and certified review path approved</x:v>
      </x:c>
      <x:c r="S117" s="99" t="str">
        <x:v>BLOCKED until SPS/agency/temperature rules and external filing path approved</x:v>
      </x:c>
      <x:c r="T117" s="99" t="str">
        <x:v>BLOCKED until product/site/importer authorizations and quality path approved</x:v>
      </x:c>
      <x:c r="U117" s="99" t="str">
        <x:v>BLOCKED until excise/licences/age/carrier contract approved</x:v>
      </x:c>
      <x:c r="V117" s="99" t="str">
        <x:v>BLOCKED until classification/end-use/licensing and sanctions path approved</x:v>
      </x:c>
      <x:c r="W117" s="99" t="str">
        <x:v>BLOCKED until provenance/security/insurance/carrier limits approved</x:v>
      </x:c>
      <x:c r="X117" s="99" t="str">
        <x:v>BLOCKED until purpose, values, relief evidence and restrictions approved</x:v>
      </x:c>
      <x:c r="Y117" s="103" t="b">
        <x:v>0</x:v>
      </x:c>
      <x:c r="Z117" s="103" t="b">
        <x:v>0</x:v>
      </x:c>
      <x:c r="AA117" s="103" t="b">
        <x:v>0</x:v>
      </x:c>
      <x:c r="AB117" s="103" t="b">
        <x:v>0</x:v>
      </x:c>
      <x:c r="AC117" s="103" t="b">
        <x:v>0</x:v>
      </x:c>
      <x:c r="AD117" s="106" t="str">
        <x:v>BLOCKED_PENDING_VALIDATION</x:v>
      </x:c>
      <x:c r="AE117" s="99" t="str">
        <x:v>NOT_STARTED</x:v>
      </x:c>
      <x:c r="AF117" s="99" t="str">
        <x:v>Unassigned country-pack owner</x:v>
      </x:c>
      <x:c r="AG117" s="99" t="str">
        <x:v>SRC-CUS-001, SRC-CUS-005, SRC-CUS-007, SRC-DAT-001, SRC-POST-001, SRC-PRV-001, SRC-UK-001, SRC-UK-002, SRC-UK-003, SRC-UK-004, SRC-UK-005</x:v>
      </x:c>
      <x:c r="AH117" s="99" t="str">
        <x:v>2026-07-25</x:v>
      </x:c>
      <x:c r="AI117" s="99" t="str">
        <x:v>2026-08-25</x:v>
      </x:c>
      <x:c r="AJ117" s="99" t="str">
        <x:v>Registry coverage only. Production readiness is capability-specific and requires the release checklist.</x:v>
      </x:c>
    </x:row>
    <x:row r="118" ht="54" customHeight="1">
      <x:c r="A118" s="97" t="str">
        <x:v>CP-JO</x:v>
      </x:c>
      <x:c r="B118" s="97" t="str">
        <x:v>Jordan</x:v>
      </x:c>
      <x:c r="C118" s="97" t="str">
        <x:v>JO</x:v>
      </x:c>
      <x:c r="D118" s="97" t="str">
        <x:v>JOR</x:v>
      </x:c>
      <x:c r="E118" s="97" t="str">
        <x:v>400</x:v>
      </x:c>
      <x:c r="F118" s="97" t="str">
        <x:v>ISO 3166-1 assigned</x:v>
      </x:c>
      <x:c r="G118" s="97" t="str">
        <x:v>Independent state</x:v>
      </x:c>
      <x:c r="H118" s="97" t="str">
        <x:v>Self-administered for pack indexing; legal status follows authoritative sources</x:v>
      </x:c>
      <x:c r="I118" s="97" t="str">
        <x:v>Asia</x:v>
      </x:c>
      <x:c r="J118" s="97" t="str">
        <x:v>Western Asia</x:v>
      </x:c>
      <x:c r="K118" s="97" t="str">
        <x:v>National/territorial customs framework—local validation required</x:v>
      </x:c>
      <x:c r="L118" s="97" t="str">
        <x:v>UPU/operator contract, bilateral rules, EAD/message versions and serviceability must be validated</x:v>
      </x:c>
      <x:c r="M118" s="97" t="str">
        <x:v>ICAO state rules, PLACI regime, security status, carrier routing and serviceability must be validated</x:v>
      </x:c>
      <x:c r="N118" s="97" t="str">
        <x:v>Country-pack privacy law and transfer mechanism required</x:v>
      </x:c>
      <x:c r="O118" s="97" t="str">
        <x:v>Screen live lists for every applicable nexus; resolve ownership, sectoral, end-use and licence controls</x:v>
      </x:c>
      <x:c r="P118" s="97" t="str">
        <x:v>No static legal conclusion. Validate current national/territorial customs, tax, licensing, product, privacy and carrier sources before activation.</x:v>
      </x:c>
      <x:c r="Q118" s="97" t="str">
        <x:v>BLOCKED until tariff, prohibitions, documents and carrier services approved</x:v>
      </x:c>
      <x:c r="R118" s="97" t="str">
        <x:v>BLOCKED until ICAO/state/operator variations and certified review path approved</x:v>
      </x:c>
      <x:c r="S118" s="97" t="str">
        <x:v>BLOCKED until SPS/agency/temperature rules and external filing path approved</x:v>
      </x:c>
      <x:c r="T118" s="97" t="str">
        <x:v>BLOCKED until product/site/importer authorizations and quality path approved</x:v>
      </x:c>
      <x:c r="U118" s="97" t="str">
        <x:v>BLOCKED until excise/licences/age/carrier contract approved</x:v>
      </x:c>
      <x:c r="V118" s="97" t="str">
        <x:v>BLOCKED until classification/end-use/licensing and sanctions path approved</x:v>
      </x:c>
      <x:c r="W118" s="97" t="str">
        <x:v>BLOCKED until provenance/security/insurance/carrier limits approved</x:v>
      </x:c>
      <x:c r="X118" s="97" t="str">
        <x:v>BLOCKED until purpose, values, relief evidence and restrictions approved</x:v>
      </x:c>
      <x:c r="Y118" s="104" t="b">
        <x:v>0</x:v>
      </x:c>
      <x:c r="Z118" s="104" t="b">
        <x:v>0</x:v>
      </x:c>
      <x:c r="AA118" s="104" t="b">
        <x:v>0</x:v>
      </x:c>
      <x:c r="AB118" s="104" t="b">
        <x:v>0</x:v>
      </x:c>
      <x:c r="AC118" s="104" t="b">
        <x:v>0</x:v>
      </x:c>
      <x:c r="AD118" s="106" t="str">
        <x:v>BLOCKED_PENDING_VALIDATION</x:v>
      </x:c>
      <x:c r="AE118" s="97" t="str">
        <x:v>NOT_STARTED</x:v>
      </x:c>
      <x:c r="AF118" s="97" t="str">
        <x:v>Unassigned country-pack owner</x:v>
      </x:c>
      <x:c r="AG118" s="97" t="str">
        <x:v>SRC-CUS-001, SRC-CUS-005, SRC-CUS-007, SRC-DAT-001, SRC-POST-001, SRC-PRV-001</x:v>
      </x:c>
      <x:c r="AH118" s="97" t="str">
        <x:v>2026-07-25</x:v>
      </x:c>
      <x:c r="AI118" s="97" t="str">
        <x:v>2026-08-25</x:v>
      </x:c>
      <x:c r="AJ118" s="97" t="str">
        <x:v>Registry coverage only. Production readiness is capability-specific and requires the release checklist.</x:v>
      </x:c>
    </x:row>
    <x:row r="119" ht="54" customHeight="1">
      <x:c r="A119" s="99" t="str">
        <x:v>CP-KZ</x:v>
      </x:c>
      <x:c r="B119" s="99" t="str">
        <x:v>Kazakhstan</x:v>
      </x:c>
      <x:c r="C119" s="99" t="str">
        <x:v>KZ</x:v>
      </x:c>
      <x:c r="D119" s="99" t="str">
        <x:v>KAZ</x:v>
      </x:c>
      <x:c r="E119" s="99" t="str">
        <x:v>398</x:v>
      </x:c>
      <x:c r="F119" s="99" t="str">
        <x:v>ISO 3166-1 assigned</x:v>
      </x:c>
      <x:c r="G119" s="99" t="str">
        <x:v>Independent state</x:v>
      </x:c>
      <x:c r="H119" s="99" t="str">
        <x:v>Self-administered for pack indexing; legal status follows authoritative sources</x:v>
      </x:c>
      <x:c r="I119" s="99" t="str">
        <x:v>Asia</x:v>
      </x:c>
      <x:c r="J119" s="99" t="str">
        <x:v>Central Asia</x:v>
      </x:c>
      <x:c r="K119" s="99" t="str">
        <x:v>EAEU member; national implementation and sanctions nexus required</x:v>
      </x:c>
      <x:c r="L119" s="99" t="str">
        <x:v>UPU/operator contract, bilateral rules, EAD/message versions and serviceability must be validated</x:v>
      </x:c>
      <x:c r="M119" s="99" t="str">
        <x:v>ICAO state rules, PLACI regime, security status, carrier routing and serviceability must be validated</x:v>
      </x:c>
      <x:c r="N119" s="99" t="str">
        <x:v>Country-pack privacy law and transfer mechanism required</x:v>
      </x:c>
      <x:c r="O119" s="99" t="str">
        <x:v>Screen live lists for every applicable nexus; resolve ownership, sectoral, end-use and licence controls</x:v>
      </x:c>
      <x:c r="P119" s="99" t="str">
        <x:v>No static legal conclusion. Validate current national/territorial customs, tax, licensing, product, privacy and carrier sources before activation.</x:v>
      </x:c>
      <x:c r="Q119" s="99" t="str">
        <x:v>BLOCKED until tariff, prohibitions, documents and carrier services approved</x:v>
      </x:c>
      <x:c r="R119" s="99" t="str">
        <x:v>BLOCKED until ICAO/state/operator variations and certified review path approved</x:v>
      </x:c>
      <x:c r="S119" s="99" t="str">
        <x:v>BLOCKED until SPS/agency/temperature rules and external filing path approved</x:v>
      </x:c>
      <x:c r="T119" s="99" t="str">
        <x:v>BLOCKED until product/site/importer authorizations and quality path approved</x:v>
      </x:c>
      <x:c r="U119" s="99" t="str">
        <x:v>BLOCKED until excise/licences/age/carrier contract approved</x:v>
      </x:c>
      <x:c r="V119" s="99" t="str">
        <x:v>BLOCKED until classification/end-use/licensing and sanctions path approved</x:v>
      </x:c>
      <x:c r="W119" s="99" t="str">
        <x:v>BLOCKED until provenance/security/insurance/carrier limits approved</x:v>
      </x:c>
      <x:c r="X119" s="99" t="str">
        <x:v>BLOCKED until purpose, values, relief evidence and restrictions approved</x:v>
      </x:c>
      <x:c r="Y119" s="103" t="b">
        <x:v>0</x:v>
      </x:c>
      <x:c r="Z119" s="103" t="b">
        <x:v>0</x:v>
      </x:c>
      <x:c r="AA119" s="103" t="b">
        <x:v>0</x:v>
      </x:c>
      <x:c r="AB119" s="103" t="b">
        <x:v>0</x:v>
      </x:c>
      <x:c r="AC119" s="103" t="b">
        <x:v>0</x:v>
      </x:c>
      <x:c r="AD119" s="106" t="str">
        <x:v>BLOCKED_PENDING_VALIDATION</x:v>
      </x:c>
      <x:c r="AE119" s="99" t="str">
        <x:v>NOT_STARTED</x:v>
      </x:c>
      <x:c r="AF119" s="99" t="str">
        <x:v>Unassigned country-pack owner</x:v>
      </x:c>
      <x:c r="AG119" s="99" t="str">
        <x:v>SRC-CUS-001, SRC-CUS-005, SRC-CUS-007, SRC-DAT-001, SRC-POST-001, SRC-PRV-001</x:v>
      </x:c>
      <x:c r="AH119" s="99" t="str">
        <x:v>2026-07-25</x:v>
      </x:c>
      <x:c r="AI119" s="99" t="str">
        <x:v>2026-08-25</x:v>
      </x:c>
      <x:c r="AJ119" s="99" t="str">
        <x:v>Registry coverage only. Production readiness is capability-specific and requires the release checklist.</x:v>
      </x:c>
    </x:row>
    <x:row r="120" ht="54" customHeight="1">
      <x:c r="A120" s="97" t="str">
        <x:v>CP-KE</x:v>
      </x:c>
      <x:c r="B120" s="97" t="str">
        <x:v>Kenya</x:v>
      </x:c>
      <x:c r="C120" s="97" t="str">
        <x:v>KE</x:v>
      </x:c>
      <x:c r="D120" s="97" t="str">
        <x:v>KEN</x:v>
      </x:c>
      <x:c r="E120" s="97" t="str">
        <x:v>404</x:v>
      </x:c>
      <x:c r="F120" s="97" t="str">
        <x:v>ISO 3166-1 assigned</x:v>
      </x:c>
      <x:c r="G120" s="97" t="str">
        <x:v>Independent state</x:v>
      </x:c>
      <x:c r="H120" s="97" t="str">
        <x:v>Self-administered for pack indexing; legal status follows authoritative sources</x:v>
      </x:c>
      <x:c r="I120" s="97" t="str">
        <x:v>Africa</x:v>
      </x:c>
      <x:c r="J120" s="97" t="str">
        <x:v>Eastern Africa</x:v>
      </x:c>
      <x:c r="K120" s="97" t="str">
        <x:v>EAC member; national implementation required</x:v>
      </x:c>
      <x:c r="L120" s="97" t="str">
        <x:v>UPU/operator contract, bilateral rules, EAD/message versions and serviceability must be validated</x:v>
      </x:c>
      <x:c r="M120" s="97" t="str">
        <x:v>ICAO state rules, PLACI regime, security status, carrier routing and serviceability must be validated</x:v>
      </x:c>
      <x:c r="N120" s="97" t="str">
        <x:v>Country-pack privacy law and transfer mechanism required</x:v>
      </x:c>
      <x:c r="O120" s="97" t="str">
        <x:v>Screen live lists for every applicable nexus; resolve ownership, sectoral, end-use and licence controls</x:v>
      </x:c>
      <x:c r="P120" s="97" t="str">
        <x:v>No static legal conclusion. Validate current national/territorial customs, tax, licensing, product, privacy and carrier sources before activation.</x:v>
      </x:c>
      <x:c r="Q120" s="97" t="str">
        <x:v>BLOCKED until tariff, prohibitions, documents and carrier services approved</x:v>
      </x:c>
      <x:c r="R120" s="97" t="str">
        <x:v>BLOCKED until ICAO/state/operator variations and certified review path approved</x:v>
      </x:c>
      <x:c r="S120" s="97" t="str">
        <x:v>BLOCKED until SPS/agency/temperature rules and external filing path approved</x:v>
      </x:c>
      <x:c r="T120" s="97" t="str">
        <x:v>BLOCKED until product/site/importer authorizations and quality path approved</x:v>
      </x:c>
      <x:c r="U120" s="97" t="str">
        <x:v>BLOCKED until excise/licences/age/carrier contract approved</x:v>
      </x:c>
      <x:c r="V120" s="97" t="str">
        <x:v>BLOCKED until classification/end-use/licensing and sanctions path approved</x:v>
      </x:c>
      <x:c r="W120" s="97" t="str">
        <x:v>BLOCKED until provenance/security/insurance/carrier limits approved</x:v>
      </x:c>
      <x:c r="X120" s="97" t="str">
        <x:v>BLOCKED until purpose, values, relief evidence and restrictions approved</x:v>
      </x:c>
      <x:c r="Y120" s="104" t="b">
        <x:v>0</x:v>
      </x:c>
      <x:c r="Z120" s="104" t="b">
        <x:v>0</x:v>
      </x:c>
      <x:c r="AA120" s="104" t="b">
        <x:v>0</x:v>
      </x:c>
      <x:c r="AB120" s="104" t="b">
        <x:v>0</x:v>
      </x:c>
      <x:c r="AC120" s="104" t="b">
        <x:v>0</x:v>
      </x:c>
      <x:c r="AD120" s="106" t="str">
        <x:v>BLOCKED_PENDING_VALIDATION</x:v>
      </x:c>
      <x:c r="AE120" s="97" t="str">
        <x:v>NOT_STARTED</x:v>
      </x:c>
      <x:c r="AF120" s="97" t="str">
        <x:v>Unassigned country-pack owner</x:v>
      </x:c>
      <x:c r="AG120" s="97" t="str">
        <x:v>SRC-CUS-001, SRC-CUS-005, SRC-CUS-007, SRC-DAT-001, SRC-POST-001, SRC-PRV-001</x:v>
      </x:c>
      <x:c r="AH120" s="97" t="str">
        <x:v>2026-07-25</x:v>
      </x:c>
      <x:c r="AI120" s="97" t="str">
        <x:v>2026-08-25</x:v>
      </x:c>
      <x:c r="AJ120" s="97" t="str">
        <x:v>Registry coverage only. Production readiness is capability-specific and requires the release checklist.</x:v>
      </x:c>
    </x:row>
    <x:row r="121" ht="54" customHeight="1">
      <x:c r="A121" s="99" t="str">
        <x:v>CP-KI</x:v>
      </x:c>
      <x:c r="B121" s="99" t="str">
        <x:v>Kiribati</x:v>
      </x:c>
      <x:c r="C121" s="99" t="str">
        <x:v>KI</x:v>
      </x:c>
      <x:c r="D121" s="99" t="str">
        <x:v>KIR</x:v>
      </x:c>
      <x:c r="E121" s="99" t="str">
        <x:v>296</x:v>
      </x:c>
      <x:c r="F121" s="99" t="str">
        <x:v>ISO 3166-1 assigned</x:v>
      </x:c>
      <x:c r="G121" s="99" t="str">
        <x:v>Independent state</x:v>
      </x:c>
      <x:c r="H121" s="99" t="str">
        <x:v>Self-administered for pack indexing; legal status follows authoritative sources</x:v>
      </x:c>
      <x:c r="I121" s="99" t="str">
        <x:v>Oceania</x:v>
      </x:c>
      <x:c r="J121" s="99" t="str">
        <x:v>Micronesia</x:v>
      </x:c>
      <x:c r="K121" s="99" t="str">
        <x:v>National/territorial customs framework—local validation required</x:v>
      </x:c>
      <x:c r="L121" s="99" t="str">
        <x:v>UPU/operator contract, bilateral rules, EAD/message versions and serviceability must be validated</x:v>
      </x:c>
      <x:c r="M121" s="99" t="str">
        <x:v>ICAO state rules, PLACI regime, security status, carrier routing and serviceability must be validated</x:v>
      </x:c>
      <x:c r="N121" s="99" t="str">
        <x:v>Country-pack privacy law and transfer mechanism required</x:v>
      </x:c>
      <x:c r="O121" s="99" t="str">
        <x:v>Screen live lists for every applicable nexus; resolve ownership, sectoral, end-use and licence controls</x:v>
      </x:c>
      <x:c r="P121" s="99" t="str">
        <x:v>No static legal conclusion. Validate current national/territorial customs, tax, licensing, product, privacy and carrier sources before activation.</x:v>
      </x:c>
      <x:c r="Q121" s="99" t="str">
        <x:v>BLOCKED until tariff, prohibitions, documents and carrier services approved</x:v>
      </x:c>
      <x:c r="R121" s="99" t="str">
        <x:v>BLOCKED until ICAO/state/operator variations and certified review path approved</x:v>
      </x:c>
      <x:c r="S121" s="99" t="str">
        <x:v>BLOCKED until SPS/agency/temperature rules and external filing path approved</x:v>
      </x:c>
      <x:c r="T121" s="99" t="str">
        <x:v>BLOCKED until product/site/importer authorizations and quality path approved</x:v>
      </x:c>
      <x:c r="U121" s="99" t="str">
        <x:v>BLOCKED until excise/licences/age/carrier contract approved</x:v>
      </x:c>
      <x:c r="V121" s="99" t="str">
        <x:v>BLOCKED until classification/end-use/licensing and sanctions path approved</x:v>
      </x:c>
      <x:c r="W121" s="99" t="str">
        <x:v>BLOCKED until provenance/security/insurance/carrier limits approved</x:v>
      </x:c>
      <x:c r="X121" s="99" t="str">
        <x:v>BLOCKED until purpose, values, relief evidence and restrictions approved</x:v>
      </x:c>
      <x:c r="Y121" s="103" t="b">
        <x:v>0</x:v>
      </x:c>
      <x:c r="Z121" s="103" t="b">
        <x:v>0</x:v>
      </x:c>
      <x:c r="AA121" s="103" t="b">
        <x:v>0</x:v>
      </x:c>
      <x:c r="AB121" s="103" t="b">
        <x:v>0</x:v>
      </x:c>
      <x:c r="AC121" s="103" t="b">
        <x:v>0</x:v>
      </x:c>
      <x:c r="AD121" s="106" t="str">
        <x:v>BLOCKED_PENDING_VALIDATION</x:v>
      </x:c>
      <x:c r="AE121" s="99" t="str">
        <x:v>NOT_STARTED</x:v>
      </x:c>
      <x:c r="AF121" s="99" t="str">
        <x:v>Unassigned country-pack owner</x:v>
      </x:c>
      <x:c r="AG121" s="99" t="str">
        <x:v>SRC-CUS-001, SRC-CUS-005, SRC-CUS-007, SRC-DAT-001, SRC-POST-001, SRC-PRV-001</x:v>
      </x:c>
      <x:c r="AH121" s="99" t="str">
        <x:v>2026-07-25</x:v>
      </x:c>
      <x:c r="AI121" s="99" t="str">
        <x:v>2026-08-25</x:v>
      </x:c>
      <x:c r="AJ121" s="99" t="str">
        <x:v>Registry coverage only. Production readiness is capability-specific and requires the release checklist.</x:v>
      </x:c>
    </x:row>
    <x:row r="122" ht="54" customHeight="1">
      <x:c r="A122" s="97" t="str">
        <x:v>CP-XK</x:v>
      </x:c>
      <x:c r="B122" s="97" t="str">
        <x:v>Kosovo</x:v>
      </x:c>
      <x:c r="C122" s="97" t="str">
        <x:v>XK</x:v>
      </x:c>
      <x:c r="D122" s="97" t="str">
        <x:v>UNK</x:v>
      </x:c>
      <x:c r="E122" s="97" t="str"/>
      <x:c r="F122" s="97" t="str">
        <x:v>User-assigned operational override</x:v>
      </x:c>
      <x:c r="G122" s="97" t="str">
        <x:v>Territory, dependency or special-area record</x:v>
      </x:c>
      <x:c r="H122" s="97" t="str">
        <x:v>Operational code; status to be handled neutrally</x:v>
      </x:c>
      <x:c r="I122" s="97" t="str">
        <x:v>Europe</x:v>
      </x:c>
      <x:c r="J122" s="97" t="str">
        <x:v>Southeast Europe</x:v>
      </x:c>
      <x:c r="K122" s="97" t="str">
        <x:v>National/territorial customs framework—local validation required</x:v>
      </x:c>
      <x:c r="L122" s="97" t="str">
        <x:v>UPU/operator contract, bilateral rules, EAD/message versions and serviceability must be validated</x:v>
      </x:c>
      <x:c r="M122" s="97" t="str">
        <x:v>ICAO state rules, PLACI regime, security status, carrier routing and serviceability must be validated</x:v>
      </x:c>
      <x:c r="N122" s="97" t="str">
        <x:v>Country-pack privacy law and transfer mechanism required</x:v>
      </x:c>
      <x:c r="O122" s="97" t="str">
        <x:v>Screen live lists for every applicable nexus; resolve ownership, sectoral, end-use and licence controls</x:v>
      </x:c>
      <x:c r="P122" s="97" t="str">
        <x:v>No static legal conclusion. Validate current national/territorial customs, tax, licensing, product, privacy and carrier sources before activation.</x:v>
      </x:c>
      <x:c r="Q122" s="97" t="str">
        <x:v>BLOCKED until tariff, prohibitions, documents and carrier services approved</x:v>
      </x:c>
      <x:c r="R122" s="97" t="str">
        <x:v>BLOCKED until ICAO/state/operator variations and certified review path approved</x:v>
      </x:c>
      <x:c r="S122" s="97" t="str">
        <x:v>BLOCKED until SPS/agency/temperature rules and external filing path approved</x:v>
      </x:c>
      <x:c r="T122" s="97" t="str">
        <x:v>BLOCKED until product/site/importer authorizations and quality path approved</x:v>
      </x:c>
      <x:c r="U122" s="97" t="str">
        <x:v>BLOCKED until excise/licences/age/carrier contract approved</x:v>
      </x:c>
      <x:c r="V122" s="97" t="str">
        <x:v>BLOCKED until classification/end-use/licensing and sanctions path approved</x:v>
      </x:c>
      <x:c r="W122" s="97" t="str">
        <x:v>BLOCKED until provenance/security/insurance/carrier limits approved</x:v>
      </x:c>
      <x:c r="X122" s="97" t="str">
        <x:v>BLOCKED until purpose, values, relief evidence and restrictions approved</x:v>
      </x:c>
      <x:c r="Y122" s="104" t="b">
        <x:v>0</x:v>
      </x:c>
      <x:c r="Z122" s="104" t="b">
        <x:v>0</x:v>
      </x:c>
      <x:c r="AA122" s="104" t="b">
        <x:v>0</x:v>
      </x:c>
      <x:c r="AB122" s="104" t="b">
        <x:v>0</x:v>
      </x:c>
      <x:c r="AC122" s="104" t="b">
        <x:v>0</x:v>
      </x:c>
      <x:c r="AD122" s="106" t="str">
        <x:v>BLOCKED_PENDING_VALIDATION</x:v>
      </x:c>
      <x:c r="AE122" s="97" t="str">
        <x:v>NOT_STARTED</x:v>
      </x:c>
      <x:c r="AF122" s="97" t="str">
        <x:v>Unassigned country-pack owner</x:v>
      </x:c>
      <x:c r="AG122" s="97" t="str">
        <x:v>SRC-CUS-001, SRC-CUS-005, SRC-CUS-007, SRC-DAT-001, SRC-POST-001, SRC-PRV-001</x:v>
      </x:c>
      <x:c r="AH122" s="97" t="str">
        <x:v>2026-07-25</x:v>
      </x:c>
      <x:c r="AI122" s="97" t="str">
        <x:v>2026-08-25</x:v>
      </x:c>
      <x:c r="AJ122" s="97" t="str">
        <x:v>Operational code is not an officially assigned ISO 3166-1 code; use only with explicit provider/country-pack mapping.</x:v>
      </x:c>
    </x:row>
    <x:row r="123" ht="54" customHeight="1">
      <x:c r="A123" s="99" t="str">
        <x:v>CP-KW</x:v>
      </x:c>
      <x:c r="B123" s="99" t="str">
        <x:v>Kuwait</x:v>
      </x:c>
      <x:c r="C123" s="99" t="str">
        <x:v>KW</x:v>
      </x:c>
      <x:c r="D123" s="99" t="str">
        <x:v>KWT</x:v>
      </x:c>
      <x:c r="E123" s="99" t="str">
        <x:v>414</x:v>
      </x:c>
      <x:c r="F123" s="99" t="str">
        <x:v>ISO 3166-1 assigned</x:v>
      </x:c>
      <x:c r="G123" s="99" t="str">
        <x:v>Independent state</x:v>
      </x:c>
      <x:c r="H123" s="99" t="str">
        <x:v>Self-administered for pack indexing; legal status follows authoritative sources</x:v>
      </x:c>
      <x:c r="I123" s="99" t="str">
        <x:v>Asia</x:v>
      </x:c>
      <x:c r="J123" s="99" t="str">
        <x:v>Western Asia</x:v>
      </x:c>
      <x:c r="K123" s="99" t="str">
        <x:v>GCC member; national implementation required</x:v>
      </x:c>
      <x:c r="L123" s="99" t="str">
        <x:v>UPU/operator contract, bilateral rules, EAD/message versions and serviceability must be validated</x:v>
      </x:c>
      <x:c r="M123" s="99" t="str">
        <x:v>ICAO state rules, PLACI regime, security status, carrier routing and serviceability must be validated</x:v>
      </x:c>
      <x:c r="N123" s="99" t="str">
        <x:v>Country-pack privacy law and transfer mechanism required</x:v>
      </x:c>
      <x:c r="O123" s="99" t="str">
        <x:v>Screen live lists for every applicable nexus; resolve ownership, sectoral, end-use and licence controls</x:v>
      </x:c>
      <x:c r="P123" s="99" t="str">
        <x:v>No static legal conclusion. Validate current national/territorial customs, tax, licensing, product, privacy and carrier sources before activation.</x:v>
      </x:c>
      <x:c r="Q123" s="99" t="str">
        <x:v>BLOCKED until tariff, prohibitions, documents and carrier services approved</x:v>
      </x:c>
      <x:c r="R123" s="99" t="str">
        <x:v>BLOCKED until ICAO/state/operator variations and certified review path approved</x:v>
      </x:c>
      <x:c r="S123" s="99" t="str">
        <x:v>BLOCKED until SPS/agency/temperature rules and external filing path approved</x:v>
      </x:c>
      <x:c r="T123" s="99" t="str">
        <x:v>BLOCKED until product/site/importer authorizations and quality path approved</x:v>
      </x:c>
      <x:c r="U123" s="99" t="str">
        <x:v>BLOCKED until excise/licences/age/carrier contract approved</x:v>
      </x:c>
      <x:c r="V123" s="99" t="str">
        <x:v>BLOCKED until classification/end-use/licensing and sanctions path approved</x:v>
      </x:c>
      <x:c r="W123" s="99" t="str">
        <x:v>BLOCKED until provenance/security/insurance/carrier limits approved</x:v>
      </x:c>
      <x:c r="X123" s="99" t="str">
        <x:v>BLOCKED until purpose, values, relief evidence and restrictions approved</x:v>
      </x:c>
      <x:c r="Y123" s="103" t="b">
        <x:v>0</x:v>
      </x:c>
      <x:c r="Z123" s="103" t="b">
        <x:v>0</x:v>
      </x:c>
      <x:c r="AA123" s="103" t="b">
        <x:v>0</x:v>
      </x:c>
      <x:c r="AB123" s="103" t="b">
        <x:v>0</x:v>
      </x:c>
      <x:c r="AC123" s="103" t="b">
        <x:v>0</x:v>
      </x:c>
      <x:c r="AD123" s="106" t="str">
        <x:v>BLOCKED_PENDING_VALIDATION</x:v>
      </x:c>
      <x:c r="AE123" s="99" t="str">
        <x:v>NOT_STARTED</x:v>
      </x:c>
      <x:c r="AF123" s="99" t="str">
        <x:v>Unassigned country-pack owner</x:v>
      </x:c>
      <x:c r="AG123" s="99" t="str">
        <x:v>SRC-CUS-001, SRC-CUS-005, SRC-CUS-007, SRC-DAT-001, SRC-POST-001, SRC-PRV-001</x:v>
      </x:c>
      <x:c r="AH123" s="99" t="str">
        <x:v>2026-07-25</x:v>
      </x:c>
      <x:c r="AI123" s="99" t="str">
        <x:v>2026-08-25</x:v>
      </x:c>
      <x:c r="AJ123" s="99" t="str">
        <x:v>Registry coverage only. Production readiness is capability-specific and requires the release checklist.</x:v>
      </x:c>
    </x:row>
    <x:row r="124" ht="54" customHeight="1">
      <x:c r="A124" s="97" t="str">
        <x:v>CP-KG</x:v>
      </x:c>
      <x:c r="B124" s="97" t="str">
        <x:v>Kyrgyzstan</x:v>
      </x:c>
      <x:c r="C124" s="97" t="str">
        <x:v>KG</x:v>
      </x:c>
      <x:c r="D124" s="97" t="str">
        <x:v>KGZ</x:v>
      </x:c>
      <x:c r="E124" s="97" t="str">
        <x:v>417</x:v>
      </x:c>
      <x:c r="F124" s="97" t="str">
        <x:v>ISO 3166-1 assigned</x:v>
      </x:c>
      <x:c r="G124" s="97" t="str">
        <x:v>Independent state</x:v>
      </x:c>
      <x:c r="H124" s="97" t="str">
        <x:v>Self-administered for pack indexing; legal status follows authoritative sources</x:v>
      </x:c>
      <x:c r="I124" s="97" t="str">
        <x:v>Asia</x:v>
      </x:c>
      <x:c r="J124" s="97" t="str">
        <x:v>Central Asia</x:v>
      </x:c>
      <x:c r="K124" s="97" t="str">
        <x:v>EAEU member; national implementation and sanctions nexus required</x:v>
      </x:c>
      <x:c r="L124" s="97" t="str">
        <x:v>UPU/operator contract, bilateral rules, EAD/message versions and serviceability must be validated</x:v>
      </x:c>
      <x:c r="M124" s="97" t="str">
        <x:v>ICAO state rules, PLACI regime, security status, carrier routing and serviceability must be validated</x:v>
      </x:c>
      <x:c r="N124" s="97" t="str">
        <x:v>Country-pack privacy law and transfer mechanism required</x:v>
      </x:c>
      <x:c r="O124" s="97" t="str">
        <x:v>Screen live lists for every applicable nexus; resolve ownership, sectoral, end-use and licence controls</x:v>
      </x:c>
      <x:c r="P124" s="97" t="str">
        <x:v>No static legal conclusion. Validate current national/territorial customs, tax, licensing, product, privacy and carrier sources before activation.</x:v>
      </x:c>
      <x:c r="Q124" s="97" t="str">
        <x:v>BLOCKED until tariff, prohibitions, documents and carrier services approved</x:v>
      </x:c>
      <x:c r="R124" s="97" t="str">
        <x:v>BLOCKED until ICAO/state/operator variations and certified review path approved</x:v>
      </x:c>
      <x:c r="S124" s="97" t="str">
        <x:v>BLOCKED until SPS/agency/temperature rules and external filing path approved</x:v>
      </x:c>
      <x:c r="T124" s="97" t="str">
        <x:v>BLOCKED until product/site/importer authorizations and quality path approved</x:v>
      </x:c>
      <x:c r="U124" s="97" t="str">
        <x:v>BLOCKED until excise/licences/age/carrier contract approved</x:v>
      </x:c>
      <x:c r="V124" s="97" t="str">
        <x:v>BLOCKED until classification/end-use/licensing and sanctions path approved</x:v>
      </x:c>
      <x:c r="W124" s="97" t="str">
        <x:v>BLOCKED until provenance/security/insurance/carrier limits approved</x:v>
      </x:c>
      <x:c r="X124" s="97" t="str">
        <x:v>BLOCKED until purpose, values, relief evidence and restrictions approved</x:v>
      </x:c>
      <x:c r="Y124" s="104" t="b">
        <x:v>0</x:v>
      </x:c>
      <x:c r="Z124" s="104" t="b">
        <x:v>0</x:v>
      </x:c>
      <x:c r="AA124" s="104" t="b">
        <x:v>0</x:v>
      </x:c>
      <x:c r="AB124" s="104" t="b">
        <x:v>0</x:v>
      </x:c>
      <x:c r="AC124" s="104" t="b">
        <x:v>0</x:v>
      </x:c>
      <x:c r="AD124" s="106" t="str">
        <x:v>BLOCKED_PENDING_VALIDATION</x:v>
      </x:c>
      <x:c r="AE124" s="97" t="str">
        <x:v>NOT_STARTED</x:v>
      </x:c>
      <x:c r="AF124" s="97" t="str">
        <x:v>Unassigned country-pack owner</x:v>
      </x:c>
      <x:c r="AG124" s="97" t="str">
        <x:v>SRC-CUS-001, SRC-CUS-005, SRC-CUS-007, SRC-DAT-001, SRC-POST-001, SRC-PRV-001</x:v>
      </x:c>
      <x:c r="AH124" s="97" t="str">
        <x:v>2026-07-25</x:v>
      </x:c>
      <x:c r="AI124" s="97" t="str">
        <x:v>2026-08-25</x:v>
      </x:c>
      <x:c r="AJ124" s="97" t="str">
        <x:v>Registry coverage only. Production readiness is capability-specific and requires the release checklist.</x:v>
      </x:c>
    </x:row>
    <x:row r="125" ht="54" customHeight="1">
      <x:c r="A125" s="99" t="str">
        <x:v>CP-LA</x:v>
      </x:c>
      <x:c r="B125" s="99" t="str">
        <x:v>Laos</x:v>
      </x:c>
      <x:c r="C125" s="99" t="str">
        <x:v>LA</x:v>
      </x:c>
      <x:c r="D125" s="99" t="str">
        <x:v>LAO</x:v>
      </x:c>
      <x:c r="E125" s="99" t="str">
        <x:v>418</x:v>
      </x:c>
      <x:c r="F125" s="99" t="str">
        <x:v>ISO 3166-1 assigned</x:v>
      </x:c>
      <x:c r="G125" s="99" t="str">
        <x:v>Independent state</x:v>
      </x:c>
      <x:c r="H125" s="99" t="str">
        <x:v>Self-administered for pack indexing; legal status follows authoritative sources</x:v>
      </x:c>
      <x:c r="I125" s="99" t="str">
        <x:v>Asia</x:v>
      </x:c>
      <x:c r="J125" s="99" t="str">
        <x:v>South-Eastern Asia</x:v>
      </x:c>
      <x:c r="K125" s="99" t="str">
        <x:v>National/territorial customs framework—local validation required</x:v>
      </x:c>
      <x:c r="L125" s="99" t="str">
        <x:v>UPU/operator contract, bilateral rules, EAD/message versions and serviceability must be validated</x:v>
      </x:c>
      <x:c r="M125" s="99" t="str">
        <x:v>ICAO state rules, PLACI regime, security status, carrier routing and serviceability must be validated</x:v>
      </x:c>
      <x:c r="N125" s="99" t="str">
        <x:v>Country-pack privacy law and transfer mechanism required</x:v>
      </x:c>
      <x:c r="O125" s="99" t="str">
        <x:v>Screen live lists for every applicable nexus; resolve ownership, sectoral, end-use and licence controls</x:v>
      </x:c>
      <x:c r="P125" s="99" t="str">
        <x:v>No static legal conclusion. Validate current national/territorial customs, tax, licensing, product, privacy and carrier sources before activation.</x:v>
      </x:c>
      <x:c r="Q125" s="99" t="str">
        <x:v>BLOCKED until tariff, prohibitions, documents and carrier services approved</x:v>
      </x:c>
      <x:c r="R125" s="99" t="str">
        <x:v>BLOCKED until ICAO/state/operator variations and certified review path approved</x:v>
      </x:c>
      <x:c r="S125" s="99" t="str">
        <x:v>BLOCKED until SPS/agency/temperature rules and external filing path approved</x:v>
      </x:c>
      <x:c r="T125" s="99" t="str">
        <x:v>BLOCKED until product/site/importer authorizations and quality path approved</x:v>
      </x:c>
      <x:c r="U125" s="99" t="str">
        <x:v>BLOCKED until excise/licences/age/carrier contract approved</x:v>
      </x:c>
      <x:c r="V125" s="99" t="str">
        <x:v>BLOCKED until classification/end-use/licensing and sanctions path approved</x:v>
      </x:c>
      <x:c r="W125" s="99" t="str">
        <x:v>BLOCKED until provenance/security/insurance/carrier limits approved</x:v>
      </x:c>
      <x:c r="X125" s="99" t="str">
        <x:v>BLOCKED until purpose, values, relief evidence and restrictions approved</x:v>
      </x:c>
      <x:c r="Y125" s="103" t="b">
        <x:v>0</x:v>
      </x:c>
      <x:c r="Z125" s="103" t="b">
        <x:v>0</x:v>
      </x:c>
      <x:c r="AA125" s="103" t="b">
        <x:v>0</x:v>
      </x:c>
      <x:c r="AB125" s="103" t="b">
        <x:v>0</x:v>
      </x:c>
      <x:c r="AC125" s="103" t="b">
        <x:v>0</x:v>
      </x:c>
      <x:c r="AD125" s="106" t="str">
        <x:v>BLOCKED_PENDING_VALIDATION</x:v>
      </x:c>
      <x:c r="AE125" s="99" t="str">
        <x:v>NOT_STARTED</x:v>
      </x:c>
      <x:c r="AF125" s="99" t="str">
        <x:v>Unassigned country-pack owner</x:v>
      </x:c>
      <x:c r="AG125" s="99" t="str">
        <x:v>SRC-CUS-001, SRC-CUS-005, SRC-CUS-007, SRC-DAT-001, SRC-POST-001, SRC-PRV-001</x:v>
      </x:c>
      <x:c r="AH125" s="99" t="str">
        <x:v>2026-07-25</x:v>
      </x:c>
      <x:c r="AI125" s="99" t="str">
        <x:v>2026-08-25</x:v>
      </x:c>
      <x:c r="AJ125" s="99" t="str">
        <x:v>Registry coverage only. Production readiness is capability-specific and requires the release checklist.</x:v>
      </x:c>
    </x:row>
    <x:row r="126" ht="54" customHeight="1">
      <x:c r="A126" s="97" t="str">
        <x:v>CP-LV</x:v>
      </x:c>
      <x:c r="B126" s="97" t="str">
        <x:v>Latvia</x:v>
      </x:c>
      <x:c r="C126" s="97" t="str">
        <x:v>LV</x:v>
      </x:c>
      <x:c r="D126" s="97" t="str">
        <x:v>LVA</x:v>
      </x:c>
      <x:c r="E126" s="97" t="str">
        <x:v>428</x:v>
      </x:c>
      <x:c r="F126" s="97" t="str">
        <x:v>ISO 3166-1 assigned</x:v>
      </x:c>
      <x:c r="G126" s="97" t="str">
        <x:v>Independent state</x:v>
      </x:c>
      <x:c r="H126" s="97" t="str">
        <x:v>Self-administered for pack indexing; legal status follows authoritative sources</x:v>
      </x:c>
      <x:c r="I126" s="97" t="str">
        <x:v>Europe</x:v>
      </x:c>
      <x:c r="J126" s="97" t="str">
        <x:v>Northern Europe</x:v>
      </x:c>
      <x:c r="K126" s="97" t="str">
        <x:v>EU customs framework; validate special fiscal/customs territory</x:v>
      </x:c>
      <x:c r="L126" s="97" t="str">
        <x:v>UPU/operator contract, bilateral rules, EAD/message versions and serviceability must be validated</x:v>
      </x:c>
      <x:c r="M126" s="97" t="str">
        <x:v>ICAO state rules, PLACI regime, security status, carrier routing and serviceability must be validated</x:v>
      </x:c>
      <x:c r="N126" s="97" t="str">
        <x:v>GDPR/EEA transfer controls; local supplements</x:v>
      </x:c>
      <x:c r="O126" s="97" t="str">
        <x:v>Screen live lists for every applicable nexus; resolve ownership, sectoral, end-use and licence controls</x:v>
      </x:c>
      <x:c r="P126" s="97" t="str">
        <x:v>EU baseline: ICS2/ENS and current low-value/VAT rules; member and special-territory validation still required.</x:v>
      </x:c>
      <x:c r="Q126" s="97" t="str">
        <x:v>BLOCKED until tariff, prohibitions, documents and carrier services approved</x:v>
      </x:c>
      <x:c r="R126" s="97" t="str">
        <x:v>BLOCKED until ICAO/state/operator variations and certified review path approved</x:v>
      </x:c>
      <x:c r="S126" s="97" t="str">
        <x:v>BLOCKED until SPS/agency/temperature rules and external filing path approved</x:v>
      </x:c>
      <x:c r="T126" s="97" t="str">
        <x:v>BLOCKED until product/site/importer authorizations and quality path approved</x:v>
      </x:c>
      <x:c r="U126" s="97" t="str">
        <x:v>BLOCKED until excise/licences/age/carrier contract approved</x:v>
      </x:c>
      <x:c r="V126" s="97" t="str">
        <x:v>BLOCKED until classification/end-use/licensing and sanctions path approved</x:v>
      </x:c>
      <x:c r="W126" s="97" t="str">
        <x:v>BLOCKED until provenance/security/insurance/carrier limits approved</x:v>
      </x:c>
      <x:c r="X126" s="97" t="str">
        <x:v>BLOCKED until purpose, values, relief evidence and restrictions approved</x:v>
      </x:c>
      <x:c r="Y126" s="104" t="b">
        <x:v>0</x:v>
      </x:c>
      <x:c r="Z126" s="104" t="b">
        <x:v>0</x:v>
      </x:c>
      <x:c r="AA126" s="104" t="b">
        <x:v>0</x:v>
      </x:c>
      <x:c r="AB126" s="104" t="b">
        <x:v>0</x:v>
      </x:c>
      <x:c r="AC126" s="104" t="b">
        <x:v>0</x:v>
      </x:c>
      <x:c r="AD126" s="106" t="str">
        <x:v>BLOCKED_PENDING_VALIDATION</x:v>
      </x:c>
      <x:c r="AE126" s="97" t="str">
        <x:v>NOT_STARTED</x:v>
      </x:c>
      <x:c r="AF126" s="97" t="str">
        <x:v>Unassigned country-pack owner</x:v>
      </x:c>
      <x:c r="AG126" s="97" t="str">
        <x:v>SRC-CUS-001, SRC-CUS-005, SRC-CUS-007, SRC-DAT-001, SRC-POST-001, SRC-PRV-001, SRC-EU-001, SRC-EU-002, SRC-EU-003, SRC-EU-004, SRC-PRV-002</x:v>
      </x:c>
      <x:c r="AH126" s="97" t="str">
        <x:v>2026-07-25</x:v>
      </x:c>
      <x:c r="AI126" s="97" t="str">
        <x:v>2026-08-25</x:v>
      </x:c>
      <x:c r="AJ126" s="97" t="str">
        <x:v>Registry coverage only. Production readiness is capability-specific and requires the release checklist.</x:v>
      </x:c>
    </x:row>
    <x:row r="127" ht="54" customHeight="1">
      <x:c r="A127" s="99" t="str">
        <x:v>CP-LB</x:v>
      </x:c>
      <x:c r="B127" s="99" t="str">
        <x:v>Lebanon</x:v>
      </x:c>
      <x:c r="C127" s="99" t="str">
        <x:v>LB</x:v>
      </x:c>
      <x:c r="D127" s="99" t="str">
        <x:v>LBN</x:v>
      </x:c>
      <x:c r="E127" s="99" t="str">
        <x:v>422</x:v>
      </x:c>
      <x:c r="F127" s="99" t="str">
        <x:v>ISO 3166-1 assigned</x:v>
      </x:c>
      <x:c r="G127" s="99" t="str">
        <x:v>Independent state</x:v>
      </x:c>
      <x:c r="H127" s="99" t="str">
        <x:v>Self-administered for pack indexing; legal status follows authoritative sources</x:v>
      </x:c>
      <x:c r="I127" s="99" t="str">
        <x:v>Asia</x:v>
      </x:c>
      <x:c r="J127" s="99" t="str">
        <x:v>Western Asia</x:v>
      </x:c>
      <x:c r="K127" s="99" t="str">
        <x:v>National/territorial customs framework—local validation required</x:v>
      </x:c>
      <x:c r="L127" s="99" t="str">
        <x:v>UPU/operator contract, bilateral rules, EAD/message versions and serviceability must be validated</x:v>
      </x:c>
      <x:c r="M127" s="99" t="str">
        <x:v>ICAO state rules, PLACI regime, security status, carrier routing and serviceability must be validated</x:v>
      </x:c>
      <x:c r="N127" s="99" t="str">
        <x:v>Country-pack privacy law and transfer mechanism required</x:v>
      </x:c>
      <x:c r="O127" s="99" t="str">
        <x:v>Screen live lists for every applicable nexus; resolve ownership, sectoral, end-use and licence controls</x:v>
      </x:c>
      <x:c r="P127" s="99" t="str">
        <x:v>No static legal conclusion. Validate current national/territorial customs, tax, licensing, product, privacy and carrier sources before activation.</x:v>
      </x:c>
      <x:c r="Q127" s="99" t="str">
        <x:v>BLOCKED until tariff, prohibitions, documents and carrier services approved</x:v>
      </x:c>
      <x:c r="R127" s="99" t="str">
        <x:v>BLOCKED until ICAO/state/operator variations and certified review path approved</x:v>
      </x:c>
      <x:c r="S127" s="99" t="str">
        <x:v>BLOCKED until SPS/agency/temperature rules and external filing path approved</x:v>
      </x:c>
      <x:c r="T127" s="99" t="str">
        <x:v>BLOCKED until product/site/importer authorizations and quality path approved</x:v>
      </x:c>
      <x:c r="U127" s="99" t="str">
        <x:v>BLOCKED until excise/licences/age/carrier contract approved</x:v>
      </x:c>
      <x:c r="V127" s="99" t="str">
        <x:v>BLOCKED until classification/end-use/licensing and sanctions path approved</x:v>
      </x:c>
      <x:c r="W127" s="99" t="str">
        <x:v>BLOCKED until provenance/security/insurance/carrier limits approved</x:v>
      </x:c>
      <x:c r="X127" s="99" t="str">
        <x:v>BLOCKED until purpose, values, relief evidence and restrictions approved</x:v>
      </x:c>
      <x:c r="Y127" s="103" t="b">
        <x:v>0</x:v>
      </x:c>
      <x:c r="Z127" s="103" t="b">
        <x:v>0</x:v>
      </x:c>
      <x:c r="AA127" s="103" t="b">
        <x:v>0</x:v>
      </x:c>
      <x:c r="AB127" s="103" t="b">
        <x:v>0</x:v>
      </x:c>
      <x:c r="AC127" s="103" t="b">
        <x:v>0</x:v>
      </x:c>
      <x:c r="AD127" s="106" t="str">
        <x:v>BLOCKED_PENDING_VALIDATION</x:v>
      </x:c>
      <x:c r="AE127" s="99" t="str">
        <x:v>NOT_STARTED</x:v>
      </x:c>
      <x:c r="AF127" s="99" t="str">
        <x:v>Unassigned country-pack owner</x:v>
      </x:c>
      <x:c r="AG127" s="99" t="str">
        <x:v>SRC-CUS-001, SRC-CUS-005, SRC-CUS-007, SRC-DAT-001, SRC-POST-001, SRC-PRV-001</x:v>
      </x:c>
      <x:c r="AH127" s="99" t="str">
        <x:v>2026-07-25</x:v>
      </x:c>
      <x:c r="AI127" s="99" t="str">
        <x:v>2026-08-25</x:v>
      </x:c>
      <x:c r="AJ127" s="99" t="str">
        <x:v>Registry coverage only. Production readiness is capability-specific and requires the release checklist.</x:v>
      </x:c>
    </x:row>
    <x:row r="128" ht="54" customHeight="1">
      <x:c r="A128" s="97" t="str">
        <x:v>CP-LS</x:v>
      </x:c>
      <x:c r="B128" s="97" t="str">
        <x:v>Lesotho</x:v>
      </x:c>
      <x:c r="C128" s="97" t="str">
        <x:v>LS</x:v>
      </x:c>
      <x:c r="D128" s="97" t="str">
        <x:v>LSO</x:v>
      </x:c>
      <x:c r="E128" s="97" t="str">
        <x:v>426</x:v>
      </x:c>
      <x:c r="F128" s="97" t="str">
        <x:v>ISO 3166-1 assigned</x:v>
      </x:c>
      <x:c r="G128" s="97" t="str">
        <x:v>Independent state</x:v>
      </x:c>
      <x:c r="H128" s="97" t="str">
        <x:v>Self-administered for pack indexing; legal status follows authoritative sources</x:v>
      </x:c>
      <x:c r="I128" s="97" t="str">
        <x:v>Africa</x:v>
      </x:c>
      <x:c r="J128" s="97" t="str">
        <x:v>Southern Africa</x:v>
      </x:c>
      <x:c r="K128" s="97" t="str">
        <x:v>SACU member; national VAT/import controls required</x:v>
      </x:c>
      <x:c r="L128" s="97" t="str">
        <x:v>UPU/operator contract, bilateral rules, EAD/message versions and serviceability must be validated</x:v>
      </x:c>
      <x:c r="M128" s="97" t="str">
        <x:v>ICAO state rules, PLACI regime, security status, carrier routing and serviceability must be validated</x:v>
      </x:c>
      <x:c r="N128" s="97" t="str">
        <x:v>Country-pack privacy law and transfer mechanism required</x:v>
      </x:c>
      <x:c r="O128" s="97" t="str">
        <x:v>Screen live lists for every applicable nexus; resolve ownership, sectoral, end-use and licence controls</x:v>
      </x:c>
      <x:c r="P128" s="97" t="str">
        <x:v>No static legal conclusion. Validate current national/territorial customs, tax, licensing, product, privacy and carrier sources before activation.</x:v>
      </x:c>
      <x:c r="Q128" s="97" t="str">
        <x:v>BLOCKED until tariff, prohibitions, documents and carrier services approved</x:v>
      </x:c>
      <x:c r="R128" s="97" t="str">
        <x:v>BLOCKED until ICAO/state/operator variations and certified review path approved</x:v>
      </x:c>
      <x:c r="S128" s="97" t="str">
        <x:v>BLOCKED until SPS/agency/temperature rules and external filing path approved</x:v>
      </x:c>
      <x:c r="T128" s="97" t="str">
        <x:v>BLOCKED until product/site/importer authorizations and quality path approved</x:v>
      </x:c>
      <x:c r="U128" s="97" t="str">
        <x:v>BLOCKED until excise/licences/age/carrier contract approved</x:v>
      </x:c>
      <x:c r="V128" s="97" t="str">
        <x:v>BLOCKED until classification/end-use/licensing and sanctions path approved</x:v>
      </x:c>
      <x:c r="W128" s="97" t="str">
        <x:v>BLOCKED until provenance/security/insurance/carrier limits approved</x:v>
      </x:c>
      <x:c r="X128" s="97" t="str">
        <x:v>BLOCKED until purpose, values, relief evidence and restrictions approved</x:v>
      </x:c>
      <x:c r="Y128" s="104" t="b">
        <x:v>0</x:v>
      </x:c>
      <x:c r="Z128" s="104" t="b">
        <x:v>0</x:v>
      </x:c>
      <x:c r="AA128" s="104" t="b">
        <x:v>0</x:v>
      </x:c>
      <x:c r="AB128" s="104" t="b">
        <x:v>0</x:v>
      </x:c>
      <x:c r="AC128" s="104" t="b">
        <x:v>0</x:v>
      </x:c>
      <x:c r="AD128" s="106" t="str">
        <x:v>BLOCKED_PENDING_VALIDATION</x:v>
      </x:c>
      <x:c r="AE128" s="97" t="str">
        <x:v>NOT_STARTED</x:v>
      </x:c>
      <x:c r="AF128" s="97" t="str">
        <x:v>Unassigned country-pack owner</x:v>
      </x:c>
      <x:c r="AG128" s="97" t="str">
        <x:v>SRC-CUS-001, SRC-CUS-005, SRC-CUS-007, SRC-DAT-001, SRC-POST-001, SRC-PRV-001</x:v>
      </x:c>
      <x:c r="AH128" s="97" t="str">
        <x:v>2026-07-25</x:v>
      </x:c>
      <x:c r="AI128" s="97" t="str">
        <x:v>2026-08-25</x:v>
      </x:c>
      <x:c r="AJ128" s="97" t="str">
        <x:v>Registry coverage only. Production readiness is capability-specific and requires the release checklist.</x:v>
      </x:c>
    </x:row>
    <x:row r="129" ht="54" customHeight="1">
      <x:c r="A129" s="99" t="str">
        <x:v>CP-LR</x:v>
      </x:c>
      <x:c r="B129" s="99" t="str">
        <x:v>Liberia</x:v>
      </x:c>
      <x:c r="C129" s="99" t="str">
        <x:v>LR</x:v>
      </x:c>
      <x:c r="D129" s="99" t="str">
        <x:v>LBR</x:v>
      </x:c>
      <x:c r="E129" s="99" t="str">
        <x:v>430</x:v>
      </x:c>
      <x:c r="F129" s="99" t="str">
        <x:v>ISO 3166-1 assigned</x:v>
      </x:c>
      <x:c r="G129" s="99" t="str">
        <x:v>Independent state</x:v>
      </x:c>
      <x:c r="H129" s="99" t="str">
        <x:v>Self-administered for pack indexing; legal status follows authoritative sources</x:v>
      </x:c>
      <x:c r="I129" s="99" t="str">
        <x:v>Africa</x:v>
      </x:c>
      <x:c r="J129" s="99" t="str">
        <x:v>Western Africa</x:v>
      </x:c>
      <x:c r="K129" s="99" t="str">
        <x:v>National/territorial customs framework—local validation required</x:v>
      </x:c>
      <x:c r="L129" s="99" t="str">
        <x:v>UPU/operator contract, bilateral rules, EAD/message versions and serviceability must be validated</x:v>
      </x:c>
      <x:c r="M129" s="99" t="str">
        <x:v>ICAO state rules, PLACI regime, security status, carrier routing and serviceability must be validated</x:v>
      </x:c>
      <x:c r="N129" s="99" t="str">
        <x:v>Country-pack privacy law and transfer mechanism required</x:v>
      </x:c>
      <x:c r="O129" s="99" t="str">
        <x:v>Screen live lists for every applicable nexus; resolve ownership, sectoral, end-use and licence controls</x:v>
      </x:c>
      <x:c r="P129" s="99" t="str">
        <x:v>No static legal conclusion. Validate current national/territorial customs, tax, licensing, product, privacy and carrier sources before activation.</x:v>
      </x:c>
      <x:c r="Q129" s="99" t="str">
        <x:v>BLOCKED until tariff, prohibitions, documents and carrier services approved</x:v>
      </x:c>
      <x:c r="R129" s="99" t="str">
        <x:v>BLOCKED until ICAO/state/operator variations and certified review path approved</x:v>
      </x:c>
      <x:c r="S129" s="99" t="str">
        <x:v>BLOCKED until SPS/agency/temperature rules and external filing path approved</x:v>
      </x:c>
      <x:c r="T129" s="99" t="str">
        <x:v>BLOCKED until product/site/importer authorizations and quality path approved</x:v>
      </x:c>
      <x:c r="U129" s="99" t="str">
        <x:v>BLOCKED until excise/licences/age/carrier contract approved</x:v>
      </x:c>
      <x:c r="V129" s="99" t="str">
        <x:v>BLOCKED until classification/end-use/licensing and sanctions path approved</x:v>
      </x:c>
      <x:c r="W129" s="99" t="str">
        <x:v>BLOCKED until provenance/security/insurance/carrier limits approved</x:v>
      </x:c>
      <x:c r="X129" s="99" t="str">
        <x:v>BLOCKED until purpose, values, relief evidence and restrictions approved</x:v>
      </x:c>
      <x:c r="Y129" s="103" t="b">
        <x:v>0</x:v>
      </x:c>
      <x:c r="Z129" s="103" t="b">
        <x:v>0</x:v>
      </x:c>
      <x:c r="AA129" s="103" t="b">
        <x:v>0</x:v>
      </x:c>
      <x:c r="AB129" s="103" t="b">
        <x:v>0</x:v>
      </x:c>
      <x:c r="AC129" s="103" t="b">
        <x:v>0</x:v>
      </x:c>
      <x:c r="AD129" s="106" t="str">
        <x:v>BLOCKED_PENDING_VALIDATION</x:v>
      </x:c>
      <x:c r="AE129" s="99" t="str">
        <x:v>NOT_STARTED</x:v>
      </x:c>
      <x:c r="AF129" s="99" t="str">
        <x:v>Unassigned country-pack owner</x:v>
      </x:c>
      <x:c r="AG129" s="99" t="str">
        <x:v>SRC-CUS-001, SRC-CUS-005, SRC-CUS-007, SRC-DAT-001, SRC-POST-001, SRC-PRV-001</x:v>
      </x:c>
      <x:c r="AH129" s="99" t="str">
        <x:v>2026-07-25</x:v>
      </x:c>
      <x:c r="AI129" s="99" t="str">
        <x:v>2026-08-25</x:v>
      </x:c>
      <x:c r="AJ129" s="99" t="str">
        <x:v>Registry coverage only. Production readiness is capability-specific and requires the release checklist.</x:v>
      </x:c>
    </x:row>
    <x:row r="130" ht="54" customHeight="1">
      <x:c r="A130" s="97" t="str">
        <x:v>CP-LY</x:v>
      </x:c>
      <x:c r="B130" s="97" t="str">
        <x:v>Libya</x:v>
      </x:c>
      <x:c r="C130" s="97" t="str">
        <x:v>LY</x:v>
      </x:c>
      <x:c r="D130" s="97" t="str">
        <x:v>LBY</x:v>
      </x:c>
      <x:c r="E130" s="97" t="str">
        <x:v>434</x:v>
      </x:c>
      <x:c r="F130" s="97" t="str">
        <x:v>ISO 3166-1 assigned</x:v>
      </x:c>
      <x:c r="G130" s="97" t="str">
        <x:v>Independent state</x:v>
      </x:c>
      <x:c r="H130" s="97" t="str">
        <x:v>Self-administered for pack indexing; legal status follows authoritative sources</x:v>
      </x:c>
      <x:c r="I130" s="97" t="str">
        <x:v>Africa</x:v>
      </x:c>
      <x:c r="J130" s="97" t="str">
        <x:v>Northern Africa</x:v>
      </x:c>
      <x:c r="K130" s="97" t="str">
        <x:v>National/territorial customs framework—local validation required</x:v>
      </x:c>
      <x:c r="L130" s="97" t="str">
        <x:v>UPU/operator contract, bilateral rules, EAD/message versions and serviceability must be validated</x:v>
      </x:c>
      <x:c r="M130" s="97" t="str">
        <x:v>ICAO state rules, PLACI regime, security status, carrier routing and serviceability must be validated</x:v>
      </x:c>
      <x:c r="N130" s="97" t="str">
        <x:v>Country-pack privacy law and transfer mechanism required</x:v>
      </x:c>
      <x:c r="O130" s="97" t="str">
        <x:v>Screen live lists for every applicable nexus; resolve ownership, sectoral, end-use and licence controls</x:v>
      </x:c>
      <x:c r="P130" s="97" t="str">
        <x:v>No static legal conclusion. Validate current national/territorial customs, tax, licensing, product, privacy and carrier sources before activation.</x:v>
      </x:c>
      <x:c r="Q130" s="97" t="str">
        <x:v>BLOCKED until tariff, prohibitions, documents and carrier services approved</x:v>
      </x:c>
      <x:c r="R130" s="97" t="str">
        <x:v>BLOCKED until ICAO/state/operator variations and certified review path approved</x:v>
      </x:c>
      <x:c r="S130" s="97" t="str">
        <x:v>BLOCKED until SPS/agency/temperature rules and external filing path approved</x:v>
      </x:c>
      <x:c r="T130" s="97" t="str">
        <x:v>BLOCKED until product/site/importer authorizations and quality path approved</x:v>
      </x:c>
      <x:c r="U130" s="97" t="str">
        <x:v>BLOCKED until excise/licences/age/carrier contract approved</x:v>
      </x:c>
      <x:c r="V130" s="97" t="str">
        <x:v>BLOCKED until classification/end-use/licensing and sanctions path approved</x:v>
      </x:c>
      <x:c r="W130" s="97" t="str">
        <x:v>BLOCKED until provenance/security/insurance/carrier limits approved</x:v>
      </x:c>
      <x:c r="X130" s="97" t="str">
        <x:v>BLOCKED until purpose, values, relief evidence and restrictions approved</x:v>
      </x:c>
      <x:c r="Y130" s="104" t="b">
        <x:v>0</x:v>
      </x:c>
      <x:c r="Z130" s="104" t="b">
        <x:v>0</x:v>
      </x:c>
      <x:c r="AA130" s="104" t="b">
        <x:v>0</x:v>
      </x:c>
      <x:c r="AB130" s="104" t="b">
        <x:v>0</x:v>
      </x:c>
      <x:c r="AC130" s="104" t="b">
        <x:v>0</x:v>
      </x:c>
      <x:c r="AD130" s="106" t="str">
        <x:v>BLOCKED_PENDING_VALIDATION</x:v>
      </x:c>
      <x:c r="AE130" s="97" t="str">
        <x:v>NOT_STARTED</x:v>
      </x:c>
      <x:c r="AF130" s="97" t="str">
        <x:v>Unassigned country-pack owner</x:v>
      </x:c>
      <x:c r="AG130" s="97" t="str">
        <x:v>SRC-CUS-001, SRC-CUS-005, SRC-CUS-007, SRC-DAT-001, SRC-POST-001, SRC-PRV-001</x:v>
      </x:c>
      <x:c r="AH130" s="97" t="str">
        <x:v>2026-07-25</x:v>
      </x:c>
      <x:c r="AI130" s="97" t="str">
        <x:v>2026-08-25</x:v>
      </x:c>
      <x:c r="AJ130" s="97" t="str">
        <x:v>Registry coverage only. Production readiness is capability-specific and requires the release checklist.</x:v>
      </x:c>
    </x:row>
    <x:row r="131" ht="54" customHeight="1">
      <x:c r="A131" s="99" t="str">
        <x:v>CP-LI</x:v>
      </x:c>
      <x:c r="B131" s="99" t="str">
        <x:v>Liechtenstein</x:v>
      </x:c>
      <x:c r="C131" s="99" t="str">
        <x:v>LI</x:v>
      </x:c>
      <x:c r="D131" s="99" t="str">
        <x:v>LIE</x:v>
      </x:c>
      <x:c r="E131" s="99" t="str">
        <x:v>438</x:v>
      </x:c>
      <x:c r="F131" s="99" t="str">
        <x:v>ISO 3166-1 assigned</x:v>
      </x:c>
      <x:c r="G131" s="99" t="str">
        <x:v>Independent state</x:v>
      </x:c>
      <x:c r="H131" s="99" t="str">
        <x:v>Self-administered for pack indexing; legal status follows authoritative sources</x:v>
      </x:c>
      <x:c r="I131" s="99" t="str">
        <x:v>Europe</x:v>
      </x:c>
      <x:c r="J131" s="99" t="str">
        <x:v>Western Europe</x:v>
      </x:c>
      <x:c r="K131" s="99" t="str">
        <x:v>EEA/EFTA; not EU customs territory</x:v>
      </x:c>
      <x:c r="L131" s="99" t="str">
        <x:v>UPU/operator contract, bilateral rules, EAD/message versions and serviceability must be validated</x:v>
      </x:c>
      <x:c r="M131" s="99" t="str">
        <x:v>ICAO state rules, PLACI regime, security status, carrier routing and serviceability must be validated</x:v>
      </x:c>
      <x:c r="N131" s="99" t="str">
        <x:v>GDPR/EEA transfer controls; local supplements</x:v>
      </x:c>
      <x:c r="O131" s="99" t="str">
        <x:v>Screen live lists for every applicable nexus; resolve ownership, sectoral, end-use and licence controls</x:v>
      </x:c>
      <x:c r="P131" s="99" t="str">
        <x:v>No static legal conclusion. Validate current national/territorial customs, tax, licensing, product, privacy and carrier sources before activation.</x:v>
      </x:c>
      <x:c r="Q131" s="99" t="str">
        <x:v>BLOCKED until tariff, prohibitions, documents and carrier services approved</x:v>
      </x:c>
      <x:c r="R131" s="99" t="str">
        <x:v>BLOCKED until ICAO/state/operator variations and certified review path approved</x:v>
      </x:c>
      <x:c r="S131" s="99" t="str">
        <x:v>BLOCKED until SPS/agency/temperature rules and external filing path approved</x:v>
      </x:c>
      <x:c r="T131" s="99" t="str">
        <x:v>BLOCKED until product/site/importer authorizations and quality path approved</x:v>
      </x:c>
      <x:c r="U131" s="99" t="str">
        <x:v>BLOCKED until excise/licences/age/carrier contract approved</x:v>
      </x:c>
      <x:c r="V131" s="99" t="str">
        <x:v>BLOCKED until classification/end-use/licensing and sanctions path approved</x:v>
      </x:c>
      <x:c r="W131" s="99" t="str">
        <x:v>BLOCKED until provenance/security/insurance/carrier limits approved</x:v>
      </x:c>
      <x:c r="X131" s="99" t="str">
        <x:v>BLOCKED until purpose, values, relief evidence and restrictions approved</x:v>
      </x:c>
      <x:c r="Y131" s="103" t="b">
        <x:v>0</x:v>
      </x:c>
      <x:c r="Z131" s="103" t="b">
        <x:v>0</x:v>
      </x:c>
      <x:c r="AA131" s="103" t="b">
        <x:v>0</x:v>
      </x:c>
      <x:c r="AB131" s="103" t="b">
        <x:v>0</x:v>
      </x:c>
      <x:c r="AC131" s="103" t="b">
        <x:v>0</x:v>
      </x:c>
      <x:c r="AD131" s="106" t="str">
        <x:v>BLOCKED_PENDING_VALIDATION</x:v>
      </x:c>
      <x:c r="AE131" s="99" t="str">
        <x:v>NOT_STARTED</x:v>
      </x:c>
      <x:c r="AF131" s="99" t="str">
        <x:v>Unassigned country-pack owner</x:v>
      </x:c>
      <x:c r="AG131" s="99" t="str">
        <x:v>SRC-CUS-001, SRC-CUS-005, SRC-CUS-007, SRC-DAT-001, SRC-POST-001, SRC-PRV-001</x:v>
      </x:c>
      <x:c r="AH131" s="99" t="str">
        <x:v>2026-07-25</x:v>
      </x:c>
      <x:c r="AI131" s="99" t="str">
        <x:v>2026-08-25</x:v>
      </x:c>
      <x:c r="AJ131" s="99" t="str">
        <x:v>Registry coverage only. Production readiness is capability-specific and requires the release checklist.</x:v>
      </x:c>
    </x:row>
    <x:row r="132" ht="54" customHeight="1">
      <x:c r="A132" s="97" t="str">
        <x:v>CP-LT</x:v>
      </x:c>
      <x:c r="B132" s="97" t="str">
        <x:v>Lithuania</x:v>
      </x:c>
      <x:c r="C132" s="97" t="str">
        <x:v>LT</x:v>
      </x:c>
      <x:c r="D132" s="97" t="str">
        <x:v>LTU</x:v>
      </x:c>
      <x:c r="E132" s="97" t="str">
        <x:v>440</x:v>
      </x:c>
      <x:c r="F132" s="97" t="str">
        <x:v>ISO 3166-1 assigned</x:v>
      </x:c>
      <x:c r="G132" s="97" t="str">
        <x:v>Independent state</x:v>
      </x:c>
      <x:c r="H132" s="97" t="str">
        <x:v>Self-administered for pack indexing; legal status follows authoritative sources</x:v>
      </x:c>
      <x:c r="I132" s="97" t="str">
        <x:v>Europe</x:v>
      </x:c>
      <x:c r="J132" s="97" t="str">
        <x:v>Northern Europe</x:v>
      </x:c>
      <x:c r="K132" s="97" t="str">
        <x:v>EU customs framework; validate special fiscal/customs territory</x:v>
      </x:c>
      <x:c r="L132" s="97" t="str">
        <x:v>UPU/operator contract, bilateral rules, EAD/message versions and serviceability must be validated</x:v>
      </x:c>
      <x:c r="M132" s="97" t="str">
        <x:v>ICAO state rules, PLACI regime, security status, carrier routing and serviceability must be validated</x:v>
      </x:c>
      <x:c r="N132" s="97" t="str">
        <x:v>GDPR/EEA transfer controls; local supplements</x:v>
      </x:c>
      <x:c r="O132" s="97" t="str">
        <x:v>Screen live lists for every applicable nexus; resolve ownership, sectoral, end-use and licence controls</x:v>
      </x:c>
      <x:c r="P132" s="97" t="str">
        <x:v>EU baseline: ICS2/ENS and current low-value/VAT rules; member and special-territory validation still required.</x:v>
      </x:c>
      <x:c r="Q132" s="97" t="str">
        <x:v>BLOCKED until tariff, prohibitions, documents and carrier services approved</x:v>
      </x:c>
      <x:c r="R132" s="97" t="str">
        <x:v>BLOCKED until ICAO/state/operator variations and certified review path approved</x:v>
      </x:c>
      <x:c r="S132" s="97" t="str">
        <x:v>BLOCKED until SPS/agency/temperature rules and external filing path approved</x:v>
      </x:c>
      <x:c r="T132" s="97" t="str">
        <x:v>BLOCKED until product/site/importer authorizations and quality path approved</x:v>
      </x:c>
      <x:c r="U132" s="97" t="str">
        <x:v>BLOCKED until excise/licences/age/carrier contract approved</x:v>
      </x:c>
      <x:c r="V132" s="97" t="str">
        <x:v>BLOCKED until classification/end-use/licensing and sanctions path approved</x:v>
      </x:c>
      <x:c r="W132" s="97" t="str">
        <x:v>BLOCKED until provenance/security/insurance/carrier limits approved</x:v>
      </x:c>
      <x:c r="X132" s="97" t="str">
        <x:v>BLOCKED until purpose, values, relief evidence and restrictions approved</x:v>
      </x:c>
      <x:c r="Y132" s="104" t="b">
        <x:v>0</x:v>
      </x:c>
      <x:c r="Z132" s="104" t="b">
        <x:v>0</x:v>
      </x:c>
      <x:c r="AA132" s="104" t="b">
        <x:v>0</x:v>
      </x:c>
      <x:c r="AB132" s="104" t="b">
        <x:v>0</x:v>
      </x:c>
      <x:c r="AC132" s="104" t="b">
        <x:v>0</x:v>
      </x:c>
      <x:c r="AD132" s="106" t="str">
        <x:v>BLOCKED_PENDING_VALIDATION</x:v>
      </x:c>
      <x:c r="AE132" s="97" t="str">
        <x:v>NOT_STARTED</x:v>
      </x:c>
      <x:c r="AF132" s="97" t="str">
        <x:v>Unassigned country-pack owner</x:v>
      </x:c>
      <x:c r="AG132" s="97" t="str">
        <x:v>SRC-CUS-001, SRC-CUS-005, SRC-CUS-007, SRC-DAT-001, SRC-POST-001, SRC-PRV-001, SRC-EU-001, SRC-EU-002, SRC-EU-003, SRC-EU-004, SRC-PRV-002</x:v>
      </x:c>
      <x:c r="AH132" s="97" t="str">
        <x:v>2026-07-25</x:v>
      </x:c>
      <x:c r="AI132" s="97" t="str">
        <x:v>2026-08-25</x:v>
      </x:c>
      <x:c r="AJ132" s="97" t="str">
        <x:v>Registry coverage only. Production readiness is capability-specific and requires the release checklist.</x:v>
      </x:c>
    </x:row>
    <x:row r="133" ht="54" customHeight="1">
      <x:c r="A133" s="99" t="str">
        <x:v>CP-LU</x:v>
      </x:c>
      <x:c r="B133" s="99" t="str">
        <x:v>Luxembourg</x:v>
      </x:c>
      <x:c r="C133" s="99" t="str">
        <x:v>LU</x:v>
      </x:c>
      <x:c r="D133" s="99" t="str">
        <x:v>LUX</x:v>
      </x:c>
      <x:c r="E133" s="99" t="str">
        <x:v>442</x:v>
      </x:c>
      <x:c r="F133" s="99" t="str">
        <x:v>ISO 3166-1 assigned</x:v>
      </x:c>
      <x:c r="G133" s="99" t="str">
        <x:v>Independent state</x:v>
      </x:c>
      <x:c r="H133" s="99" t="str">
        <x:v>Self-administered for pack indexing; legal status follows authoritative sources</x:v>
      </x:c>
      <x:c r="I133" s="99" t="str">
        <x:v>Europe</x:v>
      </x:c>
      <x:c r="J133" s="99" t="str">
        <x:v>Western Europe</x:v>
      </x:c>
      <x:c r="K133" s="99" t="str">
        <x:v>EU customs framework; validate special fiscal/customs territory</x:v>
      </x:c>
      <x:c r="L133" s="99" t="str">
        <x:v>UPU/operator contract, bilateral rules, EAD/message versions and serviceability must be validated</x:v>
      </x:c>
      <x:c r="M133" s="99" t="str">
        <x:v>ICAO state rules, PLACI regime, security status, carrier routing and serviceability must be validated</x:v>
      </x:c>
      <x:c r="N133" s="99" t="str">
        <x:v>GDPR/EEA transfer controls; local supplements</x:v>
      </x:c>
      <x:c r="O133" s="99" t="str">
        <x:v>Screen live lists for every applicable nexus; resolve ownership, sectoral, end-use and licence controls</x:v>
      </x:c>
      <x:c r="P133" s="99" t="str">
        <x:v>EU baseline: ICS2/ENS and current low-value/VAT rules; member and special-territory validation still required.</x:v>
      </x:c>
      <x:c r="Q133" s="99" t="str">
        <x:v>BLOCKED until tariff, prohibitions, documents and carrier services approved</x:v>
      </x:c>
      <x:c r="R133" s="99" t="str">
        <x:v>BLOCKED until ICAO/state/operator variations and certified review path approved</x:v>
      </x:c>
      <x:c r="S133" s="99" t="str">
        <x:v>BLOCKED until SPS/agency/temperature rules and external filing path approved</x:v>
      </x:c>
      <x:c r="T133" s="99" t="str">
        <x:v>BLOCKED until product/site/importer authorizations and quality path approved</x:v>
      </x:c>
      <x:c r="U133" s="99" t="str">
        <x:v>BLOCKED until excise/licences/age/carrier contract approved</x:v>
      </x:c>
      <x:c r="V133" s="99" t="str">
        <x:v>BLOCKED until classification/end-use/licensing and sanctions path approved</x:v>
      </x:c>
      <x:c r="W133" s="99" t="str">
        <x:v>BLOCKED until provenance/security/insurance/carrier limits approved</x:v>
      </x:c>
      <x:c r="X133" s="99" t="str">
        <x:v>BLOCKED until purpose, values, relief evidence and restrictions approved</x:v>
      </x:c>
      <x:c r="Y133" s="103" t="b">
        <x:v>0</x:v>
      </x:c>
      <x:c r="Z133" s="103" t="b">
        <x:v>0</x:v>
      </x:c>
      <x:c r="AA133" s="103" t="b">
        <x:v>0</x:v>
      </x:c>
      <x:c r="AB133" s="103" t="b">
        <x:v>0</x:v>
      </x:c>
      <x:c r="AC133" s="103" t="b">
        <x:v>0</x:v>
      </x:c>
      <x:c r="AD133" s="106" t="str">
        <x:v>BLOCKED_PENDING_VALIDATION</x:v>
      </x:c>
      <x:c r="AE133" s="99" t="str">
        <x:v>NOT_STARTED</x:v>
      </x:c>
      <x:c r="AF133" s="99" t="str">
        <x:v>Unassigned country-pack owner</x:v>
      </x:c>
      <x:c r="AG133" s="99" t="str">
        <x:v>SRC-CUS-001, SRC-CUS-005, SRC-CUS-007, SRC-DAT-001, SRC-POST-001, SRC-PRV-001, SRC-EU-001, SRC-EU-002, SRC-EU-003, SRC-EU-004, SRC-PRV-002</x:v>
      </x:c>
      <x:c r="AH133" s="99" t="str">
        <x:v>2026-07-25</x:v>
      </x:c>
      <x:c r="AI133" s="99" t="str">
        <x:v>2026-08-25</x:v>
      </x:c>
      <x:c r="AJ133" s="99" t="str">
        <x:v>Registry coverage only. Production readiness is capability-specific and requires the release checklist.</x:v>
      </x:c>
    </x:row>
    <x:row r="134" ht="54" customHeight="1">
      <x:c r="A134" s="97" t="str">
        <x:v>CP-MO</x:v>
      </x:c>
      <x:c r="B134" s="97" t="str">
        <x:v>Macau</x:v>
      </x:c>
      <x:c r="C134" s="97" t="str">
        <x:v>MO</x:v>
      </x:c>
      <x:c r="D134" s="97" t="str">
        <x:v>MAC</x:v>
      </x:c>
      <x:c r="E134" s="97" t="str">
        <x:v>446</x:v>
      </x:c>
      <x:c r="F134" s="97" t="str">
        <x:v>ISO 3166-1 assigned</x:v>
      </x:c>
      <x:c r="G134" s="97" t="str">
        <x:v>Territory, dependency or special-area record</x:v>
      </x:c>
      <x:c r="H134" s="97" t="str">
        <x:v>China (special administrative region)</x:v>
      </x:c>
      <x:c r="I134" s="97" t="str">
        <x:v>Asia</x:v>
      </x:c>
      <x:c r="J134" s="97" t="str">
        <x:v>Eastern Asia</x:v>
      </x:c>
      <x:c r="K134" s="97" t="str">
        <x:v>Separate customs territory</x:v>
      </x:c>
      <x:c r="L134" s="97" t="str">
        <x:v>UPU/operator contract, bilateral rules, EAD/message versions and serviceability must be validated</x:v>
      </x:c>
      <x:c r="M134" s="97" t="str">
        <x:v>ICAO state rules, PLACI regime, security status, carrier routing and serviceability must be validated</x:v>
      </x:c>
      <x:c r="N134" s="97" t="str">
        <x:v>Macao privacy law; transfer controls to validate</x:v>
      </x:c>
      <x:c r="O134" s="97" t="str">
        <x:v>Screen live lists for every applicable nexus; resolve ownership, sectoral, end-use and licence controls</x:v>
      </x:c>
      <x:c r="P134" s="97" t="str">
        <x:v>No static legal conclusion. Validate current national/territorial customs, tax, licensing, product, privacy and carrier sources before activation.</x:v>
      </x:c>
      <x:c r="Q134" s="97" t="str">
        <x:v>BLOCKED until tariff, prohibitions, documents and carrier services approved</x:v>
      </x:c>
      <x:c r="R134" s="97" t="str">
        <x:v>BLOCKED until ICAO/state/operator variations and certified review path approved</x:v>
      </x:c>
      <x:c r="S134" s="97" t="str">
        <x:v>BLOCKED until SPS/agency/temperature rules and external filing path approved</x:v>
      </x:c>
      <x:c r="T134" s="97" t="str">
        <x:v>BLOCKED until product/site/importer authorizations and quality path approved</x:v>
      </x:c>
      <x:c r="U134" s="97" t="str">
        <x:v>BLOCKED until excise/licences/age/carrier contract approved</x:v>
      </x:c>
      <x:c r="V134" s="97" t="str">
        <x:v>BLOCKED until classification/end-use/licensing and sanctions path approved</x:v>
      </x:c>
      <x:c r="W134" s="97" t="str">
        <x:v>BLOCKED until provenance/security/insurance/carrier limits approved</x:v>
      </x:c>
      <x:c r="X134" s="97" t="str">
        <x:v>BLOCKED until purpose, values, relief evidence and restrictions approved</x:v>
      </x:c>
      <x:c r="Y134" s="104" t="b">
        <x:v>0</x:v>
      </x:c>
      <x:c r="Z134" s="104" t="b">
        <x:v>0</x:v>
      </x:c>
      <x:c r="AA134" s="104" t="b">
        <x:v>0</x:v>
      </x:c>
      <x:c r="AB134" s="104" t="b">
        <x:v>0</x:v>
      </x:c>
      <x:c r="AC134" s="104" t="b">
        <x:v>0</x:v>
      </x:c>
      <x:c r="AD134" s="106" t="str">
        <x:v>BLOCKED_PENDING_VALIDATION</x:v>
      </x:c>
      <x:c r="AE134" s="97" t="str">
        <x:v>NOT_STARTED</x:v>
      </x:c>
      <x:c r="AF134" s="97" t="str">
        <x:v>Unassigned country-pack owner</x:v>
      </x:c>
      <x:c r="AG134" s="97" t="str">
        <x:v>SRC-CUS-001, SRC-CUS-005, SRC-CUS-007, SRC-DAT-001, SRC-POST-001, SRC-PRV-001</x:v>
      </x:c>
      <x:c r="AH134" s="97" t="str">
        <x:v>2026-07-25</x:v>
      </x:c>
      <x:c r="AI134" s="97" t="str">
        <x:v>2026-08-25</x:v>
      </x:c>
      <x:c r="AJ134" s="97" t="str">
        <x:v>Registry coverage only. Production readiness is capability-specific and requires the release checklist.</x:v>
      </x:c>
    </x:row>
    <x:row r="135" ht="54" customHeight="1">
      <x:c r="A135" s="99" t="str">
        <x:v>CP-MG</x:v>
      </x:c>
      <x:c r="B135" s="99" t="str">
        <x:v>Madagascar</x:v>
      </x:c>
      <x:c r="C135" s="99" t="str">
        <x:v>MG</x:v>
      </x:c>
      <x:c r="D135" s="99" t="str">
        <x:v>MDG</x:v>
      </x:c>
      <x:c r="E135" s="99" t="str">
        <x:v>450</x:v>
      </x:c>
      <x:c r="F135" s="99" t="str">
        <x:v>ISO 3166-1 assigned</x:v>
      </x:c>
      <x:c r="G135" s="99" t="str">
        <x:v>Independent state</x:v>
      </x:c>
      <x:c r="H135" s="99" t="str">
        <x:v>Self-administered for pack indexing; legal status follows authoritative sources</x:v>
      </x:c>
      <x:c r="I135" s="99" t="str">
        <x:v>Africa</x:v>
      </x:c>
      <x:c r="J135" s="99" t="str">
        <x:v>Eastern Africa</x:v>
      </x:c>
      <x:c r="K135" s="99" t="str">
        <x:v>National/territorial customs framework—local validation required</x:v>
      </x:c>
      <x:c r="L135" s="99" t="str">
        <x:v>UPU/operator contract, bilateral rules, EAD/message versions and serviceability must be validated</x:v>
      </x:c>
      <x:c r="M135" s="99" t="str">
        <x:v>ICAO state rules, PLACI regime, security status, carrier routing and serviceability must be validated</x:v>
      </x:c>
      <x:c r="N135" s="99" t="str">
        <x:v>Country-pack privacy law and transfer mechanism required</x:v>
      </x:c>
      <x:c r="O135" s="99" t="str">
        <x:v>Screen live lists for every applicable nexus; resolve ownership, sectoral, end-use and licence controls</x:v>
      </x:c>
      <x:c r="P135" s="99" t="str">
        <x:v>No static legal conclusion. Validate current national/territorial customs, tax, licensing, product, privacy and carrier sources before activation.</x:v>
      </x:c>
      <x:c r="Q135" s="99" t="str">
        <x:v>BLOCKED until tariff, prohibitions, documents and carrier services approved</x:v>
      </x:c>
      <x:c r="R135" s="99" t="str">
        <x:v>BLOCKED until ICAO/state/operator variations and certified review path approved</x:v>
      </x:c>
      <x:c r="S135" s="99" t="str">
        <x:v>BLOCKED until SPS/agency/temperature rules and external filing path approved</x:v>
      </x:c>
      <x:c r="T135" s="99" t="str">
        <x:v>BLOCKED until product/site/importer authorizations and quality path approved</x:v>
      </x:c>
      <x:c r="U135" s="99" t="str">
        <x:v>BLOCKED until excise/licences/age/carrier contract approved</x:v>
      </x:c>
      <x:c r="V135" s="99" t="str">
        <x:v>BLOCKED until classification/end-use/licensing and sanctions path approved</x:v>
      </x:c>
      <x:c r="W135" s="99" t="str">
        <x:v>BLOCKED until provenance/security/insurance/carrier limits approved</x:v>
      </x:c>
      <x:c r="X135" s="99" t="str">
        <x:v>BLOCKED until purpose, values, relief evidence and restrictions approved</x:v>
      </x:c>
      <x:c r="Y135" s="103" t="b">
        <x:v>0</x:v>
      </x:c>
      <x:c r="Z135" s="103" t="b">
        <x:v>0</x:v>
      </x:c>
      <x:c r="AA135" s="103" t="b">
        <x:v>0</x:v>
      </x:c>
      <x:c r="AB135" s="103" t="b">
        <x:v>0</x:v>
      </x:c>
      <x:c r="AC135" s="103" t="b">
        <x:v>0</x:v>
      </x:c>
      <x:c r="AD135" s="106" t="str">
        <x:v>BLOCKED_PENDING_VALIDATION</x:v>
      </x:c>
      <x:c r="AE135" s="99" t="str">
        <x:v>NOT_STARTED</x:v>
      </x:c>
      <x:c r="AF135" s="99" t="str">
        <x:v>Unassigned country-pack owner</x:v>
      </x:c>
      <x:c r="AG135" s="99" t="str">
        <x:v>SRC-CUS-001, SRC-CUS-005, SRC-CUS-007, SRC-DAT-001, SRC-POST-001, SRC-PRV-001</x:v>
      </x:c>
      <x:c r="AH135" s="99" t="str">
        <x:v>2026-07-25</x:v>
      </x:c>
      <x:c r="AI135" s="99" t="str">
        <x:v>2026-08-25</x:v>
      </x:c>
      <x:c r="AJ135" s="99" t="str">
        <x:v>Registry coverage only. Production readiness is capability-specific and requires the release checklist.</x:v>
      </x:c>
    </x:row>
    <x:row r="136" ht="54" customHeight="1">
      <x:c r="A136" s="97" t="str">
        <x:v>CP-MW</x:v>
      </x:c>
      <x:c r="B136" s="97" t="str">
        <x:v>Malawi</x:v>
      </x:c>
      <x:c r="C136" s="97" t="str">
        <x:v>MW</x:v>
      </x:c>
      <x:c r="D136" s="97" t="str">
        <x:v>MWI</x:v>
      </x:c>
      <x:c r="E136" s="97" t="str">
        <x:v>454</x:v>
      </x:c>
      <x:c r="F136" s="97" t="str">
        <x:v>ISO 3166-1 assigned</x:v>
      </x:c>
      <x:c r="G136" s="97" t="str">
        <x:v>Independent state</x:v>
      </x:c>
      <x:c r="H136" s="97" t="str">
        <x:v>Self-administered for pack indexing; legal status follows authoritative sources</x:v>
      </x:c>
      <x:c r="I136" s="97" t="str">
        <x:v>Africa</x:v>
      </x:c>
      <x:c r="J136" s="97" t="str">
        <x:v>Eastern Africa</x:v>
      </x:c>
      <x:c r="K136" s="97" t="str">
        <x:v>National/territorial customs framework—local validation required</x:v>
      </x:c>
      <x:c r="L136" s="97" t="str">
        <x:v>UPU/operator contract, bilateral rules, EAD/message versions and serviceability must be validated</x:v>
      </x:c>
      <x:c r="M136" s="97" t="str">
        <x:v>ICAO state rules, PLACI regime, security status, carrier routing and serviceability must be validated</x:v>
      </x:c>
      <x:c r="N136" s="97" t="str">
        <x:v>Country-pack privacy law and transfer mechanism required</x:v>
      </x:c>
      <x:c r="O136" s="97" t="str">
        <x:v>Screen live lists for every applicable nexus; resolve ownership, sectoral, end-use and licence controls</x:v>
      </x:c>
      <x:c r="P136" s="97" t="str">
        <x:v>No static legal conclusion. Validate current national/territorial customs, tax, licensing, product, privacy and carrier sources before activation.</x:v>
      </x:c>
      <x:c r="Q136" s="97" t="str">
        <x:v>BLOCKED until tariff, prohibitions, documents and carrier services approved</x:v>
      </x:c>
      <x:c r="R136" s="97" t="str">
        <x:v>BLOCKED until ICAO/state/operator variations and certified review path approved</x:v>
      </x:c>
      <x:c r="S136" s="97" t="str">
        <x:v>BLOCKED until SPS/agency/temperature rules and external filing path approved</x:v>
      </x:c>
      <x:c r="T136" s="97" t="str">
        <x:v>BLOCKED until product/site/importer authorizations and quality path approved</x:v>
      </x:c>
      <x:c r="U136" s="97" t="str">
        <x:v>BLOCKED until excise/licences/age/carrier contract approved</x:v>
      </x:c>
      <x:c r="V136" s="97" t="str">
        <x:v>BLOCKED until classification/end-use/licensing and sanctions path approved</x:v>
      </x:c>
      <x:c r="W136" s="97" t="str">
        <x:v>BLOCKED until provenance/security/insurance/carrier limits approved</x:v>
      </x:c>
      <x:c r="X136" s="97" t="str">
        <x:v>BLOCKED until purpose, values, relief evidence and restrictions approved</x:v>
      </x:c>
      <x:c r="Y136" s="104" t="b">
        <x:v>0</x:v>
      </x:c>
      <x:c r="Z136" s="104" t="b">
        <x:v>0</x:v>
      </x:c>
      <x:c r="AA136" s="104" t="b">
        <x:v>0</x:v>
      </x:c>
      <x:c r="AB136" s="104" t="b">
        <x:v>0</x:v>
      </x:c>
      <x:c r="AC136" s="104" t="b">
        <x:v>0</x:v>
      </x:c>
      <x:c r="AD136" s="106" t="str">
        <x:v>BLOCKED_PENDING_VALIDATION</x:v>
      </x:c>
      <x:c r="AE136" s="97" t="str">
        <x:v>NOT_STARTED</x:v>
      </x:c>
      <x:c r="AF136" s="97" t="str">
        <x:v>Unassigned country-pack owner</x:v>
      </x:c>
      <x:c r="AG136" s="97" t="str">
        <x:v>SRC-CUS-001, SRC-CUS-005, SRC-CUS-007, SRC-DAT-001, SRC-POST-001, SRC-PRV-001</x:v>
      </x:c>
      <x:c r="AH136" s="97" t="str">
        <x:v>2026-07-25</x:v>
      </x:c>
      <x:c r="AI136" s="97" t="str">
        <x:v>2026-08-25</x:v>
      </x:c>
      <x:c r="AJ136" s="97" t="str">
        <x:v>Registry coverage only. Production readiness is capability-specific and requires the release checklist.</x:v>
      </x:c>
    </x:row>
    <x:row r="137" ht="54" customHeight="1">
      <x:c r="A137" s="99" t="str">
        <x:v>CP-MY</x:v>
      </x:c>
      <x:c r="B137" s="99" t="str">
        <x:v>Malaysia</x:v>
      </x:c>
      <x:c r="C137" s="99" t="str">
        <x:v>MY</x:v>
      </x:c>
      <x:c r="D137" s="99" t="str">
        <x:v>MYS</x:v>
      </x:c>
      <x:c r="E137" s="99" t="str">
        <x:v>458</x:v>
      </x:c>
      <x:c r="F137" s="99" t="str">
        <x:v>ISO 3166-1 assigned</x:v>
      </x:c>
      <x:c r="G137" s="99" t="str">
        <x:v>Independent state</x:v>
      </x:c>
      <x:c r="H137" s="99" t="str">
        <x:v>Self-administered for pack indexing; legal status follows authoritative sources</x:v>
      </x:c>
      <x:c r="I137" s="99" t="str">
        <x:v>Asia</x:v>
      </x:c>
      <x:c r="J137" s="99" t="str">
        <x:v>South-Eastern Asia</x:v>
      </x:c>
      <x:c r="K137" s="99" t="str">
        <x:v>National/territorial customs framework—local validation required</x:v>
      </x:c>
      <x:c r="L137" s="99" t="str">
        <x:v>UPU/operator contract, bilateral rules, EAD/message versions and serviceability must be validated</x:v>
      </x:c>
      <x:c r="M137" s="99" t="str">
        <x:v>ICAO state rules, PLACI regime, security status, carrier routing and serviceability must be validated</x:v>
      </x:c>
      <x:c r="N137" s="99" t="str">
        <x:v>Country-pack privacy law and transfer mechanism required</x:v>
      </x:c>
      <x:c r="O137" s="99" t="str">
        <x:v>Screen live lists for every applicable nexus; resolve ownership, sectoral, end-use and licence controls</x:v>
      </x:c>
      <x:c r="P137" s="99" t="str">
        <x:v>No static legal conclusion. Validate current national/territorial customs, tax, licensing, product, privacy and carrier sources before activation.</x:v>
      </x:c>
      <x:c r="Q137" s="99" t="str">
        <x:v>BLOCKED until tariff, prohibitions, documents and carrier services approved</x:v>
      </x:c>
      <x:c r="R137" s="99" t="str">
        <x:v>BLOCKED until ICAO/state/operator variations and certified review path approved</x:v>
      </x:c>
      <x:c r="S137" s="99" t="str">
        <x:v>BLOCKED until SPS/agency/temperature rules and external filing path approved</x:v>
      </x:c>
      <x:c r="T137" s="99" t="str">
        <x:v>BLOCKED until product/site/importer authorizations and quality path approved</x:v>
      </x:c>
      <x:c r="U137" s="99" t="str">
        <x:v>BLOCKED until excise/licences/age/carrier contract approved</x:v>
      </x:c>
      <x:c r="V137" s="99" t="str">
        <x:v>BLOCKED until classification/end-use/licensing and sanctions path approved</x:v>
      </x:c>
      <x:c r="W137" s="99" t="str">
        <x:v>BLOCKED until provenance/security/insurance/carrier limits approved</x:v>
      </x:c>
      <x:c r="X137" s="99" t="str">
        <x:v>BLOCKED until purpose, values, relief evidence and restrictions approved</x:v>
      </x:c>
      <x:c r="Y137" s="103" t="b">
        <x:v>0</x:v>
      </x:c>
      <x:c r="Z137" s="103" t="b">
        <x:v>0</x:v>
      </x:c>
      <x:c r="AA137" s="103" t="b">
        <x:v>0</x:v>
      </x:c>
      <x:c r="AB137" s="103" t="b">
        <x:v>0</x:v>
      </x:c>
      <x:c r="AC137" s="103" t="b">
        <x:v>0</x:v>
      </x:c>
      <x:c r="AD137" s="106" t="str">
        <x:v>BLOCKED_PENDING_VALIDATION</x:v>
      </x:c>
      <x:c r="AE137" s="99" t="str">
        <x:v>NOT_STARTED</x:v>
      </x:c>
      <x:c r="AF137" s="99" t="str">
        <x:v>Unassigned country-pack owner</x:v>
      </x:c>
      <x:c r="AG137" s="99" t="str">
        <x:v>SRC-CUS-001, SRC-CUS-005, SRC-CUS-007, SRC-DAT-001, SRC-POST-001, SRC-PRV-001</x:v>
      </x:c>
      <x:c r="AH137" s="99" t="str">
        <x:v>2026-07-25</x:v>
      </x:c>
      <x:c r="AI137" s="99" t="str">
        <x:v>2026-08-25</x:v>
      </x:c>
      <x:c r="AJ137" s="99" t="str">
        <x:v>Registry coverage only. Production readiness is capability-specific and requires the release checklist.</x:v>
      </x:c>
    </x:row>
    <x:row r="138" ht="54" customHeight="1">
      <x:c r="A138" s="97" t="str">
        <x:v>CP-MV</x:v>
      </x:c>
      <x:c r="B138" s="97" t="str">
        <x:v>Maldives</x:v>
      </x:c>
      <x:c r="C138" s="97" t="str">
        <x:v>MV</x:v>
      </x:c>
      <x:c r="D138" s="97" t="str">
        <x:v>MDV</x:v>
      </x:c>
      <x:c r="E138" s="97" t="str">
        <x:v>462</x:v>
      </x:c>
      <x:c r="F138" s="97" t="str">
        <x:v>ISO 3166-1 assigned</x:v>
      </x:c>
      <x:c r="G138" s="97" t="str">
        <x:v>Independent state</x:v>
      </x:c>
      <x:c r="H138" s="97" t="str">
        <x:v>Self-administered for pack indexing; legal status follows authoritative sources</x:v>
      </x:c>
      <x:c r="I138" s="97" t="str">
        <x:v>Asia</x:v>
      </x:c>
      <x:c r="J138" s="97" t="str">
        <x:v>Southern Asia</x:v>
      </x:c>
      <x:c r="K138" s="97" t="str">
        <x:v>National/territorial customs framework—local validation required</x:v>
      </x:c>
      <x:c r="L138" s="97" t="str">
        <x:v>UPU/operator contract, bilateral rules, EAD/message versions and serviceability must be validated</x:v>
      </x:c>
      <x:c r="M138" s="97" t="str">
        <x:v>ICAO state rules, PLACI regime, security status, carrier routing and serviceability must be validated</x:v>
      </x:c>
      <x:c r="N138" s="97" t="str">
        <x:v>Country-pack privacy law and transfer mechanism required</x:v>
      </x:c>
      <x:c r="O138" s="97" t="str">
        <x:v>Screen live lists for every applicable nexus; resolve ownership, sectoral, end-use and licence controls</x:v>
      </x:c>
      <x:c r="P138" s="97" t="str">
        <x:v>No static legal conclusion. Validate current national/territorial customs, tax, licensing, product, privacy and carrier sources before activation.</x:v>
      </x:c>
      <x:c r="Q138" s="97" t="str">
        <x:v>BLOCKED until tariff, prohibitions, documents and carrier services approved</x:v>
      </x:c>
      <x:c r="R138" s="97" t="str">
        <x:v>BLOCKED until ICAO/state/operator variations and certified review path approved</x:v>
      </x:c>
      <x:c r="S138" s="97" t="str">
        <x:v>BLOCKED until SPS/agency/temperature rules and external filing path approved</x:v>
      </x:c>
      <x:c r="T138" s="97" t="str">
        <x:v>BLOCKED until product/site/importer authorizations and quality path approved</x:v>
      </x:c>
      <x:c r="U138" s="97" t="str">
        <x:v>BLOCKED until excise/licences/age/carrier contract approved</x:v>
      </x:c>
      <x:c r="V138" s="97" t="str">
        <x:v>BLOCKED until classification/end-use/licensing and sanctions path approved</x:v>
      </x:c>
      <x:c r="W138" s="97" t="str">
        <x:v>BLOCKED until provenance/security/insurance/carrier limits approved</x:v>
      </x:c>
      <x:c r="X138" s="97" t="str">
        <x:v>BLOCKED until purpose, values, relief evidence and restrictions approved</x:v>
      </x:c>
      <x:c r="Y138" s="104" t="b">
        <x:v>0</x:v>
      </x:c>
      <x:c r="Z138" s="104" t="b">
        <x:v>0</x:v>
      </x:c>
      <x:c r="AA138" s="104" t="b">
        <x:v>0</x:v>
      </x:c>
      <x:c r="AB138" s="104" t="b">
        <x:v>0</x:v>
      </x:c>
      <x:c r="AC138" s="104" t="b">
        <x:v>0</x:v>
      </x:c>
      <x:c r="AD138" s="106" t="str">
        <x:v>BLOCKED_PENDING_VALIDATION</x:v>
      </x:c>
      <x:c r="AE138" s="97" t="str">
        <x:v>NOT_STARTED</x:v>
      </x:c>
      <x:c r="AF138" s="97" t="str">
        <x:v>Unassigned country-pack owner</x:v>
      </x:c>
      <x:c r="AG138" s="97" t="str">
        <x:v>SRC-CUS-001, SRC-CUS-005, SRC-CUS-007, SRC-DAT-001, SRC-POST-001, SRC-PRV-001</x:v>
      </x:c>
      <x:c r="AH138" s="97" t="str">
        <x:v>2026-07-25</x:v>
      </x:c>
      <x:c r="AI138" s="97" t="str">
        <x:v>2026-08-25</x:v>
      </x:c>
      <x:c r="AJ138" s="97" t="str">
        <x:v>Registry coverage only. Production readiness is capability-specific and requires the release checklist.</x:v>
      </x:c>
    </x:row>
    <x:row r="139" ht="54" customHeight="1">
      <x:c r="A139" s="99" t="str">
        <x:v>CP-ML</x:v>
      </x:c>
      <x:c r="B139" s="99" t="str">
        <x:v>Mali</x:v>
      </x:c>
      <x:c r="C139" s="99" t="str">
        <x:v>ML</x:v>
      </x:c>
      <x:c r="D139" s="99" t="str">
        <x:v>MLI</x:v>
      </x:c>
      <x:c r="E139" s="99" t="str">
        <x:v>466</x:v>
      </x:c>
      <x:c r="F139" s="99" t="str">
        <x:v>ISO 3166-1 assigned</x:v>
      </x:c>
      <x:c r="G139" s="99" t="str">
        <x:v>Independent state</x:v>
      </x:c>
      <x:c r="H139" s="99" t="str">
        <x:v>Self-administered for pack indexing; legal status follows authoritative sources</x:v>
      </x:c>
      <x:c r="I139" s="99" t="str">
        <x:v>Africa</x:v>
      </x:c>
      <x:c r="J139" s="99" t="str">
        <x:v>Western Africa</x:v>
      </x:c>
      <x:c r="K139" s="99" t="str">
        <x:v>National/territorial customs framework—local validation required</x:v>
      </x:c>
      <x:c r="L139" s="99" t="str">
        <x:v>UPU/operator contract, bilateral rules, EAD/message versions and serviceability must be validated</x:v>
      </x:c>
      <x:c r="M139" s="99" t="str">
        <x:v>ICAO state rules, PLACI regime, security status, carrier routing and serviceability must be validated</x:v>
      </x:c>
      <x:c r="N139" s="99" t="str">
        <x:v>Country-pack privacy law and transfer mechanism required</x:v>
      </x:c>
      <x:c r="O139" s="99" t="str">
        <x:v>Screen live lists for every applicable nexus; resolve ownership, sectoral, end-use and licence controls</x:v>
      </x:c>
      <x:c r="P139" s="99" t="str">
        <x:v>No static legal conclusion. Validate current national/territorial customs, tax, licensing, product, privacy and carrier sources before activation.</x:v>
      </x:c>
      <x:c r="Q139" s="99" t="str">
        <x:v>BLOCKED until tariff, prohibitions, documents and carrier services approved</x:v>
      </x:c>
      <x:c r="R139" s="99" t="str">
        <x:v>BLOCKED until ICAO/state/operator variations and certified review path approved</x:v>
      </x:c>
      <x:c r="S139" s="99" t="str">
        <x:v>BLOCKED until SPS/agency/temperature rules and external filing path approved</x:v>
      </x:c>
      <x:c r="T139" s="99" t="str">
        <x:v>BLOCKED until product/site/importer authorizations and quality path approved</x:v>
      </x:c>
      <x:c r="U139" s="99" t="str">
        <x:v>BLOCKED until excise/licences/age/carrier contract approved</x:v>
      </x:c>
      <x:c r="V139" s="99" t="str">
        <x:v>BLOCKED until classification/end-use/licensing and sanctions path approved</x:v>
      </x:c>
      <x:c r="W139" s="99" t="str">
        <x:v>BLOCKED until provenance/security/insurance/carrier limits approved</x:v>
      </x:c>
      <x:c r="X139" s="99" t="str">
        <x:v>BLOCKED until purpose, values, relief evidence and restrictions approved</x:v>
      </x:c>
      <x:c r="Y139" s="103" t="b">
        <x:v>0</x:v>
      </x:c>
      <x:c r="Z139" s="103" t="b">
        <x:v>0</x:v>
      </x:c>
      <x:c r="AA139" s="103" t="b">
        <x:v>0</x:v>
      </x:c>
      <x:c r="AB139" s="103" t="b">
        <x:v>0</x:v>
      </x:c>
      <x:c r="AC139" s="103" t="b">
        <x:v>0</x:v>
      </x:c>
      <x:c r="AD139" s="106" t="str">
        <x:v>BLOCKED_PENDING_VALIDATION</x:v>
      </x:c>
      <x:c r="AE139" s="99" t="str">
        <x:v>NOT_STARTED</x:v>
      </x:c>
      <x:c r="AF139" s="99" t="str">
        <x:v>Unassigned country-pack owner</x:v>
      </x:c>
      <x:c r="AG139" s="99" t="str">
        <x:v>SRC-CUS-001, SRC-CUS-005, SRC-CUS-007, SRC-DAT-001, SRC-POST-001, SRC-PRV-001</x:v>
      </x:c>
      <x:c r="AH139" s="99" t="str">
        <x:v>2026-07-25</x:v>
      </x:c>
      <x:c r="AI139" s="99" t="str">
        <x:v>2026-08-25</x:v>
      </x:c>
      <x:c r="AJ139" s="99" t="str">
        <x:v>Registry coverage only. Production readiness is capability-specific and requires the release checklist.</x:v>
      </x:c>
    </x:row>
    <x:row r="140" ht="54" customHeight="1">
      <x:c r="A140" s="97" t="str">
        <x:v>CP-MT</x:v>
      </x:c>
      <x:c r="B140" s="97" t="str">
        <x:v>Malta</x:v>
      </x:c>
      <x:c r="C140" s="97" t="str">
        <x:v>MT</x:v>
      </x:c>
      <x:c r="D140" s="97" t="str">
        <x:v>MLT</x:v>
      </x:c>
      <x:c r="E140" s="97" t="str">
        <x:v>470</x:v>
      </x:c>
      <x:c r="F140" s="97" t="str">
        <x:v>ISO 3166-1 assigned</x:v>
      </x:c>
      <x:c r="G140" s="97" t="str">
        <x:v>Independent state</x:v>
      </x:c>
      <x:c r="H140" s="97" t="str">
        <x:v>Self-administered for pack indexing; legal status follows authoritative sources</x:v>
      </x:c>
      <x:c r="I140" s="97" t="str">
        <x:v>Europe</x:v>
      </x:c>
      <x:c r="J140" s="97" t="str">
        <x:v>Southern Europe</x:v>
      </x:c>
      <x:c r="K140" s="97" t="str">
        <x:v>EU customs framework; validate special fiscal/customs territory</x:v>
      </x:c>
      <x:c r="L140" s="97" t="str">
        <x:v>UPU/operator contract, bilateral rules, EAD/message versions and serviceability must be validated</x:v>
      </x:c>
      <x:c r="M140" s="97" t="str">
        <x:v>ICAO state rules, PLACI regime, security status, carrier routing and serviceability must be validated</x:v>
      </x:c>
      <x:c r="N140" s="97" t="str">
        <x:v>GDPR/EEA transfer controls; local supplements</x:v>
      </x:c>
      <x:c r="O140" s="97" t="str">
        <x:v>Screen live lists for every applicable nexus; resolve ownership, sectoral, end-use and licence controls</x:v>
      </x:c>
      <x:c r="P140" s="97" t="str">
        <x:v>EU baseline: ICS2/ENS and current low-value/VAT rules; member and special-territory validation still required.</x:v>
      </x:c>
      <x:c r="Q140" s="97" t="str">
        <x:v>BLOCKED until tariff, prohibitions, documents and carrier services approved</x:v>
      </x:c>
      <x:c r="R140" s="97" t="str">
        <x:v>BLOCKED until ICAO/state/operator variations and certified review path approved</x:v>
      </x:c>
      <x:c r="S140" s="97" t="str">
        <x:v>BLOCKED until SPS/agency/temperature rules and external filing path approved</x:v>
      </x:c>
      <x:c r="T140" s="97" t="str">
        <x:v>BLOCKED until product/site/importer authorizations and quality path approved</x:v>
      </x:c>
      <x:c r="U140" s="97" t="str">
        <x:v>BLOCKED until excise/licences/age/carrier contract approved</x:v>
      </x:c>
      <x:c r="V140" s="97" t="str">
        <x:v>BLOCKED until classification/end-use/licensing and sanctions path approved</x:v>
      </x:c>
      <x:c r="W140" s="97" t="str">
        <x:v>BLOCKED until provenance/security/insurance/carrier limits approved</x:v>
      </x:c>
      <x:c r="X140" s="97" t="str">
        <x:v>BLOCKED until purpose, values, relief evidence and restrictions approved</x:v>
      </x:c>
      <x:c r="Y140" s="104" t="b">
        <x:v>0</x:v>
      </x:c>
      <x:c r="Z140" s="104" t="b">
        <x:v>0</x:v>
      </x:c>
      <x:c r="AA140" s="104" t="b">
        <x:v>0</x:v>
      </x:c>
      <x:c r="AB140" s="104" t="b">
        <x:v>0</x:v>
      </x:c>
      <x:c r="AC140" s="104" t="b">
        <x:v>0</x:v>
      </x:c>
      <x:c r="AD140" s="106" t="str">
        <x:v>BLOCKED_PENDING_VALIDATION</x:v>
      </x:c>
      <x:c r="AE140" s="97" t="str">
        <x:v>NOT_STARTED</x:v>
      </x:c>
      <x:c r="AF140" s="97" t="str">
        <x:v>Unassigned country-pack owner</x:v>
      </x:c>
      <x:c r="AG140" s="97" t="str">
        <x:v>SRC-CUS-001, SRC-CUS-005, SRC-CUS-007, SRC-DAT-001, SRC-POST-001, SRC-PRV-001, SRC-EU-001, SRC-EU-002, SRC-EU-003, SRC-EU-004, SRC-PRV-002</x:v>
      </x:c>
      <x:c r="AH140" s="97" t="str">
        <x:v>2026-07-25</x:v>
      </x:c>
      <x:c r="AI140" s="97" t="str">
        <x:v>2026-08-25</x:v>
      </x:c>
      <x:c r="AJ140" s="97" t="str">
        <x:v>Registry coverage only. Production readiness is capability-specific and requires the release checklist.</x:v>
      </x:c>
    </x:row>
    <x:row r="141" ht="54" customHeight="1">
      <x:c r="A141" s="99" t="str">
        <x:v>CP-MH</x:v>
      </x:c>
      <x:c r="B141" s="99" t="str">
        <x:v>Marshall Islands</x:v>
      </x:c>
      <x:c r="C141" s="99" t="str">
        <x:v>MH</x:v>
      </x:c>
      <x:c r="D141" s="99" t="str">
        <x:v>MHL</x:v>
      </x:c>
      <x:c r="E141" s="99" t="str">
        <x:v>584</x:v>
      </x:c>
      <x:c r="F141" s="99" t="str">
        <x:v>ISO 3166-1 assigned</x:v>
      </x:c>
      <x:c r="G141" s="99" t="str">
        <x:v>Independent state</x:v>
      </x:c>
      <x:c r="H141" s="99" t="str">
        <x:v>Self-administered for pack indexing; legal status follows authoritative sources</x:v>
      </x:c>
      <x:c r="I141" s="99" t="str">
        <x:v>Oceania</x:v>
      </x:c>
      <x:c r="J141" s="99" t="str">
        <x:v>Micronesia</x:v>
      </x:c>
      <x:c r="K141" s="99" t="str">
        <x:v>National/territorial customs framework—local validation required</x:v>
      </x:c>
      <x:c r="L141" s="99" t="str">
        <x:v>UPU/operator contract, bilateral rules, EAD/message versions and serviceability must be validated</x:v>
      </x:c>
      <x:c r="M141" s="99" t="str">
        <x:v>ICAO state rules, PLACI regime, security status, carrier routing and serviceability must be validated</x:v>
      </x:c>
      <x:c r="N141" s="99" t="str">
        <x:v>Country-pack privacy law and transfer mechanism required</x:v>
      </x:c>
      <x:c r="O141" s="99" t="str">
        <x:v>Screen live lists for every applicable nexus; resolve ownership, sectoral, end-use and licence controls</x:v>
      </x:c>
      <x:c r="P141" s="99" t="str">
        <x:v>No static legal conclusion. Validate current national/territorial customs, tax, licensing, product, privacy and carrier sources before activation.</x:v>
      </x:c>
      <x:c r="Q141" s="99" t="str">
        <x:v>BLOCKED until tariff, prohibitions, documents and carrier services approved</x:v>
      </x:c>
      <x:c r="R141" s="99" t="str">
        <x:v>BLOCKED until ICAO/state/operator variations and certified review path approved</x:v>
      </x:c>
      <x:c r="S141" s="99" t="str">
        <x:v>BLOCKED until SPS/agency/temperature rules and external filing path approved</x:v>
      </x:c>
      <x:c r="T141" s="99" t="str">
        <x:v>BLOCKED until product/site/importer authorizations and quality path approved</x:v>
      </x:c>
      <x:c r="U141" s="99" t="str">
        <x:v>BLOCKED until excise/licences/age/carrier contract approved</x:v>
      </x:c>
      <x:c r="V141" s="99" t="str">
        <x:v>BLOCKED until classification/end-use/licensing and sanctions path approved</x:v>
      </x:c>
      <x:c r="W141" s="99" t="str">
        <x:v>BLOCKED until provenance/security/insurance/carrier limits approved</x:v>
      </x:c>
      <x:c r="X141" s="99" t="str">
        <x:v>BLOCKED until purpose, values, relief evidence and restrictions approved</x:v>
      </x:c>
      <x:c r="Y141" s="103" t="b">
        <x:v>0</x:v>
      </x:c>
      <x:c r="Z141" s="103" t="b">
        <x:v>0</x:v>
      </x:c>
      <x:c r="AA141" s="103" t="b">
        <x:v>0</x:v>
      </x:c>
      <x:c r="AB141" s="103" t="b">
        <x:v>0</x:v>
      </x:c>
      <x:c r="AC141" s="103" t="b">
        <x:v>0</x:v>
      </x:c>
      <x:c r="AD141" s="106" t="str">
        <x:v>BLOCKED_PENDING_VALIDATION</x:v>
      </x:c>
      <x:c r="AE141" s="99" t="str">
        <x:v>NOT_STARTED</x:v>
      </x:c>
      <x:c r="AF141" s="99" t="str">
        <x:v>Unassigned country-pack owner</x:v>
      </x:c>
      <x:c r="AG141" s="99" t="str">
        <x:v>SRC-CUS-001, SRC-CUS-005, SRC-CUS-007, SRC-DAT-001, SRC-POST-001, SRC-PRV-001</x:v>
      </x:c>
      <x:c r="AH141" s="99" t="str">
        <x:v>2026-07-25</x:v>
      </x:c>
      <x:c r="AI141" s="99" t="str">
        <x:v>2026-08-25</x:v>
      </x:c>
      <x:c r="AJ141" s="99" t="str">
        <x:v>Registry coverage only. Production readiness is capability-specific and requires the release checklist.</x:v>
      </x:c>
    </x:row>
    <x:row r="142" ht="54" customHeight="1">
      <x:c r="A142" s="97" t="str">
        <x:v>CP-MQ</x:v>
      </x:c>
      <x:c r="B142" s="97" t="str">
        <x:v>Martinique</x:v>
      </x:c>
      <x:c r="C142" s="97" t="str">
        <x:v>MQ</x:v>
      </x:c>
      <x:c r="D142" s="97" t="str">
        <x:v>MTQ</x:v>
      </x:c>
      <x:c r="E142" s="97" t="str">
        <x:v>474</x:v>
      </x:c>
      <x:c r="F142" s="97" t="str">
        <x:v>ISO 3166-1 assigned</x:v>
      </x:c>
      <x:c r="G142" s="97" t="str">
        <x:v>Territory, dependency or special-area record</x:v>
      </x:c>
      <x:c r="H142" s="97" t="str">
        <x:v>France</x:v>
      </x:c>
      <x:c r="I142" s="97" t="str">
        <x:v>Americas</x:v>
      </x:c>
      <x:c r="J142" s="97" t="str">
        <x:v>Caribbean</x:v>
      </x:c>
      <x:c r="K142" s="97" t="str">
        <x:v>National/territorial customs framework—local validation required</x:v>
      </x:c>
      <x:c r="L142" s="97" t="str">
        <x:v>UPU/operator contract, bilateral rules, EAD/message versions and serviceability must be validated</x:v>
      </x:c>
      <x:c r="M142" s="97" t="str">
        <x:v>ICAO state rules, PLACI regime, security status, carrier routing and serviceability must be validated</x:v>
      </x:c>
      <x:c r="N142" s="97" t="str">
        <x:v>Country-pack privacy law and transfer mechanism required</x:v>
      </x:c>
      <x:c r="O142" s="97" t="str">
        <x:v>Screen live lists for every applicable nexus; resolve ownership, sectoral, end-use and licence controls</x:v>
      </x:c>
      <x:c r="P142" s="97" t="str">
        <x:v>No static legal conclusion. Validate current national/territorial customs, tax, licensing, product, privacy and carrier sources before activation.</x:v>
      </x:c>
      <x:c r="Q142" s="97" t="str">
        <x:v>BLOCKED until tariff, prohibitions, documents and carrier services approved</x:v>
      </x:c>
      <x:c r="R142" s="97" t="str">
        <x:v>BLOCKED until ICAO/state/operator variations and certified review path approved</x:v>
      </x:c>
      <x:c r="S142" s="97" t="str">
        <x:v>BLOCKED until SPS/agency/temperature rules and external filing path approved</x:v>
      </x:c>
      <x:c r="T142" s="97" t="str">
        <x:v>BLOCKED until product/site/importer authorizations and quality path approved</x:v>
      </x:c>
      <x:c r="U142" s="97" t="str">
        <x:v>BLOCKED until excise/licences/age/carrier contract approved</x:v>
      </x:c>
      <x:c r="V142" s="97" t="str">
        <x:v>BLOCKED until classification/end-use/licensing and sanctions path approved</x:v>
      </x:c>
      <x:c r="W142" s="97" t="str">
        <x:v>BLOCKED until provenance/security/insurance/carrier limits approved</x:v>
      </x:c>
      <x:c r="X142" s="97" t="str">
        <x:v>BLOCKED until purpose, values, relief evidence and restrictions approved</x:v>
      </x:c>
      <x:c r="Y142" s="104" t="b">
        <x:v>0</x:v>
      </x:c>
      <x:c r="Z142" s="104" t="b">
        <x:v>0</x:v>
      </x:c>
      <x:c r="AA142" s="104" t="b">
        <x:v>0</x:v>
      </x:c>
      <x:c r="AB142" s="104" t="b">
        <x:v>0</x:v>
      </x:c>
      <x:c r="AC142" s="104" t="b">
        <x:v>0</x:v>
      </x:c>
      <x:c r="AD142" s="106" t="str">
        <x:v>BLOCKED_PENDING_VALIDATION</x:v>
      </x:c>
      <x:c r="AE142" s="97" t="str">
        <x:v>NOT_STARTED</x:v>
      </x:c>
      <x:c r="AF142" s="97" t="str">
        <x:v>Unassigned country-pack owner</x:v>
      </x:c>
      <x:c r="AG142" s="97" t="str">
        <x:v>SRC-CUS-001, SRC-CUS-005, SRC-CUS-007, SRC-DAT-001, SRC-POST-001, SRC-PRV-001</x:v>
      </x:c>
      <x:c r="AH142" s="97" t="str">
        <x:v>2026-07-25</x:v>
      </x:c>
      <x:c r="AI142" s="97" t="str">
        <x:v>2026-08-25</x:v>
      </x:c>
      <x:c r="AJ142" s="97" t="str">
        <x:v>Registry coverage only. Production readiness is capability-specific and requires the release checklist.</x:v>
      </x:c>
    </x:row>
    <x:row r="143" ht="54" customHeight="1">
      <x:c r="A143" s="99" t="str">
        <x:v>CP-MR</x:v>
      </x:c>
      <x:c r="B143" s="99" t="str">
        <x:v>Mauritania</x:v>
      </x:c>
      <x:c r="C143" s="99" t="str">
        <x:v>MR</x:v>
      </x:c>
      <x:c r="D143" s="99" t="str">
        <x:v>MRT</x:v>
      </x:c>
      <x:c r="E143" s="99" t="str">
        <x:v>478</x:v>
      </x:c>
      <x:c r="F143" s="99" t="str">
        <x:v>ISO 3166-1 assigned</x:v>
      </x:c>
      <x:c r="G143" s="99" t="str">
        <x:v>Independent state</x:v>
      </x:c>
      <x:c r="H143" s="99" t="str">
        <x:v>Self-administered for pack indexing; legal status follows authoritative sources</x:v>
      </x:c>
      <x:c r="I143" s="99" t="str">
        <x:v>Africa</x:v>
      </x:c>
      <x:c r="J143" s="99" t="str">
        <x:v>Western Africa</x:v>
      </x:c>
      <x:c r="K143" s="99" t="str">
        <x:v>National/territorial customs framework—local validation required</x:v>
      </x:c>
      <x:c r="L143" s="99" t="str">
        <x:v>UPU/operator contract, bilateral rules, EAD/message versions and serviceability must be validated</x:v>
      </x:c>
      <x:c r="M143" s="99" t="str">
        <x:v>ICAO state rules, PLACI regime, security status, carrier routing and serviceability must be validated</x:v>
      </x:c>
      <x:c r="N143" s="99" t="str">
        <x:v>Country-pack privacy law and transfer mechanism required</x:v>
      </x:c>
      <x:c r="O143" s="99" t="str">
        <x:v>Screen live lists for every applicable nexus; resolve ownership, sectoral, end-use and licence controls</x:v>
      </x:c>
      <x:c r="P143" s="99" t="str">
        <x:v>No static legal conclusion. Validate current national/territorial customs, tax, licensing, product, privacy and carrier sources before activation.</x:v>
      </x:c>
      <x:c r="Q143" s="99" t="str">
        <x:v>BLOCKED until tariff, prohibitions, documents and carrier services approved</x:v>
      </x:c>
      <x:c r="R143" s="99" t="str">
        <x:v>BLOCKED until ICAO/state/operator variations and certified review path approved</x:v>
      </x:c>
      <x:c r="S143" s="99" t="str">
        <x:v>BLOCKED until SPS/agency/temperature rules and external filing path approved</x:v>
      </x:c>
      <x:c r="T143" s="99" t="str">
        <x:v>BLOCKED until product/site/importer authorizations and quality path approved</x:v>
      </x:c>
      <x:c r="U143" s="99" t="str">
        <x:v>BLOCKED until excise/licences/age/carrier contract approved</x:v>
      </x:c>
      <x:c r="V143" s="99" t="str">
        <x:v>BLOCKED until classification/end-use/licensing and sanctions path approved</x:v>
      </x:c>
      <x:c r="W143" s="99" t="str">
        <x:v>BLOCKED until provenance/security/insurance/carrier limits approved</x:v>
      </x:c>
      <x:c r="X143" s="99" t="str">
        <x:v>BLOCKED until purpose, values, relief evidence and restrictions approved</x:v>
      </x:c>
      <x:c r="Y143" s="103" t="b">
        <x:v>0</x:v>
      </x:c>
      <x:c r="Z143" s="103" t="b">
        <x:v>0</x:v>
      </x:c>
      <x:c r="AA143" s="103" t="b">
        <x:v>0</x:v>
      </x:c>
      <x:c r="AB143" s="103" t="b">
        <x:v>0</x:v>
      </x:c>
      <x:c r="AC143" s="103" t="b">
        <x:v>0</x:v>
      </x:c>
      <x:c r="AD143" s="106" t="str">
        <x:v>BLOCKED_PENDING_VALIDATION</x:v>
      </x:c>
      <x:c r="AE143" s="99" t="str">
        <x:v>NOT_STARTED</x:v>
      </x:c>
      <x:c r="AF143" s="99" t="str">
        <x:v>Unassigned country-pack owner</x:v>
      </x:c>
      <x:c r="AG143" s="99" t="str">
        <x:v>SRC-CUS-001, SRC-CUS-005, SRC-CUS-007, SRC-DAT-001, SRC-POST-001, SRC-PRV-001</x:v>
      </x:c>
      <x:c r="AH143" s="99" t="str">
        <x:v>2026-07-25</x:v>
      </x:c>
      <x:c r="AI143" s="99" t="str">
        <x:v>2026-08-25</x:v>
      </x:c>
      <x:c r="AJ143" s="99" t="str">
        <x:v>Registry coverage only. Production readiness is capability-specific and requires the release checklist.</x:v>
      </x:c>
    </x:row>
    <x:row r="144" ht="54" customHeight="1">
      <x:c r="A144" s="97" t="str">
        <x:v>CP-MU</x:v>
      </x:c>
      <x:c r="B144" s="97" t="str">
        <x:v>Mauritius</x:v>
      </x:c>
      <x:c r="C144" s="97" t="str">
        <x:v>MU</x:v>
      </x:c>
      <x:c r="D144" s="97" t="str">
        <x:v>MUS</x:v>
      </x:c>
      <x:c r="E144" s="97" t="str">
        <x:v>480</x:v>
      </x:c>
      <x:c r="F144" s="97" t="str">
        <x:v>ISO 3166-1 assigned</x:v>
      </x:c>
      <x:c r="G144" s="97" t="str">
        <x:v>Independent state</x:v>
      </x:c>
      <x:c r="H144" s="97" t="str">
        <x:v>Self-administered for pack indexing; legal status follows authoritative sources</x:v>
      </x:c>
      <x:c r="I144" s="97" t="str">
        <x:v>Africa</x:v>
      </x:c>
      <x:c r="J144" s="97" t="str">
        <x:v>Eastern Africa</x:v>
      </x:c>
      <x:c r="K144" s="97" t="str">
        <x:v>National/territorial customs framework—local validation required</x:v>
      </x:c>
      <x:c r="L144" s="97" t="str">
        <x:v>UPU/operator contract, bilateral rules, EAD/message versions and serviceability must be validated</x:v>
      </x:c>
      <x:c r="M144" s="97" t="str">
        <x:v>ICAO state rules, PLACI regime, security status, carrier routing and serviceability must be validated</x:v>
      </x:c>
      <x:c r="N144" s="97" t="str">
        <x:v>Country-pack privacy law and transfer mechanism required</x:v>
      </x:c>
      <x:c r="O144" s="97" t="str">
        <x:v>Screen live lists for every applicable nexus; resolve ownership, sectoral, end-use and licence controls</x:v>
      </x:c>
      <x:c r="P144" s="97" t="str">
        <x:v>No static legal conclusion. Validate current national/territorial customs, tax, licensing, product, privacy and carrier sources before activation.</x:v>
      </x:c>
      <x:c r="Q144" s="97" t="str">
        <x:v>BLOCKED until tariff, prohibitions, documents and carrier services approved</x:v>
      </x:c>
      <x:c r="R144" s="97" t="str">
        <x:v>BLOCKED until ICAO/state/operator variations and certified review path approved</x:v>
      </x:c>
      <x:c r="S144" s="97" t="str">
        <x:v>BLOCKED until SPS/agency/temperature rules and external filing path approved</x:v>
      </x:c>
      <x:c r="T144" s="97" t="str">
        <x:v>BLOCKED until product/site/importer authorizations and quality path approved</x:v>
      </x:c>
      <x:c r="U144" s="97" t="str">
        <x:v>BLOCKED until excise/licences/age/carrier contract approved</x:v>
      </x:c>
      <x:c r="V144" s="97" t="str">
        <x:v>BLOCKED until classification/end-use/licensing and sanctions path approved</x:v>
      </x:c>
      <x:c r="W144" s="97" t="str">
        <x:v>BLOCKED until provenance/security/insurance/carrier limits approved</x:v>
      </x:c>
      <x:c r="X144" s="97" t="str">
        <x:v>BLOCKED until purpose, values, relief evidence and restrictions approved</x:v>
      </x:c>
      <x:c r="Y144" s="104" t="b">
        <x:v>0</x:v>
      </x:c>
      <x:c r="Z144" s="104" t="b">
        <x:v>0</x:v>
      </x:c>
      <x:c r="AA144" s="104" t="b">
        <x:v>0</x:v>
      </x:c>
      <x:c r="AB144" s="104" t="b">
        <x:v>0</x:v>
      </x:c>
      <x:c r="AC144" s="104" t="b">
        <x:v>0</x:v>
      </x:c>
      <x:c r="AD144" s="106" t="str">
        <x:v>BLOCKED_PENDING_VALIDATION</x:v>
      </x:c>
      <x:c r="AE144" s="97" t="str">
        <x:v>NOT_STARTED</x:v>
      </x:c>
      <x:c r="AF144" s="97" t="str">
        <x:v>Unassigned country-pack owner</x:v>
      </x:c>
      <x:c r="AG144" s="97" t="str">
        <x:v>SRC-CUS-001, SRC-CUS-005, SRC-CUS-007, SRC-DAT-001, SRC-POST-001, SRC-PRV-001</x:v>
      </x:c>
      <x:c r="AH144" s="97" t="str">
        <x:v>2026-07-25</x:v>
      </x:c>
      <x:c r="AI144" s="97" t="str">
        <x:v>2026-08-25</x:v>
      </x:c>
      <x:c r="AJ144" s="97" t="str">
        <x:v>Registry coverage only. Production readiness is capability-specific and requires the release checklist.</x:v>
      </x:c>
    </x:row>
    <x:row r="145" ht="54" customHeight="1">
      <x:c r="A145" s="99" t="str">
        <x:v>CP-YT</x:v>
      </x:c>
      <x:c r="B145" s="99" t="str">
        <x:v>Mayotte</x:v>
      </x:c>
      <x:c r="C145" s="99" t="str">
        <x:v>YT</x:v>
      </x:c>
      <x:c r="D145" s="99" t="str">
        <x:v>MYT</x:v>
      </x:c>
      <x:c r="E145" s="99" t="str">
        <x:v>175</x:v>
      </x:c>
      <x:c r="F145" s="99" t="str">
        <x:v>ISO 3166-1 assigned</x:v>
      </x:c>
      <x:c r="G145" s="99" t="str">
        <x:v>Territory, dependency or special-area record</x:v>
      </x:c>
      <x:c r="H145" s="99" t="str">
        <x:v>France</x:v>
      </x:c>
      <x:c r="I145" s="99" t="str">
        <x:v>Africa</x:v>
      </x:c>
      <x:c r="J145" s="99" t="str">
        <x:v>Eastern Africa</x:v>
      </x:c>
      <x:c r="K145" s="99" t="str">
        <x:v>National/territorial customs framework—local validation required</x:v>
      </x:c>
      <x:c r="L145" s="99" t="str">
        <x:v>UPU/operator contract, bilateral rules, EAD/message versions and serviceability must be validated</x:v>
      </x:c>
      <x:c r="M145" s="99" t="str">
        <x:v>ICAO state rules, PLACI regime, security status, carrier routing and serviceability must be validated</x:v>
      </x:c>
      <x:c r="N145" s="99" t="str">
        <x:v>Country-pack privacy law and transfer mechanism required</x:v>
      </x:c>
      <x:c r="O145" s="99" t="str">
        <x:v>Screen live lists for every applicable nexus; resolve ownership, sectoral, end-use and licence controls</x:v>
      </x:c>
      <x:c r="P145" s="99" t="str">
        <x:v>No static legal conclusion. Validate current national/territorial customs, tax, licensing, product, privacy and carrier sources before activation.</x:v>
      </x:c>
      <x:c r="Q145" s="99" t="str">
        <x:v>BLOCKED until tariff, prohibitions, documents and carrier services approved</x:v>
      </x:c>
      <x:c r="R145" s="99" t="str">
        <x:v>BLOCKED until ICAO/state/operator variations and certified review path approved</x:v>
      </x:c>
      <x:c r="S145" s="99" t="str">
        <x:v>BLOCKED until SPS/agency/temperature rules and external filing path approved</x:v>
      </x:c>
      <x:c r="T145" s="99" t="str">
        <x:v>BLOCKED until product/site/importer authorizations and quality path approved</x:v>
      </x:c>
      <x:c r="U145" s="99" t="str">
        <x:v>BLOCKED until excise/licences/age/carrier contract approved</x:v>
      </x:c>
      <x:c r="V145" s="99" t="str">
        <x:v>BLOCKED until classification/end-use/licensing and sanctions path approved</x:v>
      </x:c>
      <x:c r="W145" s="99" t="str">
        <x:v>BLOCKED until provenance/security/insurance/carrier limits approved</x:v>
      </x:c>
      <x:c r="X145" s="99" t="str">
        <x:v>BLOCKED until purpose, values, relief evidence and restrictions approved</x:v>
      </x:c>
      <x:c r="Y145" s="103" t="b">
        <x:v>0</x:v>
      </x:c>
      <x:c r="Z145" s="103" t="b">
        <x:v>0</x:v>
      </x:c>
      <x:c r="AA145" s="103" t="b">
        <x:v>0</x:v>
      </x:c>
      <x:c r="AB145" s="103" t="b">
        <x:v>0</x:v>
      </x:c>
      <x:c r="AC145" s="103" t="b">
        <x:v>0</x:v>
      </x:c>
      <x:c r="AD145" s="106" t="str">
        <x:v>BLOCKED_PENDING_VALIDATION</x:v>
      </x:c>
      <x:c r="AE145" s="99" t="str">
        <x:v>NOT_STARTED</x:v>
      </x:c>
      <x:c r="AF145" s="99" t="str">
        <x:v>Unassigned country-pack owner</x:v>
      </x:c>
      <x:c r="AG145" s="99" t="str">
        <x:v>SRC-CUS-001, SRC-CUS-005, SRC-CUS-007, SRC-DAT-001, SRC-POST-001, SRC-PRV-001</x:v>
      </x:c>
      <x:c r="AH145" s="99" t="str">
        <x:v>2026-07-25</x:v>
      </x:c>
      <x:c r="AI145" s="99" t="str">
        <x:v>2026-08-25</x:v>
      </x:c>
      <x:c r="AJ145" s="99" t="str">
        <x:v>Registry coverage only. Production readiness is capability-specific and requires the release checklist.</x:v>
      </x:c>
    </x:row>
    <x:row r="146" ht="54" customHeight="1">
      <x:c r="A146" s="97" t="str">
        <x:v>CP-MX</x:v>
      </x:c>
      <x:c r="B146" s="97" t="str">
        <x:v>Mexico</x:v>
      </x:c>
      <x:c r="C146" s="97" t="str">
        <x:v>MX</x:v>
      </x:c>
      <x:c r="D146" s="97" t="str">
        <x:v>MEX</x:v>
      </x:c>
      <x:c r="E146" s="97" t="str">
        <x:v>484</x:v>
      </x:c>
      <x:c r="F146" s="97" t="str">
        <x:v>ISO 3166-1 assigned</x:v>
      </x:c>
      <x:c r="G146" s="97" t="str">
        <x:v>Independent state</x:v>
      </x:c>
      <x:c r="H146" s="97" t="str">
        <x:v>Self-administered for pack indexing; legal status follows authoritative sources</x:v>
      </x:c>
      <x:c r="I146" s="97" t="str">
        <x:v>Americas</x:v>
      </x:c>
      <x:c r="J146" s="97" t="str">
        <x:v>North America</x:v>
      </x:c>
      <x:c r="K146" s="97" t="str">
        <x:v>National/territorial customs framework—local validation required</x:v>
      </x:c>
      <x:c r="L146" s="97" t="str">
        <x:v>UPU/operator contract, bilateral rules, EAD/message versions and serviceability must be validated</x:v>
      </x:c>
      <x:c r="M146" s="97" t="str">
        <x:v>ICAO state rules, PLACI regime, security status, carrier routing and serviceability must be validated</x:v>
      </x:c>
      <x:c r="N146" s="97" t="str">
        <x:v>Federal private-sector data law</x:v>
      </x:c>
      <x:c r="O146" s="97" t="str">
        <x:v>Screen live lists for every applicable nexus; resolve ownership, sectoral, end-use and licence controls</x:v>
      </x:c>
      <x:c r="P146" s="97" t="str">
        <x:v>No static legal conclusion. Validate current national/territorial customs, tax, licensing, product, privacy and carrier sources before activation.</x:v>
      </x:c>
      <x:c r="Q146" s="97" t="str">
        <x:v>BLOCKED until tariff, prohibitions, documents and carrier services approved</x:v>
      </x:c>
      <x:c r="R146" s="97" t="str">
        <x:v>BLOCKED until ICAO/state/operator variations and certified review path approved</x:v>
      </x:c>
      <x:c r="S146" s="97" t="str">
        <x:v>BLOCKED until SPS/agency/temperature rules and external filing path approved</x:v>
      </x:c>
      <x:c r="T146" s="97" t="str">
        <x:v>BLOCKED until product/site/importer authorizations and quality path approved</x:v>
      </x:c>
      <x:c r="U146" s="97" t="str">
        <x:v>BLOCKED until excise/licences/age/carrier contract approved</x:v>
      </x:c>
      <x:c r="V146" s="97" t="str">
        <x:v>BLOCKED until classification/end-use/licensing and sanctions path approved</x:v>
      </x:c>
      <x:c r="W146" s="97" t="str">
        <x:v>BLOCKED until provenance/security/insurance/carrier limits approved</x:v>
      </x:c>
      <x:c r="X146" s="97" t="str">
        <x:v>BLOCKED until purpose, values, relief evidence and restrictions approved</x:v>
      </x:c>
      <x:c r="Y146" s="104" t="b">
        <x:v>0</x:v>
      </x:c>
      <x:c r="Z146" s="104" t="b">
        <x:v>0</x:v>
      </x:c>
      <x:c r="AA146" s="104" t="b">
        <x:v>0</x:v>
      </x:c>
      <x:c r="AB146" s="104" t="b">
        <x:v>0</x:v>
      </x:c>
      <x:c r="AC146" s="104" t="b">
        <x:v>0</x:v>
      </x:c>
      <x:c r="AD146" s="106" t="str">
        <x:v>BLOCKED_PENDING_VALIDATION</x:v>
      </x:c>
      <x:c r="AE146" s="97" t="str">
        <x:v>NOT_STARTED</x:v>
      </x:c>
      <x:c r="AF146" s="97" t="str">
        <x:v>Unassigned country-pack owner</x:v>
      </x:c>
      <x:c r="AG146" s="97" t="str">
        <x:v>SRC-CUS-001, SRC-CUS-005, SRC-CUS-007, SRC-DAT-001, SRC-POST-001, SRC-PRV-001</x:v>
      </x:c>
      <x:c r="AH146" s="97" t="str">
        <x:v>2026-07-25</x:v>
      </x:c>
      <x:c r="AI146" s="97" t="str">
        <x:v>2026-08-25</x:v>
      </x:c>
      <x:c r="AJ146" s="97" t="str">
        <x:v>Registry coverage only. Production readiness is capability-specific and requires the release checklist.</x:v>
      </x:c>
    </x:row>
    <x:row r="147" ht="54" customHeight="1">
      <x:c r="A147" s="99" t="str">
        <x:v>CP-FM</x:v>
      </x:c>
      <x:c r="B147" s="99" t="str">
        <x:v>Micronesia</x:v>
      </x:c>
      <x:c r="C147" s="99" t="str">
        <x:v>FM</x:v>
      </x:c>
      <x:c r="D147" s="99" t="str">
        <x:v>FSM</x:v>
      </x:c>
      <x:c r="E147" s="99" t="str">
        <x:v>583</x:v>
      </x:c>
      <x:c r="F147" s="99" t="str">
        <x:v>ISO 3166-1 assigned</x:v>
      </x:c>
      <x:c r="G147" s="99" t="str">
        <x:v>Independent state</x:v>
      </x:c>
      <x:c r="H147" s="99" t="str">
        <x:v>Self-administered for pack indexing; legal status follows authoritative sources</x:v>
      </x:c>
      <x:c r="I147" s="99" t="str">
        <x:v>Oceania</x:v>
      </x:c>
      <x:c r="J147" s="99" t="str">
        <x:v>Micronesia</x:v>
      </x:c>
      <x:c r="K147" s="99" t="str">
        <x:v>National/territorial customs framework—local validation required</x:v>
      </x:c>
      <x:c r="L147" s="99" t="str">
        <x:v>UPU/operator contract, bilateral rules, EAD/message versions and serviceability must be validated</x:v>
      </x:c>
      <x:c r="M147" s="99" t="str">
        <x:v>ICAO state rules, PLACI regime, security status, carrier routing and serviceability must be validated</x:v>
      </x:c>
      <x:c r="N147" s="99" t="str">
        <x:v>Country-pack privacy law and transfer mechanism required</x:v>
      </x:c>
      <x:c r="O147" s="99" t="str">
        <x:v>Screen live lists for every applicable nexus; resolve ownership, sectoral, end-use and licence controls</x:v>
      </x:c>
      <x:c r="P147" s="99" t="str">
        <x:v>No static legal conclusion. Validate current national/territorial customs, tax, licensing, product, privacy and carrier sources before activation.</x:v>
      </x:c>
      <x:c r="Q147" s="99" t="str">
        <x:v>BLOCKED until tariff, prohibitions, documents and carrier services approved</x:v>
      </x:c>
      <x:c r="R147" s="99" t="str">
        <x:v>BLOCKED until ICAO/state/operator variations and certified review path approved</x:v>
      </x:c>
      <x:c r="S147" s="99" t="str">
        <x:v>BLOCKED until SPS/agency/temperature rules and external filing path approved</x:v>
      </x:c>
      <x:c r="T147" s="99" t="str">
        <x:v>BLOCKED until product/site/importer authorizations and quality path approved</x:v>
      </x:c>
      <x:c r="U147" s="99" t="str">
        <x:v>BLOCKED until excise/licences/age/carrier contract approved</x:v>
      </x:c>
      <x:c r="V147" s="99" t="str">
        <x:v>BLOCKED until classification/end-use/licensing and sanctions path approved</x:v>
      </x:c>
      <x:c r="W147" s="99" t="str">
        <x:v>BLOCKED until provenance/security/insurance/carrier limits approved</x:v>
      </x:c>
      <x:c r="X147" s="99" t="str">
        <x:v>BLOCKED until purpose, values, relief evidence and restrictions approved</x:v>
      </x:c>
      <x:c r="Y147" s="103" t="b">
        <x:v>0</x:v>
      </x:c>
      <x:c r="Z147" s="103" t="b">
        <x:v>0</x:v>
      </x:c>
      <x:c r="AA147" s="103" t="b">
        <x:v>0</x:v>
      </x:c>
      <x:c r="AB147" s="103" t="b">
        <x:v>0</x:v>
      </x:c>
      <x:c r="AC147" s="103" t="b">
        <x:v>0</x:v>
      </x:c>
      <x:c r="AD147" s="106" t="str">
        <x:v>BLOCKED_PENDING_VALIDATION</x:v>
      </x:c>
      <x:c r="AE147" s="99" t="str">
        <x:v>NOT_STARTED</x:v>
      </x:c>
      <x:c r="AF147" s="99" t="str">
        <x:v>Unassigned country-pack owner</x:v>
      </x:c>
      <x:c r="AG147" s="99" t="str">
        <x:v>SRC-CUS-001, SRC-CUS-005, SRC-CUS-007, SRC-DAT-001, SRC-POST-001, SRC-PRV-001</x:v>
      </x:c>
      <x:c r="AH147" s="99" t="str">
        <x:v>2026-07-25</x:v>
      </x:c>
      <x:c r="AI147" s="99" t="str">
        <x:v>2026-08-25</x:v>
      </x:c>
      <x:c r="AJ147" s="99" t="str">
        <x:v>Registry coverage only. Production readiness is capability-specific and requires the release checklist.</x:v>
      </x:c>
    </x:row>
    <x:row r="148" ht="54" customHeight="1">
      <x:c r="A148" s="97" t="str">
        <x:v>CP-MD</x:v>
      </x:c>
      <x:c r="B148" s="97" t="str">
        <x:v>Moldova</x:v>
      </x:c>
      <x:c r="C148" s="97" t="str">
        <x:v>MD</x:v>
      </x:c>
      <x:c r="D148" s="97" t="str">
        <x:v>MDA</x:v>
      </x:c>
      <x:c r="E148" s="97" t="str">
        <x:v>498</x:v>
      </x:c>
      <x:c r="F148" s="97" t="str">
        <x:v>ISO 3166-1 assigned</x:v>
      </x:c>
      <x:c r="G148" s="97" t="str">
        <x:v>Independent state</x:v>
      </x:c>
      <x:c r="H148" s="97" t="str">
        <x:v>Self-administered for pack indexing; legal status follows authoritative sources</x:v>
      </x:c>
      <x:c r="I148" s="97" t="str">
        <x:v>Europe</x:v>
      </x:c>
      <x:c r="J148" s="97" t="str">
        <x:v>Eastern Europe</x:v>
      </x:c>
      <x:c r="K148" s="97" t="str">
        <x:v>National/territorial customs framework—local validation required</x:v>
      </x:c>
      <x:c r="L148" s="97" t="str">
        <x:v>UPU/operator contract, bilateral rules, EAD/message versions and serviceability must be validated</x:v>
      </x:c>
      <x:c r="M148" s="97" t="str">
        <x:v>ICAO state rules, PLACI regime, security status, carrier routing and serviceability must be validated</x:v>
      </x:c>
      <x:c r="N148" s="97" t="str">
        <x:v>Country-pack privacy law and transfer mechanism required</x:v>
      </x:c>
      <x:c r="O148" s="97" t="str">
        <x:v>Screen live lists for every applicable nexus; resolve ownership, sectoral, end-use and licence controls</x:v>
      </x:c>
      <x:c r="P148" s="97" t="str">
        <x:v>No static legal conclusion. Validate current national/territorial customs, tax, licensing, product, privacy and carrier sources before activation.</x:v>
      </x:c>
      <x:c r="Q148" s="97" t="str">
        <x:v>BLOCKED until tariff, prohibitions, documents and carrier services approved</x:v>
      </x:c>
      <x:c r="R148" s="97" t="str">
        <x:v>BLOCKED until ICAO/state/operator variations and certified review path approved</x:v>
      </x:c>
      <x:c r="S148" s="97" t="str">
        <x:v>BLOCKED until SPS/agency/temperature rules and external filing path approved</x:v>
      </x:c>
      <x:c r="T148" s="97" t="str">
        <x:v>BLOCKED until product/site/importer authorizations and quality path approved</x:v>
      </x:c>
      <x:c r="U148" s="97" t="str">
        <x:v>BLOCKED until excise/licences/age/carrier contract approved</x:v>
      </x:c>
      <x:c r="V148" s="97" t="str">
        <x:v>BLOCKED until classification/end-use/licensing and sanctions path approved</x:v>
      </x:c>
      <x:c r="W148" s="97" t="str">
        <x:v>BLOCKED until provenance/security/insurance/carrier limits approved</x:v>
      </x:c>
      <x:c r="X148" s="97" t="str">
        <x:v>BLOCKED until purpose, values, relief evidence and restrictions approved</x:v>
      </x:c>
      <x:c r="Y148" s="104" t="b">
        <x:v>0</x:v>
      </x:c>
      <x:c r="Z148" s="104" t="b">
        <x:v>0</x:v>
      </x:c>
      <x:c r="AA148" s="104" t="b">
        <x:v>0</x:v>
      </x:c>
      <x:c r="AB148" s="104" t="b">
        <x:v>0</x:v>
      </x:c>
      <x:c r="AC148" s="104" t="b">
        <x:v>0</x:v>
      </x:c>
      <x:c r="AD148" s="106" t="str">
        <x:v>BLOCKED_PENDING_VALIDATION</x:v>
      </x:c>
      <x:c r="AE148" s="97" t="str">
        <x:v>NOT_STARTED</x:v>
      </x:c>
      <x:c r="AF148" s="97" t="str">
        <x:v>Unassigned country-pack owner</x:v>
      </x:c>
      <x:c r="AG148" s="97" t="str">
        <x:v>SRC-CUS-001, SRC-CUS-005, SRC-CUS-007, SRC-DAT-001, SRC-POST-001, SRC-PRV-001</x:v>
      </x:c>
      <x:c r="AH148" s="97" t="str">
        <x:v>2026-07-25</x:v>
      </x:c>
      <x:c r="AI148" s="97" t="str">
        <x:v>2026-08-25</x:v>
      </x:c>
      <x:c r="AJ148" s="97" t="str">
        <x:v>Registry coverage only. Production readiness is capability-specific and requires the release checklist.</x:v>
      </x:c>
    </x:row>
    <x:row r="149" ht="54" customHeight="1">
      <x:c r="A149" s="99" t="str">
        <x:v>CP-MC</x:v>
      </x:c>
      <x:c r="B149" s="99" t="str">
        <x:v>Monaco</x:v>
      </x:c>
      <x:c r="C149" s="99" t="str">
        <x:v>MC</x:v>
      </x:c>
      <x:c r="D149" s="99" t="str">
        <x:v>MCO</x:v>
      </x:c>
      <x:c r="E149" s="99" t="str">
        <x:v>492</x:v>
      </x:c>
      <x:c r="F149" s="99" t="str">
        <x:v>ISO 3166-1 assigned</x:v>
      </x:c>
      <x:c r="G149" s="99" t="str">
        <x:v>Independent state</x:v>
      </x:c>
      <x:c r="H149" s="99" t="str">
        <x:v>Self-administered for pack indexing; legal status follows authoritative sources</x:v>
      </x:c>
      <x:c r="I149" s="99" t="str">
        <x:v>Europe</x:v>
      </x:c>
      <x:c r="J149" s="99" t="str">
        <x:v>Western Europe</x:v>
      </x:c>
      <x:c r="K149" s="99" t="str">
        <x:v>National/territorial customs framework—local validation required</x:v>
      </x:c>
      <x:c r="L149" s="99" t="str">
        <x:v>UPU/operator contract, bilateral rules, EAD/message versions and serviceability must be validated</x:v>
      </x:c>
      <x:c r="M149" s="99" t="str">
        <x:v>ICAO state rules, PLACI regime, security status, carrier routing and serviceability must be validated</x:v>
      </x:c>
      <x:c r="N149" s="99" t="str">
        <x:v>Country-pack privacy law and transfer mechanism required</x:v>
      </x:c>
      <x:c r="O149" s="99" t="str">
        <x:v>Screen live lists for every applicable nexus; resolve ownership, sectoral, end-use and licence controls</x:v>
      </x:c>
      <x:c r="P149" s="99" t="str">
        <x:v>No static legal conclusion. Validate current national/territorial customs, tax, licensing, product, privacy and carrier sources before activation.</x:v>
      </x:c>
      <x:c r="Q149" s="99" t="str">
        <x:v>BLOCKED until tariff, prohibitions, documents and carrier services approved</x:v>
      </x:c>
      <x:c r="R149" s="99" t="str">
        <x:v>BLOCKED until ICAO/state/operator variations and certified review path approved</x:v>
      </x:c>
      <x:c r="S149" s="99" t="str">
        <x:v>BLOCKED until SPS/agency/temperature rules and external filing path approved</x:v>
      </x:c>
      <x:c r="T149" s="99" t="str">
        <x:v>BLOCKED until product/site/importer authorizations and quality path approved</x:v>
      </x:c>
      <x:c r="U149" s="99" t="str">
        <x:v>BLOCKED until excise/licences/age/carrier contract approved</x:v>
      </x:c>
      <x:c r="V149" s="99" t="str">
        <x:v>BLOCKED until classification/end-use/licensing and sanctions path approved</x:v>
      </x:c>
      <x:c r="W149" s="99" t="str">
        <x:v>BLOCKED until provenance/security/insurance/carrier limits approved</x:v>
      </x:c>
      <x:c r="X149" s="99" t="str">
        <x:v>BLOCKED until purpose, values, relief evidence and restrictions approved</x:v>
      </x:c>
      <x:c r="Y149" s="103" t="b">
        <x:v>0</x:v>
      </x:c>
      <x:c r="Z149" s="103" t="b">
        <x:v>0</x:v>
      </x:c>
      <x:c r="AA149" s="103" t="b">
        <x:v>0</x:v>
      </x:c>
      <x:c r="AB149" s="103" t="b">
        <x:v>0</x:v>
      </x:c>
      <x:c r="AC149" s="103" t="b">
        <x:v>0</x:v>
      </x:c>
      <x:c r="AD149" s="106" t="str">
        <x:v>BLOCKED_PENDING_VALIDATION</x:v>
      </x:c>
      <x:c r="AE149" s="99" t="str">
        <x:v>NOT_STARTED</x:v>
      </x:c>
      <x:c r="AF149" s="99" t="str">
        <x:v>Unassigned country-pack owner</x:v>
      </x:c>
      <x:c r="AG149" s="99" t="str">
        <x:v>SRC-CUS-001, SRC-CUS-005, SRC-CUS-007, SRC-DAT-001, SRC-POST-001, SRC-PRV-001</x:v>
      </x:c>
      <x:c r="AH149" s="99" t="str">
        <x:v>2026-07-25</x:v>
      </x:c>
      <x:c r="AI149" s="99" t="str">
        <x:v>2026-08-25</x:v>
      </x:c>
      <x:c r="AJ149" s="99" t="str">
        <x:v>Registry coverage only. Production readiness is capability-specific and requires the release checklist.</x:v>
      </x:c>
    </x:row>
    <x:row r="150" ht="54" customHeight="1">
      <x:c r="A150" s="97" t="str">
        <x:v>CP-MN</x:v>
      </x:c>
      <x:c r="B150" s="97" t="str">
        <x:v>Mongolia</x:v>
      </x:c>
      <x:c r="C150" s="97" t="str">
        <x:v>MN</x:v>
      </x:c>
      <x:c r="D150" s="97" t="str">
        <x:v>MNG</x:v>
      </x:c>
      <x:c r="E150" s="97" t="str">
        <x:v>496</x:v>
      </x:c>
      <x:c r="F150" s="97" t="str">
        <x:v>ISO 3166-1 assigned</x:v>
      </x:c>
      <x:c r="G150" s="97" t="str">
        <x:v>Independent state</x:v>
      </x:c>
      <x:c r="H150" s="97" t="str">
        <x:v>Self-administered for pack indexing; legal status follows authoritative sources</x:v>
      </x:c>
      <x:c r="I150" s="97" t="str">
        <x:v>Asia</x:v>
      </x:c>
      <x:c r="J150" s="97" t="str">
        <x:v>Eastern Asia</x:v>
      </x:c>
      <x:c r="K150" s="97" t="str">
        <x:v>National/territorial customs framework—local validation required</x:v>
      </x:c>
      <x:c r="L150" s="97" t="str">
        <x:v>UPU/operator contract, bilateral rules, EAD/message versions and serviceability must be validated</x:v>
      </x:c>
      <x:c r="M150" s="97" t="str">
        <x:v>ICAO state rules, PLACI regime, security status, carrier routing and serviceability must be validated</x:v>
      </x:c>
      <x:c r="N150" s="97" t="str">
        <x:v>Country-pack privacy law and transfer mechanism required</x:v>
      </x:c>
      <x:c r="O150" s="97" t="str">
        <x:v>Screen live lists for every applicable nexus; resolve ownership, sectoral, end-use and licence controls</x:v>
      </x:c>
      <x:c r="P150" s="97" t="str">
        <x:v>No static legal conclusion. Validate current national/territorial customs, tax, licensing, product, privacy and carrier sources before activation.</x:v>
      </x:c>
      <x:c r="Q150" s="97" t="str">
        <x:v>BLOCKED until tariff, prohibitions, documents and carrier services approved</x:v>
      </x:c>
      <x:c r="R150" s="97" t="str">
        <x:v>BLOCKED until ICAO/state/operator variations and certified review path approved</x:v>
      </x:c>
      <x:c r="S150" s="97" t="str">
        <x:v>BLOCKED until SPS/agency/temperature rules and external filing path approved</x:v>
      </x:c>
      <x:c r="T150" s="97" t="str">
        <x:v>BLOCKED until product/site/importer authorizations and quality path approved</x:v>
      </x:c>
      <x:c r="U150" s="97" t="str">
        <x:v>BLOCKED until excise/licences/age/carrier contract approved</x:v>
      </x:c>
      <x:c r="V150" s="97" t="str">
        <x:v>BLOCKED until classification/end-use/licensing and sanctions path approved</x:v>
      </x:c>
      <x:c r="W150" s="97" t="str">
        <x:v>BLOCKED until provenance/security/insurance/carrier limits approved</x:v>
      </x:c>
      <x:c r="X150" s="97" t="str">
        <x:v>BLOCKED until purpose, values, relief evidence and restrictions approved</x:v>
      </x:c>
      <x:c r="Y150" s="104" t="b">
        <x:v>0</x:v>
      </x:c>
      <x:c r="Z150" s="104" t="b">
        <x:v>0</x:v>
      </x:c>
      <x:c r="AA150" s="104" t="b">
        <x:v>0</x:v>
      </x:c>
      <x:c r="AB150" s="104" t="b">
        <x:v>0</x:v>
      </x:c>
      <x:c r="AC150" s="104" t="b">
        <x:v>0</x:v>
      </x:c>
      <x:c r="AD150" s="106" t="str">
        <x:v>BLOCKED_PENDING_VALIDATION</x:v>
      </x:c>
      <x:c r="AE150" s="97" t="str">
        <x:v>NOT_STARTED</x:v>
      </x:c>
      <x:c r="AF150" s="97" t="str">
        <x:v>Unassigned country-pack owner</x:v>
      </x:c>
      <x:c r="AG150" s="97" t="str">
        <x:v>SRC-CUS-001, SRC-CUS-005, SRC-CUS-007, SRC-DAT-001, SRC-POST-001, SRC-PRV-001</x:v>
      </x:c>
      <x:c r="AH150" s="97" t="str">
        <x:v>2026-07-25</x:v>
      </x:c>
      <x:c r="AI150" s="97" t="str">
        <x:v>2026-08-25</x:v>
      </x:c>
      <x:c r="AJ150" s="97" t="str">
        <x:v>Registry coverage only. Production readiness is capability-specific and requires the release checklist.</x:v>
      </x:c>
    </x:row>
    <x:row r="151" ht="54" customHeight="1">
      <x:c r="A151" s="99" t="str">
        <x:v>CP-ME</x:v>
      </x:c>
      <x:c r="B151" s="99" t="str">
        <x:v>Montenegro</x:v>
      </x:c>
      <x:c r="C151" s="99" t="str">
        <x:v>ME</x:v>
      </x:c>
      <x:c r="D151" s="99" t="str">
        <x:v>MNE</x:v>
      </x:c>
      <x:c r="E151" s="99" t="str">
        <x:v>499</x:v>
      </x:c>
      <x:c r="F151" s="99" t="str">
        <x:v>ISO 3166-1 assigned</x:v>
      </x:c>
      <x:c r="G151" s="99" t="str">
        <x:v>Independent state</x:v>
      </x:c>
      <x:c r="H151" s="99" t="str">
        <x:v>Self-administered for pack indexing; legal status follows authoritative sources</x:v>
      </x:c>
      <x:c r="I151" s="99" t="str">
        <x:v>Europe</x:v>
      </x:c>
      <x:c r="J151" s="99" t="str">
        <x:v>Southeast Europe</x:v>
      </x:c>
      <x:c r="K151" s="99" t="str">
        <x:v>National/territorial customs framework—local validation required</x:v>
      </x:c>
      <x:c r="L151" s="99" t="str">
        <x:v>UPU/operator contract, bilateral rules, EAD/message versions and serviceability must be validated</x:v>
      </x:c>
      <x:c r="M151" s="99" t="str">
        <x:v>ICAO state rules, PLACI regime, security status, carrier routing and serviceability must be validated</x:v>
      </x:c>
      <x:c r="N151" s="99" t="str">
        <x:v>Country-pack privacy law and transfer mechanism required</x:v>
      </x:c>
      <x:c r="O151" s="99" t="str">
        <x:v>Screen live lists for every applicable nexus; resolve ownership, sectoral, end-use and licence controls</x:v>
      </x:c>
      <x:c r="P151" s="99" t="str">
        <x:v>No static legal conclusion. Validate current national/territorial customs, tax, licensing, product, privacy and carrier sources before activation.</x:v>
      </x:c>
      <x:c r="Q151" s="99" t="str">
        <x:v>BLOCKED until tariff, prohibitions, documents and carrier services approved</x:v>
      </x:c>
      <x:c r="R151" s="99" t="str">
        <x:v>BLOCKED until ICAO/state/operator variations and certified review path approved</x:v>
      </x:c>
      <x:c r="S151" s="99" t="str">
        <x:v>BLOCKED until SPS/agency/temperature rules and external filing path approved</x:v>
      </x:c>
      <x:c r="T151" s="99" t="str">
        <x:v>BLOCKED until product/site/importer authorizations and quality path approved</x:v>
      </x:c>
      <x:c r="U151" s="99" t="str">
        <x:v>BLOCKED until excise/licences/age/carrier contract approved</x:v>
      </x:c>
      <x:c r="V151" s="99" t="str">
        <x:v>BLOCKED until classification/end-use/licensing and sanctions path approved</x:v>
      </x:c>
      <x:c r="W151" s="99" t="str">
        <x:v>BLOCKED until provenance/security/insurance/carrier limits approved</x:v>
      </x:c>
      <x:c r="X151" s="99" t="str">
        <x:v>BLOCKED until purpose, values, relief evidence and restrictions approved</x:v>
      </x:c>
      <x:c r="Y151" s="103" t="b">
        <x:v>0</x:v>
      </x:c>
      <x:c r="Z151" s="103" t="b">
        <x:v>0</x:v>
      </x:c>
      <x:c r="AA151" s="103" t="b">
        <x:v>0</x:v>
      </x:c>
      <x:c r="AB151" s="103" t="b">
        <x:v>0</x:v>
      </x:c>
      <x:c r="AC151" s="103" t="b">
        <x:v>0</x:v>
      </x:c>
      <x:c r="AD151" s="106" t="str">
        <x:v>BLOCKED_PENDING_VALIDATION</x:v>
      </x:c>
      <x:c r="AE151" s="99" t="str">
        <x:v>NOT_STARTED</x:v>
      </x:c>
      <x:c r="AF151" s="99" t="str">
        <x:v>Unassigned country-pack owner</x:v>
      </x:c>
      <x:c r="AG151" s="99" t="str">
        <x:v>SRC-CUS-001, SRC-CUS-005, SRC-CUS-007, SRC-DAT-001, SRC-POST-001, SRC-PRV-001</x:v>
      </x:c>
      <x:c r="AH151" s="99" t="str">
        <x:v>2026-07-25</x:v>
      </x:c>
      <x:c r="AI151" s="99" t="str">
        <x:v>2026-08-25</x:v>
      </x:c>
      <x:c r="AJ151" s="99" t="str">
        <x:v>Registry coverage only. Production readiness is capability-specific and requires the release checklist.</x:v>
      </x:c>
    </x:row>
    <x:row r="152" ht="54" customHeight="1">
      <x:c r="A152" s="97" t="str">
        <x:v>CP-MS</x:v>
      </x:c>
      <x:c r="B152" s="97" t="str">
        <x:v>Montserrat</x:v>
      </x:c>
      <x:c r="C152" s="97" t="str">
        <x:v>MS</x:v>
      </x:c>
      <x:c r="D152" s="97" t="str">
        <x:v>MSR</x:v>
      </x:c>
      <x:c r="E152" s="97" t="str">
        <x:v>500</x:v>
      </x:c>
      <x:c r="F152" s="97" t="str">
        <x:v>ISO 3166-1 assigned</x:v>
      </x:c>
      <x:c r="G152" s="97" t="str">
        <x:v>Territory, dependency or special-area record</x:v>
      </x:c>
      <x:c r="H152" s="97" t="str">
        <x:v>United Kingdom</x:v>
      </x:c>
      <x:c r="I152" s="97" t="str">
        <x:v>Americas</x:v>
      </x:c>
      <x:c r="J152" s="97" t="str">
        <x:v>Caribbean</x:v>
      </x:c>
      <x:c r="K152" s="97" t="str">
        <x:v>National/territorial customs framework—local validation required</x:v>
      </x:c>
      <x:c r="L152" s="97" t="str">
        <x:v>UPU/operator contract, bilateral rules, EAD/message versions and serviceability must be validated</x:v>
      </x:c>
      <x:c r="M152" s="97" t="str">
        <x:v>ICAO state rules, PLACI regime, security status, carrier routing and serviceability must be validated</x:v>
      </x:c>
      <x:c r="N152" s="97" t="str">
        <x:v>Country-pack privacy law and transfer mechanism required</x:v>
      </x:c>
      <x:c r="O152" s="97" t="str">
        <x:v>Screen live lists for every applicable nexus; resolve ownership, sectoral, end-use and licence controls</x:v>
      </x:c>
      <x:c r="P152" s="97" t="str">
        <x:v>No static legal conclusion. Validate current national/territorial customs, tax, licensing, product, privacy and carrier sources before activation.</x:v>
      </x:c>
      <x:c r="Q152" s="97" t="str">
        <x:v>BLOCKED until tariff, prohibitions, documents and carrier services approved</x:v>
      </x:c>
      <x:c r="R152" s="97" t="str">
        <x:v>BLOCKED until ICAO/state/operator variations and certified review path approved</x:v>
      </x:c>
      <x:c r="S152" s="97" t="str">
        <x:v>BLOCKED until SPS/agency/temperature rules and external filing path approved</x:v>
      </x:c>
      <x:c r="T152" s="97" t="str">
        <x:v>BLOCKED until product/site/importer authorizations and quality path approved</x:v>
      </x:c>
      <x:c r="U152" s="97" t="str">
        <x:v>BLOCKED until excise/licences/age/carrier contract approved</x:v>
      </x:c>
      <x:c r="V152" s="97" t="str">
        <x:v>BLOCKED until classification/end-use/licensing and sanctions path approved</x:v>
      </x:c>
      <x:c r="W152" s="97" t="str">
        <x:v>BLOCKED until provenance/security/insurance/carrier limits approved</x:v>
      </x:c>
      <x:c r="X152" s="97" t="str">
        <x:v>BLOCKED until purpose, values, relief evidence and restrictions approved</x:v>
      </x:c>
      <x:c r="Y152" s="104" t="b">
        <x:v>0</x:v>
      </x:c>
      <x:c r="Z152" s="104" t="b">
        <x:v>0</x:v>
      </x:c>
      <x:c r="AA152" s="104" t="b">
        <x:v>0</x:v>
      </x:c>
      <x:c r="AB152" s="104" t="b">
        <x:v>0</x:v>
      </x:c>
      <x:c r="AC152" s="104" t="b">
        <x:v>0</x:v>
      </x:c>
      <x:c r="AD152" s="106" t="str">
        <x:v>BLOCKED_PENDING_VALIDATION</x:v>
      </x:c>
      <x:c r="AE152" s="97" t="str">
        <x:v>NOT_STARTED</x:v>
      </x:c>
      <x:c r="AF152" s="97" t="str">
        <x:v>Unassigned country-pack owner</x:v>
      </x:c>
      <x:c r="AG152" s="97" t="str">
        <x:v>SRC-CUS-001, SRC-CUS-005, SRC-CUS-007, SRC-DAT-001, SRC-POST-001, SRC-PRV-001</x:v>
      </x:c>
      <x:c r="AH152" s="97" t="str">
        <x:v>2026-07-25</x:v>
      </x:c>
      <x:c r="AI152" s="97" t="str">
        <x:v>2026-08-25</x:v>
      </x:c>
      <x:c r="AJ152" s="97" t="str">
        <x:v>Registry coverage only. Production readiness is capability-specific and requires the release checklist.</x:v>
      </x:c>
    </x:row>
    <x:row r="153" ht="54" customHeight="1">
      <x:c r="A153" s="99" t="str">
        <x:v>CP-MA</x:v>
      </x:c>
      <x:c r="B153" s="99" t="str">
        <x:v>Morocco</x:v>
      </x:c>
      <x:c r="C153" s="99" t="str">
        <x:v>MA</x:v>
      </x:c>
      <x:c r="D153" s="99" t="str">
        <x:v>MAR</x:v>
      </x:c>
      <x:c r="E153" s="99" t="str">
        <x:v>504</x:v>
      </x:c>
      <x:c r="F153" s="99" t="str">
        <x:v>ISO 3166-1 assigned</x:v>
      </x:c>
      <x:c r="G153" s="99" t="str">
        <x:v>Independent state</x:v>
      </x:c>
      <x:c r="H153" s="99" t="str">
        <x:v>Self-administered for pack indexing; legal status follows authoritative sources</x:v>
      </x:c>
      <x:c r="I153" s="99" t="str">
        <x:v>Africa</x:v>
      </x:c>
      <x:c r="J153" s="99" t="str">
        <x:v>Northern Africa</x:v>
      </x:c>
      <x:c r="K153" s="99" t="str">
        <x:v>National/territorial customs framework—local validation required</x:v>
      </x:c>
      <x:c r="L153" s="99" t="str">
        <x:v>UPU/operator contract, bilateral rules, EAD/message versions and serviceability must be validated</x:v>
      </x:c>
      <x:c r="M153" s="99" t="str">
        <x:v>ICAO state rules, PLACI regime, security status, carrier routing and serviceability must be validated</x:v>
      </x:c>
      <x:c r="N153" s="99" t="str">
        <x:v>Country-pack privacy law and transfer mechanism required</x:v>
      </x:c>
      <x:c r="O153" s="99" t="str">
        <x:v>Screen live lists for every applicable nexus; resolve ownership, sectoral, end-use and licence controls</x:v>
      </x:c>
      <x:c r="P153" s="99" t="str">
        <x:v>No static legal conclusion. Validate current national/territorial customs, tax, licensing, product, privacy and carrier sources before activation.</x:v>
      </x:c>
      <x:c r="Q153" s="99" t="str">
        <x:v>BLOCKED until tariff, prohibitions, documents and carrier services approved</x:v>
      </x:c>
      <x:c r="R153" s="99" t="str">
        <x:v>BLOCKED until ICAO/state/operator variations and certified review path approved</x:v>
      </x:c>
      <x:c r="S153" s="99" t="str">
        <x:v>BLOCKED until SPS/agency/temperature rules and external filing path approved</x:v>
      </x:c>
      <x:c r="T153" s="99" t="str">
        <x:v>BLOCKED until product/site/importer authorizations and quality path approved</x:v>
      </x:c>
      <x:c r="U153" s="99" t="str">
        <x:v>BLOCKED until excise/licences/age/carrier contract approved</x:v>
      </x:c>
      <x:c r="V153" s="99" t="str">
        <x:v>BLOCKED until classification/end-use/licensing and sanctions path approved</x:v>
      </x:c>
      <x:c r="W153" s="99" t="str">
        <x:v>BLOCKED until provenance/security/insurance/carrier limits approved</x:v>
      </x:c>
      <x:c r="X153" s="99" t="str">
        <x:v>BLOCKED until purpose, values, relief evidence and restrictions approved</x:v>
      </x:c>
      <x:c r="Y153" s="103" t="b">
        <x:v>0</x:v>
      </x:c>
      <x:c r="Z153" s="103" t="b">
        <x:v>0</x:v>
      </x:c>
      <x:c r="AA153" s="103" t="b">
        <x:v>0</x:v>
      </x:c>
      <x:c r="AB153" s="103" t="b">
        <x:v>0</x:v>
      </x:c>
      <x:c r="AC153" s="103" t="b">
        <x:v>0</x:v>
      </x:c>
      <x:c r="AD153" s="106" t="str">
        <x:v>BLOCKED_PENDING_VALIDATION</x:v>
      </x:c>
      <x:c r="AE153" s="99" t="str">
        <x:v>NOT_STARTED</x:v>
      </x:c>
      <x:c r="AF153" s="99" t="str">
        <x:v>Unassigned country-pack owner</x:v>
      </x:c>
      <x:c r="AG153" s="99" t="str">
        <x:v>SRC-CUS-001, SRC-CUS-005, SRC-CUS-007, SRC-DAT-001, SRC-POST-001, SRC-PRV-001</x:v>
      </x:c>
      <x:c r="AH153" s="99" t="str">
        <x:v>2026-07-25</x:v>
      </x:c>
      <x:c r="AI153" s="99" t="str">
        <x:v>2026-08-25</x:v>
      </x:c>
      <x:c r="AJ153" s="99" t="str">
        <x:v>Registry coverage only. Production readiness is capability-specific and requires the release checklist.</x:v>
      </x:c>
    </x:row>
    <x:row r="154" ht="54" customHeight="1">
      <x:c r="A154" s="97" t="str">
        <x:v>CP-MZ</x:v>
      </x:c>
      <x:c r="B154" s="97" t="str">
        <x:v>Mozambique</x:v>
      </x:c>
      <x:c r="C154" s="97" t="str">
        <x:v>MZ</x:v>
      </x:c>
      <x:c r="D154" s="97" t="str">
        <x:v>MOZ</x:v>
      </x:c>
      <x:c r="E154" s="97" t="str">
        <x:v>508</x:v>
      </x:c>
      <x:c r="F154" s="97" t="str">
        <x:v>ISO 3166-1 assigned</x:v>
      </x:c>
      <x:c r="G154" s="97" t="str">
        <x:v>Independent state</x:v>
      </x:c>
      <x:c r="H154" s="97" t="str">
        <x:v>Self-administered for pack indexing; legal status follows authoritative sources</x:v>
      </x:c>
      <x:c r="I154" s="97" t="str">
        <x:v>Africa</x:v>
      </x:c>
      <x:c r="J154" s="97" t="str">
        <x:v>Eastern Africa</x:v>
      </x:c>
      <x:c r="K154" s="97" t="str">
        <x:v>National/territorial customs framework—local validation required</x:v>
      </x:c>
      <x:c r="L154" s="97" t="str">
        <x:v>UPU/operator contract, bilateral rules, EAD/message versions and serviceability must be validated</x:v>
      </x:c>
      <x:c r="M154" s="97" t="str">
        <x:v>ICAO state rules, PLACI regime, security status, carrier routing and serviceability must be validated</x:v>
      </x:c>
      <x:c r="N154" s="97" t="str">
        <x:v>Country-pack privacy law and transfer mechanism required</x:v>
      </x:c>
      <x:c r="O154" s="97" t="str">
        <x:v>Screen live lists for every applicable nexus; resolve ownership, sectoral, end-use and licence controls</x:v>
      </x:c>
      <x:c r="P154" s="97" t="str">
        <x:v>No static legal conclusion. Validate current national/territorial customs, tax, licensing, product, privacy and carrier sources before activation.</x:v>
      </x:c>
      <x:c r="Q154" s="97" t="str">
        <x:v>BLOCKED until tariff, prohibitions, documents and carrier services approved</x:v>
      </x:c>
      <x:c r="R154" s="97" t="str">
        <x:v>BLOCKED until ICAO/state/operator variations and certified review path approved</x:v>
      </x:c>
      <x:c r="S154" s="97" t="str">
        <x:v>BLOCKED until SPS/agency/temperature rules and external filing path approved</x:v>
      </x:c>
      <x:c r="T154" s="97" t="str">
        <x:v>BLOCKED until product/site/importer authorizations and quality path approved</x:v>
      </x:c>
      <x:c r="U154" s="97" t="str">
        <x:v>BLOCKED until excise/licences/age/carrier contract approved</x:v>
      </x:c>
      <x:c r="V154" s="97" t="str">
        <x:v>BLOCKED until classification/end-use/licensing and sanctions path approved</x:v>
      </x:c>
      <x:c r="W154" s="97" t="str">
        <x:v>BLOCKED until provenance/security/insurance/carrier limits approved</x:v>
      </x:c>
      <x:c r="X154" s="97" t="str">
        <x:v>BLOCKED until purpose, values, relief evidence and restrictions approved</x:v>
      </x:c>
      <x:c r="Y154" s="104" t="b">
        <x:v>0</x:v>
      </x:c>
      <x:c r="Z154" s="104" t="b">
        <x:v>0</x:v>
      </x:c>
      <x:c r="AA154" s="104" t="b">
        <x:v>0</x:v>
      </x:c>
      <x:c r="AB154" s="104" t="b">
        <x:v>0</x:v>
      </x:c>
      <x:c r="AC154" s="104" t="b">
        <x:v>0</x:v>
      </x:c>
      <x:c r="AD154" s="106" t="str">
        <x:v>BLOCKED_PENDING_VALIDATION</x:v>
      </x:c>
      <x:c r="AE154" s="97" t="str">
        <x:v>NOT_STARTED</x:v>
      </x:c>
      <x:c r="AF154" s="97" t="str">
        <x:v>Unassigned country-pack owner</x:v>
      </x:c>
      <x:c r="AG154" s="97" t="str">
        <x:v>SRC-CUS-001, SRC-CUS-005, SRC-CUS-007, SRC-DAT-001, SRC-POST-001, SRC-PRV-001</x:v>
      </x:c>
      <x:c r="AH154" s="97" t="str">
        <x:v>2026-07-25</x:v>
      </x:c>
      <x:c r="AI154" s="97" t="str">
        <x:v>2026-08-25</x:v>
      </x:c>
      <x:c r="AJ154" s="97" t="str">
        <x:v>Registry coverage only. Production readiness is capability-specific and requires the release checklist.</x:v>
      </x:c>
    </x:row>
    <x:row r="155" ht="54" customHeight="1">
      <x:c r="A155" s="99" t="str">
        <x:v>CP-MM</x:v>
      </x:c>
      <x:c r="B155" s="99" t="str">
        <x:v>Myanmar</x:v>
      </x:c>
      <x:c r="C155" s="99" t="str">
        <x:v>MM</x:v>
      </x:c>
      <x:c r="D155" s="99" t="str">
        <x:v>MMR</x:v>
      </x:c>
      <x:c r="E155" s="99" t="str">
        <x:v>104</x:v>
      </x:c>
      <x:c r="F155" s="99" t="str">
        <x:v>ISO 3166-1 assigned</x:v>
      </x:c>
      <x:c r="G155" s="99" t="str">
        <x:v>Independent state</x:v>
      </x:c>
      <x:c r="H155" s="99" t="str">
        <x:v>Self-administered for pack indexing; legal status follows authoritative sources</x:v>
      </x:c>
      <x:c r="I155" s="99" t="str">
        <x:v>Asia</x:v>
      </x:c>
      <x:c r="J155" s="99" t="str">
        <x:v>South-Eastern Asia</x:v>
      </x:c>
      <x:c r="K155" s="99" t="str">
        <x:v>National/territorial customs framework—local validation required</x:v>
      </x:c>
      <x:c r="L155" s="99" t="str">
        <x:v>UPU/operator contract, bilateral rules, EAD/message versions and serviceability must be validated</x:v>
      </x:c>
      <x:c r="M155" s="99" t="str">
        <x:v>ICAO state rules, PLACI regime, security status, carrier routing and serviceability must be validated</x:v>
      </x:c>
      <x:c r="N155" s="99" t="str">
        <x:v>Country-pack privacy law and transfer mechanism required</x:v>
      </x:c>
      <x:c r="O155" s="99" t="str">
        <x:v>Screen live lists for every applicable nexus; resolve ownership, sectoral, end-use and licence controls</x:v>
      </x:c>
      <x:c r="P155" s="99" t="str">
        <x:v>No static legal conclusion. Validate current national/territorial customs, tax, licensing, product, privacy and carrier sources before activation.</x:v>
      </x:c>
      <x:c r="Q155" s="99" t="str">
        <x:v>BLOCKED until tariff, prohibitions, documents and carrier services approved</x:v>
      </x:c>
      <x:c r="R155" s="99" t="str">
        <x:v>BLOCKED until ICAO/state/operator variations and certified review path approved</x:v>
      </x:c>
      <x:c r="S155" s="99" t="str">
        <x:v>BLOCKED until SPS/agency/temperature rules and external filing path approved</x:v>
      </x:c>
      <x:c r="T155" s="99" t="str">
        <x:v>BLOCKED until product/site/importer authorizations and quality path approved</x:v>
      </x:c>
      <x:c r="U155" s="99" t="str">
        <x:v>BLOCKED until excise/licences/age/carrier contract approved</x:v>
      </x:c>
      <x:c r="V155" s="99" t="str">
        <x:v>BLOCKED until classification/end-use/licensing and sanctions path approved</x:v>
      </x:c>
      <x:c r="W155" s="99" t="str">
        <x:v>BLOCKED until provenance/security/insurance/carrier limits approved</x:v>
      </x:c>
      <x:c r="X155" s="99" t="str">
        <x:v>BLOCKED until purpose, values, relief evidence and restrictions approved</x:v>
      </x:c>
      <x:c r="Y155" s="103" t="b">
        <x:v>0</x:v>
      </x:c>
      <x:c r="Z155" s="103" t="b">
        <x:v>0</x:v>
      </x:c>
      <x:c r="AA155" s="103" t="b">
        <x:v>0</x:v>
      </x:c>
      <x:c r="AB155" s="103" t="b">
        <x:v>0</x:v>
      </x:c>
      <x:c r="AC155" s="103" t="b">
        <x:v>0</x:v>
      </x:c>
      <x:c r="AD155" s="106" t="str">
        <x:v>BLOCKED_PENDING_VALIDATION</x:v>
      </x:c>
      <x:c r="AE155" s="99" t="str">
        <x:v>NOT_STARTED</x:v>
      </x:c>
      <x:c r="AF155" s="99" t="str">
        <x:v>Unassigned country-pack owner</x:v>
      </x:c>
      <x:c r="AG155" s="99" t="str">
        <x:v>SRC-CUS-001, SRC-CUS-005, SRC-CUS-007, SRC-DAT-001, SRC-POST-001, SRC-PRV-001</x:v>
      </x:c>
      <x:c r="AH155" s="99" t="str">
        <x:v>2026-07-25</x:v>
      </x:c>
      <x:c r="AI155" s="99" t="str">
        <x:v>2026-08-25</x:v>
      </x:c>
      <x:c r="AJ155" s="99" t="str">
        <x:v>Registry coverage only. Production readiness is capability-specific and requires the release checklist.</x:v>
      </x:c>
    </x:row>
    <x:row r="156" ht="54" customHeight="1">
      <x:c r="A156" s="97" t="str">
        <x:v>CP-NA</x:v>
      </x:c>
      <x:c r="B156" s="97" t="str">
        <x:v>Namibia</x:v>
      </x:c>
      <x:c r="C156" s="97" t="str">
        <x:v>NA</x:v>
      </x:c>
      <x:c r="D156" s="97" t="str">
        <x:v>NAM</x:v>
      </x:c>
      <x:c r="E156" s="97" t="str">
        <x:v>516</x:v>
      </x:c>
      <x:c r="F156" s="97" t="str">
        <x:v>ISO 3166-1 assigned</x:v>
      </x:c>
      <x:c r="G156" s="97" t="str">
        <x:v>Independent state</x:v>
      </x:c>
      <x:c r="H156" s="97" t="str">
        <x:v>Self-administered for pack indexing; legal status follows authoritative sources</x:v>
      </x:c>
      <x:c r="I156" s="97" t="str">
        <x:v>Africa</x:v>
      </x:c>
      <x:c r="J156" s="97" t="str">
        <x:v>Southern Africa</x:v>
      </x:c>
      <x:c r="K156" s="97" t="str">
        <x:v>SACU member; national VAT/import controls required</x:v>
      </x:c>
      <x:c r="L156" s="97" t="str">
        <x:v>UPU/operator contract, bilateral rules, EAD/message versions and serviceability must be validated</x:v>
      </x:c>
      <x:c r="M156" s="97" t="str">
        <x:v>ICAO state rules, PLACI regime, security status, carrier routing and serviceability must be validated</x:v>
      </x:c>
      <x:c r="N156" s="97" t="str">
        <x:v>Country-pack privacy law and transfer mechanism required</x:v>
      </x:c>
      <x:c r="O156" s="97" t="str">
        <x:v>Screen live lists for every applicable nexus; resolve ownership, sectoral, end-use and licence controls</x:v>
      </x:c>
      <x:c r="P156" s="97" t="str">
        <x:v>No static legal conclusion. Validate current national/territorial customs, tax, licensing, product, privacy and carrier sources before activation.</x:v>
      </x:c>
      <x:c r="Q156" s="97" t="str">
        <x:v>BLOCKED until tariff, prohibitions, documents and carrier services approved</x:v>
      </x:c>
      <x:c r="R156" s="97" t="str">
        <x:v>BLOCKED until ICAO/state/operator variations and certified review path approved</x:v>
      </x:c>
      <x:c r="S156" s="97" t="str">
        <x:v>BLOCKED until SPS/agency/temperature rules and external filing path approved</x:v>
      </x:c>
      <x:c r="T156" s="97" t="str">
        <x:v>BLOCKED until product/site/importer authorizations and quality path approved</x:v>
      </x:c>
      <x:c r="U156" s="97" t="str">
        <x:v>BLOCKED until excise/licences/age/carrier contract approved</x:v>
      </x:c>
      <x:c r="V156" s="97" t="str">
        <x:v>BLOCKED until classification/end-use/licensing and sanctions path approved</x:v>
      </x:c>
      <x:c r="W156" s="97" t="str">
        <x:v>BLOCKED until provenance/security/insurance/carrier limits approved</x:v>
      </x:c>
      <x:c r="X156" s="97" t="str">
        <x:v>BLOCKED until purpose, values, relief evidence and restrictions approved</x:v>
      </x:c>
      <x:c r="Y156" s="104" t="b">
        <x:v>0</x:v>
      </x:c>
      <x:c r="Z156" s="104" t="b">
        <x:v>0</x:v>
      </x:c>
      <x:c r="AA156" s="104" t="b">
        <x:v>0</x:v>
      </x:c>
      <x:c r="AB156" s="104" t="b">
        <x:v>0</x:v>
      </x:c>
      <x:c r="AC156" s="104" t="b">
        <x:v>0</x:v>
      </x:c>
      <x:c r="AD156" s="106" t="str">
        <x:v>BLOCKED_PENDING_VALIDATION</x:v>
      </x:c>
      <x:c r="AE156" s="97" t="str">
        <x:v>NOT_STARTED</x:v>
      </x:c>
      <x:c r="AF156" s="97" t="str">
        <x:v>Unassigned country-pack owner</x:v>
      </x:c>
      <x:c r="AG156" s="97" t="str">
        <x:v>SRC-CUS-001, SRC-CUS-005, SRC-CUS-007, SRC-DAT-001, SRC-POST-001, SRC-PRV-001</x:v>
      </x:c>
      <x:c r="AH156" s="97" t="str">
        <x:v>2026-07-25</x:v>
      </x:c>
      <x:c r="AI156" s="97" t="str">
        <x:v>2026-08-25</x:v>
      </x:c>
      <x:c r="AJ156" s="97" t="str">
        <x:v>Registry coverage only. Production readiness is capability-specific and requires the release checklist.</x:v>
      </x:c>
    </x:row>
    <x:row r="157" ht="54" customHeight="1">
      <x:c r="A157" s="99" t="str">
        <x:v>CP-NR</x:v>
      </x:c>
      <x:c r="B157" s="99" t="str">
        <x:v>Nauru</x:v>
      </x:c>
      <x:c r="C157" s="99" t="str">
        <x:v>NR</x:v>
      </x:c>
      <x:c r="D157" s="99" t="str">
        <x:v>NRU</x:v>
      </x:c>
      <x:c r="E157" s="99" t="str">
        <x:v>520</x:v>
      </x:c>
      <x:c r="F157" s="99" t="str">
        <x:v>ISO 3166-1 assigned</x:v>
      </x:c>
      <x:c r="G157" s="99" t="str">
        <x:v>Independent state</x:v>
      </x:c>
      <x:c r="H157" s="99" t="str">
        <x:v>Self-administered for pack indexing; legal status follows authoritative sources</x:v>
      </x:c>
      <x:c r="I157" s="99" t="str">
        <x:v>Oceania</x:v>
      </x:c>
      <x:c r="J157" s="99" t="str">
        <x:v>Micronesia</x:v>
      </x:c>
      <x:c r="K157" s="99" t="str">
        <x:v>National/territorial customs framework—local validation required</x:v>
      </x:c>
      <x:c r="L157" s="99" t="str">
        <x:v>UPU/operator contract, bilateral rules, EAD/message versions and serviceability must be validated</x:v>
      </x:c>
      <x:c r="M157" s="99" t="str">
        <x:v>ICAO state rules, PLACI regime, security status, carrier routing and serviceability must be validated</x:v>
      </x:c>
      <x:c r="N157" s="99" t="str">
        <x:v>Country-pack privacy law and transfer mechanism required</x:v>
      </x:c>
      <x:c r="O157" s="99" t="str">
        <x:v>Screen live lists for every applicable nexus; resolve ownership, sectoral, end-use and licence controls</x:v>
      </x:c>
      <x:c r="P157" s="99" t="str">
        <x:v>No static legal conclusion. Validate current national/territorial customs, tax, licensing, product, privacy and carrier sources before activation.</x:v>
      </x:c>
      <x:c r="Q157" s="99" t="str">
        <x:v>BLOCKED until tariff, prohibitions, documents and carrier services approved</x:v>
      </x:c>
      <x:c r="R157" s="99" t="str">
        <x:v>BLOCKED until ICAO/state/operator variations and certified review path approved</x:v>
      </x:c>
      <x:c r="S157" s="99" t="str">
        <x:v>BLOCKED until SPS/agency/temperature rules and external filing path approved</x:v>
      </x:c>
      <x:c r="T157" s="99" t="str">
        <x:v>BLOCKED until product/site/importer authorizations and quality path approved</x:v>
      </x:c>
      <x:c r="U157" s="99" t="str">
        <x:v>BLOCKED until excise/licences/age/carrier contract approved</x:v>
      </x:c>
      <x:c r="V157" s="99" t="str">
        <x:v>BLOCKED until classification/end-use/licensing and sanctions path approved</x:v>
      </x:c>
      <x:c r="W157" s="99" t="str">
        <x:v>BLOCKED until provenance/security/insurance/carrier limits approved</x:v>
      </x:c>
      <x:c r="X157" s="99" t="str">
        <x:v>BLOCKED until purpose, values, relief evidence and restrictions approved</x:v>
      </x:c>
      <x:c r="Y157" s="103" t="b">
        <x:v>0</x:v>
      </x:c>
      <x:c r="Z157" s="103" t="b">
        <x:v>0</x:v>
      </x:c>
      <x:c r="AA157" s="103" t="b">
        <x:v>0</x:v>
      </x:c>
      <x:c r="AB157" s="103" t="b">
        <x:v>0</x:v>
      </x:c>
      <x:c r="AC157" s="103" t="b">
        <x:v>0</x:v>
      </x:c>
      <x:c r="AD157" s="106" t="str">
        <x:v>BLOCKED_PENDING_VALIDATION</x:v>
      </x:c>
      <x:c r="AE157" s="99" t="str">
        <x:v>NOT_STARTED</x:v>
      </x:c>
      <x:c r="AF157" s="99" t="str">
        <x:v>Unassigned country-pack owner</x:v>
      </x:c>
      <x:c r="AG157" s="99" t="str">
        <x:v>SRC-CUS-001, SRC-CUS-005, SRC-CUS-007, SRC-DAT-001, SRC-POST-001, SRC-PRV-001</x:v>
      </x:c>
      <x:c r="AH157" s="99" t="str">
        <x:v>2026-07-25</x:v>
      </x:c>
      <x:c r="AI157" s="99" t="str">
        <x:v>2026-08-25</x:v>
      </x:c>
      <x:c r="AJ157" s="99" t="str">
        <x:v>Registry coverage only. Production readiness is capability-specific and requires the release checklist.</x:v>
      </x:c>
    </x:row>
    <x:row r="158" ht="54" customHeight="1">
      <x:c r="A158" s="97" t="str">
        <x:v>CP-NP</x:v>
      </x:c>
      <x:c r="B158" s="97" t="str">
        <x:v>Nepal</x:v>
      </x:c>
      <x:c r="C158" s="97" t="str">
        <x:v>NP</x:v>
      </x:c>
      <x:c r="D158" s="97" t="str">
        <x:v>NPL</x:v>
      </x:c>
      <x:c r="E158" s="97" t="str">
        <x:v>524</x:v>
      </x:c>
      <x:c r="F158" s="97" t="str">
        <x:v>ISO 3166-1 assigned</x:v>
      </x:c>
      <x:c r="G158" s="97" t="str">
        <x:v>Independent state</x:v>
      </x:c>
      <x:c r="H158" s="97" t="str">
        <x:v>Self-administered for pack indexing; legal status follows authoritative sources</x:v>
      </x:c>
      <x:c r="I158" s="97" t="str">
        <x:v>Asia</x:v>
      </x:c>
      <x:c r="J158" s="97" t="str">
        <x:v>Southern Asia</x:v>
      </x:c>
      <x:c r="K158" s="97" t="str">
        <x:v>National/territorial customs framework—local validation required</x:v>
      </x:c>
      <x:c r="L158" s="97" t="str">
        <x:v>UPU/operator contract, bilateral rules, EAD/message versions and serviceability must be validated</x:v>
      </x:c>
      <x:c r="M158" s="97" t="str">
        <x:v>ICAO state rules, PLACI regime, security status, carrier routing and serviceability must be validated</x:v>
      </x:c>
      <x:c r="N158" s="97" t="str">
        <x:v>Country-pack privacy law and transfer mechanism required</x:v>
      </x:c>
      <x:c r="O158" s="97" t="str">
        <x:v>Screen live lists for every applicable nexus; resolve ownership, sectoral, end-use and licence controls</x:v>
      </x:c>
      <x:c r="P158" s="97" t="str">
        <x:v>No static legal conclusion. Validate current national/territorial customs, tax, licensing, product, privacy and carrier sources before activation.</x:v>
      </x:c>
      <x:c r="Q158" s="97" t="str">
        <x:v>BLOCKED until tariff, prohibitions, documents and carrier services approved</x:v>
      </x:c>
      <x:c r="R158" s="97" t="str">
        <x:v>BLOCKED until ICAO/state/operator variations and certified review path approved</x:v>
      </x:c>
      <x:c r="S158" s="97" t="str">
        <x:v>BLOCKED until SPS/agency/temperature rules and external filing path approved</x:v>
      </x:c>
      <x:c r="T158" s="97" t="str">
        <x:v>BLOCKED until product/site/importer authorizations and quality path approved</x:v>
      </x:c>
      <x:c r="U158" s="97" t="str">
        <x:v>BLOCKED until excise/licences/age/carrier contract approved</x:v>
      </x:c>
      <x:c r="V158" s="97" t="str">
        <x:v>BLOCKED until classification/end-use/licensing and sanctions path approved</x:v>
      </x:c>
      <x:c r="W158" s="97" t="str">
        <x:v>BLOCKED until provenance/security/insurance/carrier limits approved</x:v>
      </x:c>
      <x:c r="X158" s="97" t="str">
        <x:v>BLOCKED until purpose, values, relief evidence and restrictions approved</x:v>
      </x:c>
      <x:c r="Y158" s="104" t="b">
        <x:v>0</x:v>
      </x:c>
      <x:c r="Z158" s="104" t="b">
        <x:v>0</x:v>
      </x:c>
      <x:c r="AA158" s="104" t="b">
        <x:v>0</x:v>
      </x:c>
      <x:c r="AB158" s="104" t="b">
        <x:v>0</x:v>
      </x:c>
      <x:c r="AC158" s="104" t="b">
        <x:v>0</x:v>
      </x:c>
      <x:c r="AD158" s="106" t="str">
        <x:v>BLOCKED_PENDING_VALIDATION</x:v>
      </x:c>
      <x:c r="AE158" s="97" t="str">
        <x:v>NOT_STARTED</x:v>
      </x:c>
      <x:c r="AF158" s="97" t="str">
        <x:v>Unassigned country-pack owner</x:v>
      </x:c>
      <x:c r="AG158" s="97" t="str">
        <x:v>SRC-CUS-001, SRC-CUS-005, SRC-CUS-007, SRC-DAT-001, SRC-POST-001, SRC-PRV-001</x:v>
      </x:c>
      <x:c r="AH158" s="97" t="str">
        <x:v>2026-07-25</x:v>
      </x:c>
      <x:c r="AI158" s="97" t="str">
        <x:v>2026-08-25</x:v>
      </x:c>
      <x:c r="AJ158" s="97" t="str">
        <x:v>Registry coverage only. Production readiness is capability-specific and requires the release checklist.</x:v>
      </x:c>
    </x:row>
    <x:row r="159" ht="54" customHeight="1">
      <x:c r="A159" s="99" t="str">
        <x:v>CP-NL</x:v>
      </x:c>
      <x:c r="B159" s="99" t="str">
        <x:v>Netherlands</x:v>
      </x:c>
      <x:c r="C159" s="99" t="str">
        <x:v>NL</x:v>
      </x:c>
      <x:c r="D159" s="99" t="str">
        <x:v>NLD</x:v>
      </x:c>
      <x:c r="E159" s="99" t="str">
        <x:v>528</x:v>
      </x:c>
      <x:c r="F159" s="99" t="str">
        <x:v>ISO 3166-1 assigned</x:v>
      </x:c>
      <x:c r="G159" s="99" t="str">
        <x:v>Independent state</x:v>
      </x:c>
      <x:c r="H159" s="99" t="str">
        <x:v>Self-administered for pack indexing; legal status follows authoritative sources</x:v>
      </x:c>
      <x:c r="I159" s="99" t="str">
        <x:v>Europe</x:v>
      </x:c>
      <x:c r="J159" s="99" t="str">
        <x:v>Western Europe</x:v>
      </x:c>
      <x:c r="K159" s="99" t="str">
        <x:v>EU customs framework; validate special fiscal/customs territory</x:v>
      </x:c>
      <x:c r="L159" s="99" t="str">
        <x:v>UPU/operator contract, bilateral rules, EAD/message versions and serviceability must be validated</x:v>
      </x:c>
      <x:c r="M159" s="99" t="str">
        <x:v>ICAO state rules, PLACI regime, security status, carrier routing and serviceability must be validated</x:v>
      </x:c>
      <x:c r="N159" s="99" t="str">
        <x:v>GDPR/EEA transfer controls; local supplements</x:v>
      </x:c>
      <x:c r="O159" s="99" t="str">
        <x:v>Screen live lists for every applicable nexus; resolve ownership, sectoral, end-use and licence controls</x:v>
      </x:c>
      <x:c r="P159" s="99" t="str">
        <x:v>EU baseline: ICS2/ENS and current low-value/VAT rules; member and special-territory validation still required.</x:v>
      </x:c>
      <x:c r="Q159" s="99" t="str">
        <x:v>BLOCKED until tariff, prohibitions, documents and carrier services approved</x:v>
      </x:c>
      <x:c r="R159" s="99" t="str">
        <x:v>BLOCKED until ICAO/state/operator variations and certified review path approved</x:v>
      </x:c>
      <x:c r="S159" s="99" t="str">
        <x:v>BLOCKED until SPS/agency/temperature rules and external filing path approved</x:v>
      </x:c>
      <x:c r="T159" s="99" t="str">
        <x:v>BLOCKED until product/site/importer authorizations and quality path approved</x:v>
      </x:c>
      <x:c r="U159" s="99" t="str">
        <x:v>BLOCKED until excise/licences/age/carrier contract approved</x:v>
      </x:c>
      <x:c r="V159" s="99" t="str">
        <x:v>BLOCKED until classification/end-use/licensing and sanctions path approved</x:v>
      </x:c>
      <x:c r="W159" s="99" t="str">
        <x:v>BLOCKED until provenance/security/insurance/carrier limits approved</x:v>
      </x:c>
      <x:c r="X159" s="99" t="str">
        <x:v>BLOCKED until purpose, values, relief evidence and restrictions approved</x:v>
      </x:c>
      <x:c r="Y159" s="103" t="b">
        <x:v>0</x:v>
      </x:c>
      <x:c r="Z159" s="103" t="b">
        <x:v>0</x:v>
      </x:c>
      <x:c r="AA159" s="103" t="b">
        <x:v>0</x:v>
      </x:c>
      <x:c r="AB159" s="103" t="b">
        <x:v>0</x:v>
      </x:c>
      <x:c r="AC159" s="103" t="b">
        <x:v>0</x:v>
      </x:c>
      <x:c r="AD159" s="106" t="str">
        <x:v>BLOCKED_PENDING_VALIDATION</x:v>
      </x:c>
      <x:c r="AE159" s="99" t="str">
        <x:v>NOT_STARTED</x:v>
      </x:c>
      <x:c r="AF159" s="99" t="str">
        <x:v>Unassigned country-pack owner</x:v>
      </x:c>
      <x:c r="AG159" s="99" t="str">
        <x:v>SRC-CUS-001, SRC-CUS-005, SRC-CUS-007, SRC-DAT-001, SRC-POST-001, SRC-PRV-001, SRC-EU-001, SRC-EU-002, SRC-EU-003, SRC-EU-004, SRC-PRV-002</x:v>
      </x:c>
      <x:c r="AH159" s="99" t="str">
        <x:v>2026-07-25</x:v>
      </x:c>
      <x:c r="AI159" s="99" t="str">
        <x:v>2026-08-25</x:v>
      </x:c>
      <x:c r="AJ159" s="99" t="str">
        <x:v>Registry coverage only. Production readiness is capability-specific and requires the release checklist.</x:v>
      </x:c>
    </x:row>
    <x:row r="160" ht="54" customHeight="1">
      <x:c r="A160" s="97" t="str">
        <x:v>CP-NC</x:v>
      </x:c>
      <x:c r="B160" s="97" t="str">
        <x:v>New Caledonia</x:v>
      </x:c>
      <x:c r="C160" s="97" t="str">
        <x:v>NC</x:v>
      </x:c>
      <x:c r="D160" s="97" t="str">
        <x:v>NCL</x:v>
      </x:c>
      <x:c r="E160" s="97" t="str">
        <x:v>540</x:v>
      </x:c>
      <x:c r="F160" s="97" t="str">
        <x:v>ISO 3166-1 assigned</x:v>
      </x:c>
      <x:c r="G160" s="97" t="str">
        <x:v>Territory, dependency or special-area record</x:v>
      </x:c>
      <x:c r="H160" s="97" t="str">
        <x:v>France</x:v>
      </x:c>
      <x:c r="I160" s="97" t="str">
        <x:v>Oceania</x:v>
      </x:c>
      <x:c r="J160" s="97" t="str">
        <x:v>Melanesia</x:v>
      </x:c>
      <x:c r="K160" s="97" t="str">
        <x:v>National/territorial customs framework—local validation required</x:v>
      </x:c>
      <x:c r="L160" s="97" t="str">
        <x:v>UPU/operator contract, bilateral rules, EAD/message versions and serviceability must be validated</x:v>
      </x:c>
      <x:c r="M160" s="97" t="str">
        <x:v>ICAO state rules, PLACI regime, security status, carrier routing and serviceability must be validated</x:v>
      </x:c>
      <x:c r="N160" s="97" t="str">
        <x:v>Country-pack privacy law and transfer mechanism required</x:v>
      </x:c>
      <x:c r="O160" s="97" t="str">
        <x:v>Screen live lists for every applicable nexus; resolve ownership, sectoral, end-use and licence controls</x:v>
      </x:c>
      <x:c r="P160" s="97" t="str">
        <x:v>No static legal conclusion. Validate current national/territorial customs, tax, licensing, product, privacy and carrier sources before activation.</x:v>
      </x:c>
      <x:c r="Q160" s="97" t="str">
        <x:v>BLOCKED until tariff, prohibitions, documents and carrier services approved</x:v>
      </x:c>
      <x:c r="R160" s="97" t="str">
        <x:v>BLOCKED until ICAO/state/operator variations and certified review path approved</x:v>
      </x:c>
      <x:c r="S160" s="97" t="str">
        <x:v>BLOCKED until SPS/agency/temperature rules and external filing path approved</x:v>
      </x:c>
      <x:c r="T160" s="97" t="str">
        <x:v>BLOCKED until product/site/importer authorizations and quality path approved</x:v>
      </x:c>
      <x:c r="U160" s="97" t="str">
        <x:v>BLOCKED until excise/licences/age/carrier contract approved</x:v>
      </x:c>
      <x:c r="V160" s="97" t="str">
        <x:v>BLOCKED until classification/end-use/licensing and sanctions path approved</x:v>
      </x:c>
      <x:c r="W160" s="97" t="str">
        <x:v>BLOCKED until provenance/security/insurance/carrier limits approved</x:v>
      </x:c>
      <x:c r="X160" s="97" t="str">
        <x:v>BLOCKED until purpose, values, relief evidence and restrictions approved</x:v>
      </x:c>
      <x:c r="Y160" s="104" t="b">
        <x:v>0</x:v>
      </x:c>
      <x:c r="Z160" s="104" t="b">
        <x:v>0</x:v>
      </x:c>
      <x:c r="AA160" s="104" t="b">
        <x:v>0</x:v>
      </x:c>
      <x:c r="AB160" s="104" t="b">
        <x:v>0</x:v>
      </x:c>
      <x:c r="AC160" s="104" t="b">
        <x:v>0</x:v>
      </x:c>
      <x:c r="AD160" s="106" t="str">
        <x:v>BLOCKED_PENDING_VALIDATION</x:v>
      </x:c>
      <x:c r="AE160" s="97" t="str">
        <x:v>NOT_STARTED</x:v>
      </x:c>
      <x:c r="AF160" s="97" t="str">
        <x:v>Unassigned country-pack owner</x:v>
      </x:c>
      <x:c r="AG160" s="97" t="str">
        <x:v>SRC-CUS-001, SRC-CUS-005, SRC-CUS-007, SRC-DAT-001, SRC-POST-001, SRC-PRV-001</x:v>
      </x:c>
      <x:c r="AH160" s="97" t="str">
        <x:v>2026-07-25</x:v>
      </x:c>
      <x:c r="AI160" s="97" t="str">
        <x:v>2026-08-25</x:v>
      </x:c>
      <x:c r="AJ160" s="97" t="str">
        <x:v>Registry coverage only. Production readiness is capability-specific and requires the release checklist.</x:v>
      </x:c>
    </x:row>
    <x:row r="161" ht="54" customHeight="1">
      <x:c r="A161" s="99" t="str">
        <x:v>CP-NZ</x:v>
      </x:c>
      <x:c r="B161" s="99" t="str">
        <x:v>New Zealand</x:v>
      </x:c>
      <x:c r="C161" s="99" t="str">
        <x:v>NZ</x:v>
      </x:c>
      <x:c r="D161" s="99" t="str">
        <x:v>NZL</x:v>
      </x:c>
      <x:c r="E161" s="99" t="str">
        <x:v>554</x:v>
      </x:c>
      <x:c r="F161" s="99" t="str">
        <x:v>ISO 3166-1 assigned</x:v>
      </x:c>
      <x:c r="G161" s="99" t="str">
        <x:v>Independent state</x:v>
      </x:c>
      <x:c r="H161" s="99" t="str">
        <x:v>Self-administered for pack indexing; legal status follows authoritative sources</x:v>
      </x:c>
      <x:c r="I161" s="99" t="str">
        <x:v>Oceania</x:v>
      </x:c>
      <x:c r="J161" s="99" t="str">
        <x:v>Australia and New Zealand</x:v>
      </x:c>
      <x:c r="K161" s="99" t="str">
        <x:v>National/territorial customs framework—local validation required</x:v>
      </x:c>
      <x:c r="L161" s="99" t="str">
        <x:v>UPU/operator contract, bilateral rules, EAD/message versions and serviceability must be validated</x:v>
      </x:c>
      <x:c r="M161" s="99" t="str">
        <x:v>ICAO state rules, PLACI regime, security status, carrier routing and serviceability must be validated</x:v>
      </x:c>
      <x:c r="N161" s="99" t="str">
        <x:v>Privacy Act 2020</x:v>
      </x:c>
      <x:c r="O161" s="99" t="str">
        <x:v>Screen live lists for every applicable nexus; resolve ownership, sectoral, end-use and licence controls</x:v>
      </x:c>
      <x:c r="P161" s="99" t="str">
        <x:v>No static legal conclusion. Validate current national/territorial customs, tax, licensing, product, privacy and carrier sources before activation.</x:v>
      </x:c>
      <x:c r="Q161" s="99" t="str">
        <x:v>BLOCKED until tariff, prohibitions, documents and carrier services approved</x:v>
      </x:c>
      <x:c r="R161" s="99" t="str">
        <x:v>BLOCKED until ICAO/state/operator variations and certified review path approved</x:v>
      </x:c>
      <x:c r="S161" s="99" t="str">
        <x:v>BLOCKED until SPS/agency/temperature rules and external filing path approved</x:v>
      </x:c>
      <x:c r="T161" s="99" t="str">
        <x:v>BLOCKED until product/site/importer authorizations and quality path approved</x:v>
      </x:c>
      <x:c r="U161" s="99" t="str">
        <x:v>BLOCKED until excise/licences/age/carrier contract approved</x:v>
      </x:c>
      <x:c r="V161" s="99" t="str">
        <x:v>BLOCKED until classification/end-use/licensing and sanctions path approved</x:v>
      </x:c>
      <x:c r="W161" s="99" t="str">
        <x:v>BLOCKED until provenance/security/insurance/carrier limits approved</x:v>
      </x:c>
      <x:c r="X161" s="99" t="str">
        <x:v>BLOCKED until purpose, values, relief evidence and restrictions approved</x:v>
      </x:c>
      <x:c r="Y161" s="103" t="b">
        <x:v>0</x:v>
      </x:c>
      <x:c r="Z161" s="103" t="b">
        <x:v>0</x:v>
      </x:c>
      <x:c r="AA161" s="103" t="b">
        <x:v>0</x:v>
      </x:c>
      <x:c r="AB161" s="103" t="b">
        <x:v>0</x:v>
      </x:c>
      <x:c r="AC161" s="103" t="b">
        <x:v>0</x:v>
      </x:c>
      <x:c r="AD161" s="106" t="str">
        <x:v>BLOCKED_PENDING_VALIDATION</x:v>
      </x:c>
      <x:c r="AE161" s="99" t="str">
        <x:v>NOT_STARTED</x:v>
      </x:c>
      <x:c r="AF161" s="99" t="str">
        <x:v>Unassigned country-pack owner</x:v>
      </x:c>
      <x:c r="AG161" s="99" t="str">
        <x:v>SRC-CUS-001, SRC-CUS-005, SRC-CUS-007, SRC-DAT-001, SRC-POST-001, SRC-PRV-001</x:v>
      </x:c>
      <x:c r="AH161" s="99" t="str">
        <x:v>2026-07-25</x:v>
      </x:c>
      <x:c r="AI161" s="99" t="str">
        <x:v>2026-08-25</x:v>
      </x:c>
      <x:c r="AJ161" s="99" t="str">
        <x:v>Registry coverage only. Production readiness is capability-specific and requires the release checklist.</x:v>
      </x:c>
    </x:row>
    <x:row r="162" ht="54" customHeight="1">
      <x:c r="A162" s="97" t="str">
        <x:v>CP-NI</x:v>
      </x:c>
      <x:c r="B162" s="97" t="str">
        <x:v>Nicaragua</x:v>
      </x:c>
      <x:c r="C162" s="97" t="str">
        <x:v>NI</x:v>
      </x:c>
      <x:c r="D162" s="97" t="str">
        <x:v>NIC</x:v>
      </x:c>
      <x:c r="E162" s="97" t="str">
        <x:v>558</x:v>
      </x:c>
      <x:c r="F162" s="97" t="str">
        <x:v>ISO 3166-1 assigned</x:v>
      </x:c>
      <x:c r="G162" s="97" t="str">
        <x:v>Independent state</x:v>
      </x:c>
      <x:c r="H162" s="97" t="str">
        <x:v>Self-administered for pack indexing; legal status follows authoritative sources</x:v>
      </x:c>
      <x:c r="I162" s="97" t="str">
        <x:v>Americas</x:v>
      </x:c>
      <x:c r="J162" s="97" t="str">
        <x:v>Central America</x:v>
      </x:c>
      <x:c r="K162" s="97" t="str">
        <x:v>National/territorial customs framework—local validation required</x:v>
      </x:c>
      <x:c r="L162" s="97" t="str">
        <x:v>UPU/operator contract, bilateral rules, EAD/message versions and serviceability must be validated</x:v>
      </x:c>
      <x:c r="M162" s="97" t="str">
        <x:v>ICAO state rules, PLACI regime, security status, carrier routing and serviceability must be validated</x:v>
      </x:c>
      <x:c r="N162" s="97" t="str">
        <x:v>Country-pack privacy law and transfer mechanism required</x:v>
      </x:c>
      <x:c r="O162" s="97" t="str">
        <x:v>Screen live lists for every applicable nexus; resolve ownership, sectoral, end-use and licence controls</x:v>
      </x:c>
      <x:c r="P162" s="97" t="str">
        <x:v>No static legal conclusion. Validate current national/territorial customs, tax, licensing, product, privacy and carrier sources before activation.</x:v>
      </x:c>
      <x:c r="Q162" s="97" t="str">
        <x:v>BLOCKED until tariff, prohibitions, documents and carrier services approved</x:v>
      </x:c>
      <x:c r="R162" s="97" t="str">
        <x:v>BLOCKED until ICAO/state/operator variations and certified review path approved</x:v>
      </x:c>
      <x:c r="S162" s="97" t="str">
        <x:v>BLOCKED until SPS/agency/temperature rules and external filing path approved</x:v>
      </x:c>
      <x:c r="T162" s="97" t="str">
        <x:v>BLOCKED until product/site/importer authorizations and quality path approved</x:v>
      </x:c>
      <x:c r="U162" s="97" t="str">
        <x:v>BLOCKED until excise/licences/age/carrier contract approved</x:v>
      </x:c>
      <x:c r="V162" s="97" t="str">
        <x:v>BLOCKED until classification/end-use/licensing and sanctions path approved</x:v>
      </x:c>
      <x:c r="W162" s="97" t="str">
        <x:v>BLOCKED until provenance/security/insurance/carrier limits approved</x:v>
      </x:c>
      <x:c r="X162" s="97" t="str">
        <x:v>BLOCKED until purpose, values, relief evidence and restrictions approved</x:v>
      </x:c>
      <x:c r="Y162" s="104" t="b">
        <x:v>0</x:v>
      </x:c>
      <x:c r="Z162" s="104" t="b">
        <x:v>0</x:v>
      </x:c>
      <x:c r="AA162" s="104" t="b">
        <x:v>0</x:v>
      </x:c>
      <x:c r="AB162" s="104" t="b">
        <x:v>0</x:v>
      </x:c>
      <x:c r="AC162" s="104" t="b">
        <x:v>0</x:v>
      </x:c>
      <x:c r="AD162" s="106" t="str">
        <x:v>BLOCKED_PENDING_VALIDATION</x:v>
      </x:c>
      <x:c r="AE162" s="97" t="str">
        <x:v>NOT_STARTED</x:v>
      </x:c>
      <x:c r="AF162" s="97" t="str">
        <x:v>Unassigned country-pack owner</x:v>
      </x:c>
      <x:c r="AG162" s="97" t="str">
        <x:v>SRC-CUS-001, SRC-CUS-005, SRC-CUS-007, SRC-DAT-001, SRC-POST-001, SRC-PRV-001</x:v>
      </x:c>
      <x:c r="AH162" s="97" t="str">
        <x:v>2026-07-25</x:v>
      </x:c>
      <x:c r="AI162" s="97" t="str">
        <x:v>2026-08-25</x:v>
      </x:c>
      <x:c r="AJ162" s="97" t="str">
        <x:v>Registry coverage only. Production readiness is capability-specific and requires the release checklist.</x:v>
      </x:c>
    </x:row>
    <x:row r="163" ht="54" customHeight="1">
      <x:c r="A163" s="99" t="str">
        <x:v>CP-NE</x:v>
      </x:c>
      <x:c r="B163" s="99" t="str">
        <x:v>Niger</x:v>
      </x:c>
      <x:c r="C163" s="99" t="str">
        <x:v>NE</x:v>
      </x:c>
      <x:c r="D163" s="99" t="str">
        <x:v>NER</x:v>
      </x:c>
      <x:c r="E163" s="99" t="str">
        <x:v>562</x:v>
      </x:c>
      <x:c r="F163" s="99" t="str">
        <x:v>ISO 3166-1 assigned</x:v>
      </x:c>
      <x:c r="G163" s="99" t="str">
        <x:v>Independent state</x:v>
      </x:c>
      <x:c r="H163" s="99" t="str">
        <x:v>Self-administered for pack indexing; legal status follows authoritative sources</x:v>
      </x:c>
      <x:c r="I163" s="99" t="str">
        <x:v>Africa</x:v>
      </x:c>
      <x:c r="J163" s="99" t="str">
        <x:v>Western Africa</x:v>
      </x:c>
      <x:c r="K163" s="99" t="str">
        <x:v>National/territorial customs framework—local validation required</x:v>
      </x:c>
      <x:c r="L163" s="99" t="str">
        <x:v>UPU/operator contract, bilateral rules, EAD/message versions and serviceability must be validated</x:v>
      </x:c>
      <x:c r="M163" s="99" t="str">
        <x:v>ICAO state rules, PLACI regime, security status, carrier routing and serviceability must be validated</x:v>
      </x:c>
      <x:c r="N163" s="99" t="str">
        <x:v>Country-pack privacy law and transfer mechanism required</x:v>
      </x:c>
      <x:c r="O163" s="99" t="str">
        <x:v>Screen live lists for every applicable nexus; resolve ownership, sectoral, end-use and licence controls</x:v>
      </x:c>
      <x:c r="P163" s="99" t="str">
        <x:v>No static legal conclusion. Validate current national/territorial customs, tax, licensing, product, privacy and carrier sources before activation.</x:v>
      </x:c>
      <x:c r="Q163" s="99" t="str">
        <x:v>BLOCKED until tariff, prohibitions, documents and carrier services approved</x:v>
      </x:c>
      <x:c r="R163" s="99" t="str">
        <x:v>BLOCKED until ICAO/state/operator variations and certified review path approved</x:v>
      </x:c>
      <x:c r="S163" s="99" t="str">
        <x:v>BLOCKED until SPS/agency/temperature rules and external filing path approved</x:v>
      </x:c>
      <x:c r="T163" s="99" t="str">
        <x:v>BLOCKED until product/site/importer authorizations and quality path approved</x:v>
      </x:c>
      <x:c r="U163" s="99" t="str">
        <x:v>BLOCKED until excise/licences/age/carrier contract approved</x:v>
      </x:c>
      <x:c r="V163" s="99" t="str">
        <x:v>BLOCKED until classification/end-use/licensing and sanctions path approved</x:v>
      </x:c>
      <x:c r="W163" s="99" t="str">
        <x:v>BLOCKED until provenance/security/insurance/carrier limits approved</x:v>
      </x:c>
      <x:c r="X163" s="99" t="str">
        <x:v>BLOCKED until purpose, values, relief evidence and restrictions approved</x:v>
      </x:c>
      <x:c r="Y163" s="103" t="b">
        <x:v>0</x:v>
      </x:c>
      <x:c r="Z163" s="103" t="b">
        <x:v>0</x:v>
      </x:c>
      <x:c r="AA163" s="103" t="b">
        <x:v>0</x:v>
      </x:c>
      <x:c r="AB163" s="103" t="b">
        <x:v>0</x:v>
      </x:c>
      <x:c r="AC163" s="103" t="b">
        <x:v>0</x:v>
      </x:c>
      <x:c r="AD163" s="106" t="str">
        <x:v>BLOCKED_PENDING_VALIDATION</x:v>
      </x:c>
      <x:c r="AE163" s="99" t="str">
        <x:v>NOT_STARTED</x:v>
      </x:c>
      <x:c r="AF163" s="99" t="str">
        <x:v>Unassigned country-pack owner</x:v>
      </x:c>
      <x:c r="AG163" s="99" t="str">
        <x:v>SRC-CUS-001, SRC-CUS-005, SRC-CUS-007, SRC-DAT-001, SRC-POST-001, SRC-PRV-001</x:v>
      </x:c>
      <x:c r="AH163" s="99" t="str">
        <x:v>2026-07-25</x:v>
      </x:c>
      <x:c r="AI163" s="99" t="str">
        <x:v>2026-08-25</x:v>
      </x:c>
      <x:c r="AJ163" s="99" t="str">
        <x:v>Registry coverage only. Production readiness is capability-specific and requires the release checklist.</x:v>
      </x:c>
    </x:row>
    <x:row r="164" ht="54" customHeight="1">
      <x:c r="A164" s="97" t="str">
        <x:v>CP-NG</x:v>
      </x:c>
      <x:c r="B164" s="97" t="str">
        <x:v>Nigeria</x:v>
      </x:c>
      <x:c r="C164" s="97" t="str">
        <x:v>NG</x:v>
      </x:c>
      <x:c r="D164" s="97" t="str">
        <x:v>NGA</x:v>
      </x:c>
      <x:c r="E164" s="97" t="str">
        <x:v>566</x:v>
      </x:c>
      <x:c r="F164" s="97" t="str">
        <x:v>ISO 3166-1 assigned</x:v>
      </x:c>
      <x:c r="G164" s="97" t="str">
        <x:v>Independent state</x:v>
      </x:c>
      <x:c r="H164" s="97" t="str">
        <x:v>Self-administered for pack indexing; legal status follows authoritative sources</x:v>
      </x:c>
      <x:c r="I164" s="97" t="str">
        <x:v>Africa</x:v>
      </x:c>
      <x:c r="J164" s="97" t="str">
        <x:v>Western Africa</x:v>
      </x:c>
      <x:c r="K164" s="97" t="str">
        <x:v>National/territorial customs framework—local validation required</x:v>
      </x:c>
      <x:c r="L164" s="97" t="str">
        <x:v>UPU/operator contract, bilateral rules, EAD/message versions and serviceability must be validated</x:v>
      </x:c>
      <x:c r="M164" s="97" t="str">
        <x:v>ICAO state rules, PLACI regime, security status, carrier routing and serviceability must be validated</x:v>
      </x:c>
      <x:c r="N164" s="97" t="str">
        <x:v>Nigeria Data Protection Act</x:v>
      </x:c>
      <x:c r="O164" s="97" t="str">
        <x:v>Screen live lists for every applicable nexus; resolve ownership, sectoral, end-use and licence controls</x:v>
      </x:c>
      <x:c r="P164" s="97" t="str">
        <x:v>No static legal conclusion. Validate current national/territorial customs, tax, licensing, product, privacy and carrier sources before activation.</x:v>
      </x:c>
      <x:c r="Q164" s="97" t="str">
        <x:v>BLOCKED until tariff, prohibitions, documents and carrier services approved</x:v>
      </x:c>
      <x:c r="R164" s="97" t="str">
        <x:v>BLOCKED until ICAO/state/operator variations and certified review path approved</x:v>
      </x:c>
      <x:c r="S164" s="97" t="str">
        <x:v>BLOCKED until SPS/agency/temperature rules and external filing path approved</x:v>
      </x:c>
      <x:c r="T164" s="97" t="str">
        <x:v>BLOCKED until product/site/importer authorizations and quality path approved</x:v>
      </x:c>
      <x:c r="U164" s="97" t="str">
        <x:v>BLOCKED until excise/licences/age/carrier contract approved</x:v>
      </x:c>
      <x:c r="V164" s="97" t="str">
        <x:v>BLOCKED until classification/end-use/licensing and sanctions path approved</x:v>
      </x:c>
      <x:c r="W164" s="97" t="str">
        <x:v>BLOCKED until provenance/security/insurance/carrier limits approved</x:v>
      </x:c>
      <x:c r="X164" s="97" t="str">
        <x:v>BLOCKED until purpose, values, relief evidence and restrictions approved</x:v>
      </x:c>
      <x:c r="Y164" s="104" t="b">
        <x:v>0</x:v>
      </x:c>
      <x:c r="Z164" s="104" t="b">
        <x:v>0</x:v>
      </x:c>
      <x:c r="AA164" s="104" t="b">
        <x:v>0</x:v>
      </x:c>
      <x:c r="AB164" s="104" t="b">
        <x:v>0</x:v>
      </x:c>
      <x:c r="AC164" s="104" t="b">
        <x:v>0</x:v>
      </x:c>
      <x:c r="AD164" s="106" t="str">
        <x:v>BLOCKED_PENDING_VALIDATION</x:v>
      </x:c>
      <x:c r="AE164" s="97" t="str">
        <x:v>NOT_STARTED</x:v>
      </x:c>
      <x:c r="AF164" s="97" t="str">
        <x:v>Unassigned country-pack owner</x:v>
      </x:c>
      <x:c r="AG164" s="97" t="str">
        <x:v>SRC-CUS-001, SRC-CUS-005, SRC-CUS-007, SRC-DAT-001, SRC-POST-001, SRC-PRV-001, SRC-PRV-014</x:v>
      </x:c>
      <x:c r="AH164" s="97" t="str">
        <x:v>2026-07-25</x:v>
      </x:c>
      <x:c r="AI164" s="97" t="str">
        <x:v>2026-08-25</x:v>
      </x:c>
      <x:c r="AJ164" s="97" t="str">
        <x:v>Registry coverage only. Production readiness is capability-specific and requires the release checklist.</x:v>
      </x:c>
    </x:row>
    <x:row r="165" ht="54" customHeight="1">
      <x:c r="A165" s="99" t="str">
        <x:v>CP-NU</x:v>
      </x:c>
      <x:c r="B165" s="99" t="str">
        <x:v>Niue</x:v>
      </x:c>
      <x:c r="C165" s="99" t="str">
        <x:v>NU</x:v>
      </x:c>
      <x:c r="D165" s="99" t="str">
        <x:v>NIU</x:v>
      </x:c>
      <x:c r="E165" s="99" t="str">
        <x:v>570</x:v>
      </x:c>
      <x:c r="F165" s="99" t="str">
        <x:v>ISO 3166-1 assigned</x:v>
      </x:c>
      <x:c r="G165" s="99" t="str">
        <x:v>Territory, dependency or special-area record</x:v>
      </x:c>
      <x:c r="H165" s="99" t="str">
        <x:v>New Zealand (free association)</x:v>
      </x:c>
      <x:c r="I165" s="99" t="str">
        <x:v>Oceania</x:v>
      </x:c>
      <x:c r="J165" s="99" t="str">
        <x:v>Polynesia</x:v>
      </x:c>
      <x:c r="K165" s="99" t="str">
        <x:v>National/territorial customs framework—local validation required</x:v>
      </x:c>
      <x:c r="L165" s="99" t="str">
        <x:v>UPU/operator contract, bilateral rules, EAD/message versions and serviceability must be validated</x:v>
      </x:c>
      <x:c r="M165" s="99" t="str">
        <x:v>ICAO state rules, PLACI regime, security status, carrier routing and serviceability must be validated</x:v>
      </x:c>
      <x:c r="N165" s="99" t="str">
        <x:v>Country-pack privacy law and transfer mechanism required</x:v>
      </x:c>
      <x:c r="O165" s="99" t="str">
        <x:v>Screen live lists for every applicable nexus; resolve ownership, sectoral, end-use and licence controls</x:v>
      </x:c>
      <x:c r="P165" s="99" t="str">
        <x:v>No static legal conclusion. Validate current national/territorial customs, tax, licensing, product, privacy and carrier sources before activation.</x:v>
      </x:c>
      <x:c r="Q165" s="99" t="str">
        <x:v>BLOCKED until tariff, prohibitions, documents and carrier services approved</x:v>
      </x:c>
      <x:c r="R165" s="99" t="str">
        <x:v>BLOCKED until ICAO/state/operator variations and certified review path approved</x:v>
      </x:c>
      <x:c r="S165" s="99" t="str">
        <x:v>BLOCKED until SPS/agency/temperature rules and external filing path approved</x:v>
      </x:c>
      <x:c r="T165" s="99" t="str">
        <x:v>BLOCKED until product/site/importer authorizations and quality path approved</x:v>
      </x:c>
      <x:c r="U165" s="99" t="str">
        <x:v>BLOCKED until excise/licences/age/carrier contract approved</x:v>
      </x:c>
      <x:c r="V165" s="99" t="str">
        <x:v>BLOCKED until classification/end-use/licensing and sanctions path approved</x:v>
      </x:c>
      <x:c r="W165" s="99" t="str">
        <x:v>BLOCKED until provenance/security/insurance/carrier limits approved</x:v>
      </x:c>
      <x:c r="X165" s="99" t="str">
        <x:v>BLOCKED until purpose, values, relief evidence and restrictions approved</x:v>
      </x:c>
      <x:c r="Y165" s="103" t="b">
        <x:v>0</x:v>
      </x:c>
      <x:c r="Z165" s="103" t="b">
        <x:v>0</x:v>
      </x:c>
      <x:c r="AA165" s="103" t="b">
        <x:v>0</x:v>
      </x:c>
      <x:c r="AB165" s="103" t="b">
        <x:v>0</x:v>
      </x:c>
      <x:c r="AC165" s="103" t="b">
        <x:v>0</x:v>
      </x:c>
      <x:c r="AD165" s="106" t="str">
        <x:v>BLOCKED_PENDING_VALIDATION</x:v>
      </x:c>
      <x:c r="AE165" s="99" t="str">
        <x:v>NOT_STARTED</x:v>
      </x:c>
      <x:c r="AF165" s="99" t="str">
        <x:v>Unassigned country-pack owner</x:v>
      </x:c>
      <x:c r="AG165" s="99" t="str">
        <x:v>SRC-CUS-001, SRC-CUS-005, SRC-CUS-007, SRC-DAT-001, SRC-POST-001, SRC-PRV-001</x:v>
      </x:c>
      <x:c r="AH165" s="99" t="str">
        <x:v>2026-07-25</x:v>
      </x:c>
      <x:c r="AI165" s="99" t="str">
        <x:v>2026-08-25</x:v>
      </x:c>
      <x:c r="AJ165" s="99" t="str">
        <x:v>Registry coverage only. Production readiness is capability-specific and requires the release checklist.</x:v>
      </x:c>
    </x:row>
    <x:row r="166" ht="54" customHeight="1">
      <x:c r="A166" s="97" t="str">
        <x:v>CP-NF</x:v>
      </x:c>
      <x:c r="B166" s="97" t="str">
        <x:v>Norfolk Island</x:v>
      </x:c>
      <x:c r="C166" s="97" t="str">
        <x:v>NF</x:v>
      </x:c>
      <x:c r="D166" s="97" t="str">
        <x:v>NFK</x:v>
      </x:c>
      <x:c r="E166" s="97" t="str">
        <x:v>574</x:v>
      </x:c>
      <x:c r="F166" s="97" t="str">
        <x:v>ISO 3166-1 assigned</x:v>
      </x:c>
      <x:c r="G166" s="97" t="str">
        <x:v>Territory, dependency or special-area record</x:v>
      </x:c>
      <x:c r="H166" s="97" t="str">
        <x:v>Australia</x:v>
      </x:c>
      <x:c r="I166" s="97" t="str">
        <x:v>Oceania</x:v>
      </x:c>
      <x:c r="J166" s="97" t="str">
        <x:v>Australia and New Zealand</x:v>
      </x:c>
      <x:c r="K166" s="97" t="str">
        <x:v>National/territorial customs framework—local validation required</x:v>
      </x:c>
      <x:c r="L166" s="97" t="str">
        <x:v>UPU/operator contract, bilateral rules, EAD/message versions and serviceability must be validated</x:v>
      </x:c>
      <x:c r="M166" s="97" t="str">
        <x:v>ICAO state rules, PLACI regime, security status, carrier routing and serviceability must be validated</x:v>
      </x:c>
      <x:c r="N166" s="97" t="str">
        <x:v>Country-pack privacy law and transfer mechanism required</x:v>
      </x:c>
      <x:c r="O166" s="97" t="str">
        <x:v>Screen live lists for every applicable nexus; resolve ownership, sectoral, end-use and licence controls</x:v>
      </x:c>
      <x:c r="P166" s="97" t="str">
        <x:v>No static legal conclusion. Validate current national/territorial customs, tax, licensing, product, privacy and carrier sources before activation.</x:v>
      </x:c>
      <x:c r="Q166" s="97" t="str">
        <x:v>BLOCKED until tariff, prohibitions, documents and carrier services approved</x:v>
      </x:c>
      <x:c r="R166" s="97" t="str">
        <x:v>BLOCKED until ICAO/state/operator variations and certified review path approved</x:v>
      </x:c>
      <x:c r="S166" s="97" t="str">
        <x:v>BLOCKED until SPS/agency/temperature rules and external filing path approved</x:v>
      </x:c>
      <x:c r="T166" s="97" t="str">
        <x:v>BLOCKED until product/site/importer authorizations and quality path approved</x:v>
      </x:c>
      <x:c r="U166" s="97" t="str">
        <x:v>BLOCKED until excise/licences/age/carrier contract approved</x:v>
      </x:c>
      <x:c r="V166" s="97" t="str">
        <x:v>BLOCKED until classification/end-use/licensing and sanctions path approved</x:v>
      </x:c>
      <x:c r="W166" s="97" t="str">
        <x:v>BLOCKED until provenance/security/insurance/carrier limits approved</x:v>
      </x:c>
      <x:c r="X166" s="97" t="str">
        <x:v>BLOCKED until purpose, values, relief evidence and restrictions approved</x:v>
      </x:c>
      <x:c r="Y166" s="104" t="b">
        <x:v>0</x:v>
      </x:c>
      <x:c r="Z166" s="104" t="b">
        <x:v>0</x:v>
      </x:c>
      <x:c r="AA166" s="104" t="b">
        <x:v>0</x:v>
      </x:c>
      <x:c r="AB166" s="104" t="b">
        <x:v>0</x:v>
      </x:c>
      <x:c r="AC166" s="104" t="b">
        <x:v>0</x:v>
      </x:c>
      <x:c r="AD166" s="106" t="str">
        <x:v>BLOCKED_PENDING_VALIDATION</x:v>
      </x:c>
      <x:c r="AE166" s="97" t="str">
        <x:v>NOT_STARTED</x:v>
      </x:c>
      <x:c r="AF166" s="97" t="str">
        <x:v>Unassigned country-pack owner</x:v>
      </x:c>
      <x:c r="AG166" s="97" t="str">
        <x:v>SRC-CUS-001, SRC-CUS-005, SRC-CUS-007, SRC-DAT-001, SRC-POST-001, SRC-PRV-001</x:v>
      </x:c>
      <x:c r="AH166" s="97" t="str">
        <x:v>2026-07-25</x:v>
      </x:c>
      <x:c r="AI166" s="97" t="str">
        <x:v>2026-08-25</x:v>
      </x:c>
      <x:c r="AJ166" s="97" t="str">
        <x:v>Registry coverage only. Production readiness is capability-specific and requires the release checklist.</x:v>
      </x:c>
    </x:row>
    <x:row r="167" ht="54" customHeight="1">
      <x:c r="A167" s="99" t="str">
        <x:v>CP-KP</x:v>
      </x:c>
      <x:c r="B167" s="99" t="str">
        <x:v>North Korea</x:v>
      </x:c>
      <x:c r="C167" s="99" t="str">
        <x:v>KP</x:v>
      </x:c>
      <x:c r="D167" s="99" t="str">
        <x:v>PRK</x:v>
      </x:c>
      <x:c r="E167" s="99" t="str">
        <x:v>408</x:v>
      </x:c>
      <x:c r="F167" s="99" t="str">
        <x:v>ISO 3166-1 assigned</x:v>
      </x:c>
      <x:c r="G167" s="99" t="str">
        <x:v>Independent state</x:v>
      </x:c>
      <x:c r="H167" s="99" t="str">
        <x:v>Self-administered for pack indexing; legal status follows authoritative sources</x:v>
      </x:c>
      <x:c r="I167" s="99" t="str">
        <x:v>Asia</x:v>
      </x:c>
      <x:c r="J167" s="99" t="str">
        <x:v>Eastern Asia</x:v>
      </x:c>
      <x:c r="K167" s="99" t="str">
        <x:v>National/territorial customs framework—local validation required</x:v>
      </x:c>
      <x:c r="L167" s="99" t="str">
        <x:v>UPU/operator contract, bilateral rules, EAD/message versions and serviceability must be validated</x:v>
      </x:c>
      <x:c r="M167" s="99" t="str">
        <x:v>ICAO state rules, PLACI regime, security status, carrier routing and serviceability must be validated</x:v>
      </x:c>
      <x:c r="N167" s="99" t="str">
        <x:v>Country-pack privacy law and transfer mechanism required</x:v>
      </x:c>
      <x:c r="O167" s="99" t="str">
        <x:v>Screen live lists for every applicable nexus; resolve ownership, sectoral, end-use and licence controls</x:v>
      </x:c>
      <x:c r="P167" s="99" t="str">
        <x:v>No static legal conclusion. Validate current national/territorial customs, tax, licensing, product, privacy and carrier sources before activation.</x:v>
      </x:c>
      <x:c r="Q167" s="99" t="str">
        <x:v>BLOCKED until tariff, prohibitions, documents and carrier services approved</x:v>
      </x:c>
      <x:c r="R167" s="99" t="str">
        <x:v>BLOCKED until ICAO/state/operator variations and certified review path approved</x:v>
      </x:c>
      <x:c r="S167" s="99" t="str">
        <x:v>BLOCKED until SPS/agency/temperature rules and external filing path approved</x:v>
      </x:c>
      <x:c r="T167" s="99" t="str">
        <x:v>BLOCKED until product/site/importer authorizations and quality path approved</x:v>
      </x:c>
      <x:c r="U167" s="99" t="str">
        <x:v>BLOCKED until excise/licences/age/carrier contract approved</x:v>
      </x:c>
      <x:c r="V167" s="99" t="str">
        <x:v>BLOCKED until classification/end-use/licensing and sanctions path approved</x:v>
      </x:c>
      <x:c r="W167" s="99" t="str">
        <x:v>BLOCKED until provenance/security/insurance/carrier limits approved</x:v>
      </x:c>
      <x:c r="X167" s="99" t="str">
        <x:v>BLOCKED until purpose, values, relief evidence and restrictions approved</x:v>
      </x:c>
      <x:c r="Y167" s="103" t="b">
        <x:v>0</x:v>
      </x:c>
      <x:c r="Z167" s="103" t="b">
        <x:v>0</x:v>
      </x:c>
      <x:c r="AA167" s="103" t="b">
        <x:v>0</x:v>
      </x:c>
      <x:c r="AB167" s="103" t="b">
        <x:v>0</x:v>
      </x:c>
      <x:c r="AC167" s="103" t="b">
        <x:v>0</x:v>
      </x:c>
      <x:c r="AD167" s="106" t="str">
        <x:v>BLOCKED_PENDING_VALIDATION</x:v>
      </x:c>
      <x:c r="AE167" s="99" t="str">
        <x:v>NOT_STARTED</x:v>
      </x:c>
      <x:c r="AF167" s="99" t="str">
        <x:v>Unassigned country-pack owner</x:v>
      </x:c>
      <x:c r="AG167" s="99" t="str">
        <x:v>SRC-CUS-001, SRC-CUS-005, SRC-CUS-007, SRC-DAT-001, SRC-POST-001, SRC-PRV-001</x:v>
      </x:c>
      <x:c r="AH167" s="99" t="str">
        <x:v>2026-07-25</x:v>
      </x:c>
      <x:c r="AI167" s="99" t="str">
        <x:v>2026-08-25</x:v>
      </x:c>
      <x:c r="AJ167" s="99" t="str">
        <x:v>Registry coverage only. Production readiness is capability-specific and requires the release checklist.</x:v>
      </x:c>
    </x:row>
    <x:row r="168" ht="54" customHeight="1">
      <x:c r="A168" s="97" t="str">
        <x:v>CP-MK</x:v>
      </x:c>
      <x:c r="B168" s="97" t="str">
        <x:v>North Macedonia</x:v>
      </x:c>
      <x:c r="C168" s="97" t="str">
        <x:v>MK</x:v>
      </x:c>
      <x:c r="D168" s="97" t="str">
        <x:v>MKD</x:v>
      </x:c>
      <x:c r="E168" s="97" t="str">
        <x:v>807</x:v>
      </x:c>
      <x:c r="F168" s="97" t="str">
        <x:v>ISO 3166-1 assigned</x:v>
      </x:c>
      <x:c r="G168" s="97" t="str">
        <x:v>Independent state</x:v>
      </x:c>
      <x:c r="H168" s="97" t="str">
        <x:v>Self-administered for pack indexing; legal status follows authoritative sources</x:v>
      </x:c>
      <x:c r="I168" s="97" t="str">
        <x:v>Europe</x:v>
      </x:c>
      <x:c r="J168" s="97" t="str">
        <x:v>Southeast Europe</x:v>
      </x:c>
      <x:c r="K168" s="97" t="str">
        <x:v>National/territorial customs framework—local validation required</x:v>
      </x:c>
      <x:c r="L168" s="97" t="str">
        <x:v>UPU/operator contract, bilateral rules, EAD/message versions and serviceability must be validated</x:v>
      </x:c>
      <x:c r="M168" s="97" t="str">
        <x:v>ICAO state rules, PLACI regime, security status, carrier routing and serviceability must be validated</x:v>
      </x:c>
      <x:c r="N168" s="97" t="str">
        <x:v>Country-pack privacy law and transfer mechanism required</x:v>
      </x:c>
      <x:c r="O168" s="97" t="str">
        <x:v>Screen live lists for every applicable nexus; resolve ownership, sectoral, end-use and licence controls</x:v>
      </x:c>
      <x:c r="P168" s="97" t="str">
        <x:v>No static legal conclusion. Validate current national/territorial customs, tax, licensing, product, privacy and carrier sources before activation.</x:v>
      </x:c>
      <x:c r="Q168" s="97" t="str">
        <x:v>BLOCKED until tariff, prohibitions, documents and carrier services approved</x:v>
      </x:c>
      <x:c r="R168" s="97" t="str">
        <x:v>BLOCKED until ICAO/state/operator variations and certified review path approved</x:v>
      </x:c>
      <x:c r="S168" s="97" t="str">
        <x:v>BLOCKED until SPS/agency/temperature rules and external filing path approved</x:v>
      </x:c>
      <x:c r="T168" s="97" t="str">
        <x:v>BLOCKED until product/site/importer authorizations and quality path approved</x:v>
      </x:c>
      <x:c r="U168" s="97" t="str">
        <x:v>BLOCKED until excise/licences/age/carrier contract approved</x:v>
      </x:c>
      <x:c r="V168" s="97" t="str">
        <x:v>BLOCKED until classification/end-use/licensing and sanctions path approved</x:v>
      </x:c>
      <x:c r="W168" s="97" t="str">
        <x:v>BLOCKED until provenance/security/insurance/carrier limits approved</x:v>
      </x:c>
      <x:c r="X168" s="97" t="str">
        <x:v>BLOCKED until purpose, values, relief evidence and restrictions approved</x:v>
      </x:c>
      <x:c r="Y168" s="104" t="b">
        <x:v>0</x:v>
      </x:c>
      <x:c r="Z168" s="104" t="b">
        <x:v>0</x:v>
      </x:c>
      <x:c r="AA168" s="104" t="b">
        <x:v>0</x:v>
      </x:c>
      <x:c r="AB168" s="104" t="b">
        <x:v>0</x:v>
      </x:c>
      <x:c r="AC168" s="104" t="b">
        <x:v>0</x:v>
      </x:c>
      <x:c r="AD168" s="106" t="str">
        <x:v>BLOCKED_PENDING_VALIDATION</x:v>
      </x:c>
      <x:c r="AE168" s="97" t="str">
        <x:v>NOT_STARTED</x:v>
      </x:c>
      <x:c r="AF168" s="97" t="str">
        <x:v>Unassigned country-pack owner</x:v>
      </x:c>
      <x:c r="AG168" s="97" t="str">
        <x:v>SRC-CUS-001, SRC-CUS-005, SRC-CUS-007, SRC-DAT-001, SRC-POST-001, SRC-PRV-001</x:v>
      </x:c>
      <x:c r="AH168" s="97" t="str">
        <x:v>2026-07-25</x:v>
      </x:c>
      <x:c r="AI168" s="97" t="str">
        <x:v>2026-08-25</x:v>
      </x:c>
      <x:c r="AJ168" s="97" t="str">
        <x:v>Registry coverage only. Production readiness is capability-specific and requires the release checklist.</x:v>
      </x:c>
    </x:row>
    <x:row r="169" ht="54" customHeight="1">
      <x:c r="A169" s="99" t="str">
        <x:v>CP-MP</x:v>
      </x:c>
      <x:c r="B169" s="99" t="str">
        <x:v>Northern Mariana Islands</x:v>
      </x:c>
      <x:c r="C169" s="99" t="str">
        <x:v>MP</x:v>
      </x:c>
      <x:c r="D169" s="99" t="str">
        <x:v>MNP</x:v>
      </x:c>
      <x:c r="E169" s="99" t="str">
        <x:v>580</x:v>
      </x:c>
      <x:c r="F169" s="99" t="str">
        <x:v>ISO 3166-1 assigned</x:v>
      </x:c>
      <x:c r="G169" s="99" t="str">
        <x:v>Territory, dependency or special-area record</x:v>
      </x:c>
      <x:c r="H169" s="99" t="str">
        <x:v>United States</x:v>
      </x:c>
      <x:c r="I169" s="99" t="str">
        <x:v>Oceania</x:v>
      </x:c>
      <x:c r="J169" s="99" t="str">
        <x:v>Micronesia</x:v>
      </x:c>
      <x:c r="K169" s="99" t="str">
        <x:v>National/territorial customs framework—local validation required</x:v>
      </x:c>
      <x:c r="L169" s="99" t="str">
        <x:v>UPU/operator contract, bilateral rules, EAD/message versions and serviceability must be validated</x:v>
      </x:c>
      <x:c r="M169" s="99" t="str">
        <x:v>ICAO state rules, PLACI regime, security status, carrier routing and serviceability must be validated</x:v>
      </x:c>
      <x:c r="N169" s="99" t="str">
        <x:v>Country-pack privacy law and transfer mechanism required</x:v>
      </x:c>
      <x:c r="O169" s="99" t="str">
        <x:v>Screen live lists for every applicable nexus; resolve ownership, sectoral, end-use and licence controls</x:v>
      </x:c>
      <x:c r="P169" s="99" t="str">
        <x:v>No static legal conclusion. Validate current national/territorial customs, tax, licensing, product, privacy and carrier sources before activation.</x:v>
      </x:c>
      <x:c r="Q169" s="99" t="str">
        <x:v>BLOCKED until tariff, prohibitions, documents and carrier services approved</x:v>
      </x:c>
      <x:c r="R169" s="99" t="str">
        <x:v>BLOCKED until ICAO/state/operator variations and certified review path approved</x:v>
      </x:c>
      <x:c r="S169" s="99" t="str">
        <x:v>BLOCKED until SPS/agency/temperature rules and external filing path approved</x:v>
      </x:c>
      <x:c r="T169" s="99" t="str">
        <x:v>BLOCKED until product/site/importer authorizations and quality path approved</x:v>
      </x:c>
      <x:c r="U169" s="99" t="str">
        <x:v>BLOCKED until excise/licences/age/carrier contract approved</x:v>
      </x:c>
      <x:c r="V169" s="99" t="str">
        <x:v>BLOCKED until classification/end-use/licensing and sanctions path approved</x:v>
      </x:c>
      <x:c r="W169" s="99" t="str">
        <x:v>BLOCKED until provenance/security/insurance/carrier limits approved</x:v>
      </x:c>
      <x:c r="X169" s="99" t="str">
        <x:v>BLOCKED until purpose, values, relief evidence and restrictions approved</x:v>
      </x:c>
      <x:c r="Y169" s="103" t="b">
        <x:v>0</x:v>
      </x:c>
      <x:c r="Z169" s="103" t="b">
        <x:v>0</x:v>
      </x:c>
      <x:c r="AA169" s="103" t="b">
        <x:v>0</x:v>
      </x:c>
      <x:c r="AB169" s="103" t="b">
        <x:v>0</x:v>
      </x:c>
      <x:c r="AC169" s="103" t="b">
        <x:v>0</x:v>
      </x:c>
      <x:c r="AD169" s="106" t="str">
        <x:v>BLOCKED_PENDING_VALIDATION</x:v>
      </x:c>
      <x:c r="AE169" s="99" t="str">
        <x:v>NOT_STARTED</x:v>
      </x:c>
      <x:c r="AF169" s="99" t="str">
        <x:v>Unassigned country-pack owner</x:v>
      </x:c>
      <x:c r="AG169" s="99" t="str">
        <x:v>SRC-CUS-001, SRC-CUS-005, SRC-CUS-007, SRC-DAT-001, SRC-POST-001, SRC-PRV-001, SRC-USA-001, SRC-USA-002, SRC-PRV-012</x:v>
      </x:c>
      <x:c r="AH169" s="99" t="str">
        <x:v>2026-07-25</x:v>
      </x:c>
      <x:c r="AI169" s="99" t="str">
        <x:v>2026-08-25</x:v>
      </x:c>
      <x:c r="AJ169" s="99" t="str">
        <x:v>Registry coverage only. Production readiness is capability-specific and requires the release checklist.</x:v>
      </x:c>
    </x:row>
    <x:row r="170" ht="54" customHeight="1">
      <x:c r="A170" s="97" t="str">
        <x:v>CP-NO</x:v>
      </x:c>
      <x:c r="B170" s="97" t="str">
        <x:v>Norway</x:v>
      </x:c>
      <x:c r="C170" s="97" t="str">
        <x:v>NO</x:v>
      </x:c>
      <x:c r="D170" s="97" t="str">
        <x:v>NOR</x:v>
      </x:c>
      <x:c r="E170" s="97" t="str">
        <x:v>578</x:v>
      </x:c>
      <x:c r="F170" s="97" t="str">
        <x:v>ISO 3166-1 assigned</x:v>
      </x:c>
      <x:c r="G170" s="97" t="str">
        <x:v>Independent state</x:v>
      </x:c>
      <x:c r="H170" s="97" t="str">
        <x:v>Self-administered for pack indexing; legal status follows authoritative sources</x:v>
      </x:c>
      <x:c r="I170" s="97" t="str">
        <x:v>Europe</x:v>
      </x:c>
      <x:c r="J170" s="97" t="str">
        <x:v>Northern Europe</x:v>
      </x:c>
      <x:c r="K170" s="97" t="str">
        <x:v>EEA/EFTA; not EU customs territory</x:v>
      </x:c>
      <x:c r="L170" s="97" t="str">
        <x:v>UPU/operator contract, bilateral rules, EAD/message versions and serviceability must be validated</x:v>
      </x:c>
      <x:c r="M170" s="97" t="str">
        <x:v>ICAO state rules, PLACI regime, security status, carrier routing and serviceability must be validated</x:v>
      </x:c>
      <x:c r="N170" s="97" t="str">
        <x:v>GDPR/EEA transfer controls; local supplements</x:v>
      </x:c>
      <x:c r="O170" s="97" t="str">
        <x:v>Screen live lists for every applicable nexus; resolve ownership, sectoral, end-use and licence controls</x:v>
      </x:c>
      <x:c r="P170" s="97" t="str">
        <x:v>No static legal conclusion. Validate current national/territorial customs, tax, licensing, product, privacy and carrier sources before activation.</x:v>
      </x:c>
      <x:c r="Q170" s="97" t="str">
        <x:v>BLOCKED until tariff, prohibitions, documents and carrier services approved</x:v>
      </x:c>
      <x:c r="R170" s="97" t="str">
        <x:v>BLOCKED until ICAO/state/operator variations and certified review path approved</x:v>
      </x:c>
      <x:c r="S170" s="97" t="str">
        <x:v>BLOCKED until SPS/agency/temperature rules and external filing path approved</x:v>
      </x:c>
      <x:c r="T170" s="97" t="str">
        <x:v>BLOCKED until product/site/importer authorizations and quality path approved</x:v>
      </x:c>
      <x:c r="U170" s="97" t="str">
        <x:v>BLOCKED until excise/licences/age/carrier contract approved</x:v>
      </x:c>
      <x:c r="V170" s="97" t="str">
        <x:v>BLOCKED until classification/end-use/licensing and sanctions path approved</x:v>
      </x:c>
      <x:c r="W170" s="97" t="str">
        <x:v>BLOCKED until provenance/security/insurance/carrier limits approved</x:v>
      </x:c>
      <x:c r="X170" s="97" t="str">
        <x:v>BLOCKED until purpose, values, relief evidence and restrictions approved</x:v>
      </x:c>
      <x:c r="Y170" s="104" t="b">
        <x:v>0</x:v>
      </x:c>
      <x:c r="Z170" s="104" t="b">
        <x:v>0</x:v>
      </x:c>
      <x:c r="AA170" s="104" t="b">
        <x:v>0</x:v>
      </x:c>
      <x:c r="AB170" s="104" t="b">
        <x:v>0</x:v>
      </x:c>
      <x:c r="AC170" s="104" t="b">
        <x:v>0</x:v>
      </x:c>
      <x:c r="AD170" s="106" t="str">
        <x:v>BLOCKED_PENDING_VALIDATION</x:v>
      </x:c>
      <x:c r="AE170" s="97" t="str">
        <x:v>NOT_STARTED</x:v>
      </x:c>
      <x:c r="AF170" s="97" t="str">
        <x:v>Unassigned country-pack owner</x:v>
      </x:c>
      <x:c r="AG170" s="97" t="str">
        <x:v>SRC-CUS-001, SRC-CUS-005, SRC-CUS-007, SRC-DAT-001, SRC-POST-001, SRC-PRV-001</x:v>
      </x:c>
      <x:c r="AH170" s="97" t="str">
        <x:v>2026-07-25</x:v>
      </x:c>
      <x:c r="AI170" s="97" t="str">
        <x:v>2026-08-25</x:v>
      </x:c>
      <x:c r="AJ170" s="97" t="str">
        <x:v>Registry coverage only. Production readiness is capability-specific and requires the release checklist.</x:v>
      </x:c>
    </x:row>
    <x:row r="171" ht="54" customHeight="1">
      <x:c r="A171" s="99" t="str">
        <x:v>CP-OM</x:v>
      </x:c>
      <x:c r="B171" s="99" t="str">
        <x:v>Oman</x:v>
      </x:c>
      <x:c r="C171" s="99" t="str">
        <x:v>OM</x:v>
      </x:c>
      <x:c r="D171" s="99" t="str">
        <x:v>OMN</x:v>
      </x:c>
      <x:c r="E171" s="99" t="str">
        <x:v>512</x:v>
      </x:c>
      <x:c r="F171" s="99" t="str">
        <x:v>ISO 3166-1 assigned</x:v>
      </x:c>
      <x:c r="G171" s="99" t="str">
        <x:v>Independent state</x:v>
      </x:c>
      <x:c r="H171" s="99" t="str">
        <x:v>Self-administered for pack indexing; legal status follows authoritative sources</x:v>
      </x:c>
      <x:c r="I171" s="99" t="str">
        <x:v>Asia</x:v>
      </x:c>
      <x:c r="J171" s="99" t="str">
        <x:v>Western Asia</x:v>
      </x:c>
      <x:c r="K171" s="99" t="str">
        <x:v>GCC member; national implementation required</x:v>
      </x:c>
      <x:c r="L171" s="99" t="str">
        <x:v>UPU/operator contract, bilateral rules, EAD/message versions and serviceability must be validated</x:v>
      </x:c>
      <x:c r="M171" s="99" t="str">
        <x:v>ICAO state rules, PLACI regime, security status, carrier routing and serviceability must be validated</x:v>
      </x:c>
      <x:c r="N171" s="99" t="str">
        <x:v>Country-pack privacy law and transfer mechanism required</x:v>
      </x:c>
      <x:c r="O171" s="99" t="str">
        <x:v>Screen live lists for every applicable nexus; resolve ownership, sectoral, end-use and licence controls</x:v>
      </x:c>
      <x:c r="P171" s="99" t="str">
        <x:v>No static legal conclusion. Validate current national/territorial customs, tax, licensing, product, privacy and carrier sources before activation.</x:v>
      </x:c>
      <x:c r="Q171" s="99" t="str">
        <x:v>BLOCKED until tariff, prohibitions, documents and carrier services approved</x:v>
      </x:c>
      <x:c r="R171" s="99" t="str">
        <x:v>BLOCKED until ICAO/state/operator variations and certified review path approved</x:v>
      </x:c>
      <x:c r="S171" s="99" t="str">
        <x:v>BLOCKED until SPS/agency/temperature rules and external filing path approved</x:v>
      </x:c>
      <x:c r="T171" s="99" t="str">
        <x:v>BLOCKED until product/site/importer authorizations and quality path approved</x:v>
      </x:c>
      <x:c r="U171" s="99" t="str">
        <x:v>BLOCKED until excise/licences/age/carrier contract approved</x:v>
      </x:c>
      <x:c r="V171" s="99" t="str">
        <x:v>BLOCKED until classification/end-use/licensing and sanctions path approved</x:v>
      </x:c>
      <x:c r="W171" s="99" t="str">
        <x:v>BLOCKED until provenance/security/insurance/carrier limits approved</x:v>
      </x:c>
      <x:c r="X171" s="99" t="str">
        <x:v>BLOCKED until purpose, values, relief evidence and restrictions approved</x:v>
      </x:c>
      <x:c r="Y171" s="103" t="b">
        <x:v>0</x:v>
      </x:c>
      <x:c r="Z171" s="103" t="b">
        <x:v>0</x:v>
      </x:c>
      <x:c r="AA171" s="103" t="b">
        <x:v>0</x:v>
      </x:c>
      <x:c r="AB171" s="103" t="b">
        <x:v>0</x:v>
      </x:c>
      <x:c r="AC171" s="103" t="b">
        <x:v>0</x:v>
      </x:c>
      <x:c r="AD171" s="106" t="str">
        <x:v>BLOCKED_PENDING_VALIDATION</x:v>
      </x:c>
      <x:c r="AE171" s="99" t="str">
        <x:v>NOT_STARTED</x:v>
      </x:c>
      <x:c r="AF171" s="99" t="str">
        <x:v>Unassigned country-pack owner</x:v>
      </x:c>
      <x:c r="AG171" s="99" t="str">
        <x:v>SRC-CUS-001, SRC-CUS-005, SRC-CUS-007, SRC-DAT-001, SRC-POST-001, SRC-PRV-001</x:v>
      </x:c>
      <x:c r="AH171" s="99" t="str">
        <x:v>2026-07-25</x:v>
      </x:c>
      <x:c r="AI171" s="99" t="str">
        <x:v>2026-08-25</x:v>
      </x:c>
      <x:c r="AJ171" s="99" t="str">
        <x:v>Registry coverage only. Production readiness is capability-specific and requires the release checklist.</x:v>
      </x:c>
    </x:row>
    <x:row r="172" ht="54" customHeight="1">
      <x:c r="A172" s="97" t="str">
        <x:v>CP-PK</x:v>
      </x:c>
      <x:c r="B172" s="97" t="str">
        <x:v>Pakistan</x:v>
      </x:c>
      <x:c r="C172" s="97" t="str">
        <x:v>PK</x:v>
      </x:c>
      <x:c r="D172" s="97" t="str">
        <x:v>PAK</x:v>
      </x:c>
      <x:c r="E172" s="97" t="str">
        <x:v>586</x:v>
      </x:c>
      <x:c r="F172" s="97" t="str">
        <x:v>ISO 3166-1 assigned</x:v>
      </x:c>
      <x:c r="G172" s="97" t="str">
        <x:v>Independent state</x:v>
      </x:c>
      <x:c r="H172" s="97" t="str">
        <x:v>Self-administered for pack indexing; legal status follows authoritative sources</x:v>
      </x:c>
      <x:c r="I172" s="97" t="str">
        <x:v>Asia</x:v>
      </x:c>
      <x:c r="J172" s="97" t="str">
        <x:v>Southern Asia</x:v>
      </x:c>
      <x:c r="K172" s="97" t="str">
        <x:v>National/territorial customs framework—local validation required</x:v>
      </x:c>
      <x:c r="L172" s="97" t="str">
        <x:v>UPU/operator contract, bilateral rules, EAD/message versions and serviceability must be validated</x:v>
      </x:c>
      <x:c r="M172" s="97" t="str">
        <x:v>ICAO state rules, PLACI regime, security status, carrier routing and serviceability must be validated</x:v>
      </x:c>
      <x:c r="N172" s="97" t="str">
        <x:v>Country-pack privacy law and transfer mechanism required</x:v>
      </x:c>
      <x:c r="O172" s="97" t="str">
        <x:v>Screen live lists for every applicable nexus; resolve ownership, sectoral, end-use and licence controls</x:v>
      </x:c>
      <x:c r="P172" s="97" t="str">
        <x:v>No static legal conclusion. Validate current national/territorial customs, tax, licensing, product, privacy and carrier sources before activation.</x:v>
      </x:c>
      <x:c r="Q172" s="97" t="str">
        <x:v>BLOCKED until tariff, prohibitions, documents and carrier services approved</x:v>
      </x:c>
      <x:c r="R172" s="97" t="str">
        <x:v>BLOCKED until ICAO/state/operator variations and certified review path approved</x:v>
      </x:c>
      <x:c r="S172" s="97" t="str">
        <x:v>BLOCKED until SPS/agency/temperature rules and external filing path approved</x:v>
      </x:c>
      <x:c r="T172" s="97" t="str">
        <x:v>BLOCKED until product/site/importer authorizations and quality path approved</x:v>
      </x:c>
      <x:c r="U172" s="97" t="str">
        <x:v>BLOCKED until excise/licences/age/carrier contract approved</x:v>
      </x:c>
      <x:c r="V172" s="97" t="str">
        <x:v>BLOCKED until classification/end-use/licensing and sanctions path approved</x:v>
      </x:c>
      <x:c r="W172" s="97" t="str">
        <x:v>BLOCKED until provenance/security/insurance/carrier limits approved</x:v>
      </x:c>
      <x:c r="X172" s="97" t="str">
        <x:v>BLOCKED until purpose, values, relief evidence and restrictions approved</x:v>
      </x:c>
      <x:c r="Y172" s="104" t="b">
        <x:v>0</x:v>
      </x:c>
      <x:c r="Z172" s="104" t="b">
        <x:v>0</x:v>
      </x:c>
      <x:c r="AA172" s="104" t="b">
        <x:v>0</x:v>
      </x:c>
      <x:c r="AB172" s="104" t="b">
        <x:v>0</x:v>
      </x:c>
      <x:c r="AC172" s="104" t="b">
        <x:v>0</x:v>
      </x:c>
      <x:c r="AD172" s="106" t="str">
        <x:v>BLOCKED_PENDING_VALIDATION</x:v>
      </x:c>
      <x:c r="AE172" s="97" t="str">
        <x:v>NOT_STARTED</x:v>
      </x:c>
      <x:c r="AF172" s="97" t="str">
        <x:v>Unassigned country-pack owner</x:v>
      </x:c>
      <x:c r="AG172" s="97" t="str">
        <x:v>SRC-CUS-001, SRC-CUS-005, SRC-CUS-007, SRC-DAT-001, SRC-POST-001, SRC-PRV-001</x:v>
      </x:c>
      <x:c r="AH172" s="97" t="str">
        <x:v>2026-07-25</x:v>
      </x:c>
      <x:c r="AI172" s="97" t="str">
        <x:v>2026-08-25</x:v>
      </x:c>
      <x:c r="AJ172" s="97" t="str">
        <x:v>Registry coverage only. Production readiness is capability-specific and requires the release checklist.</x:v>
      </x:c>
    </x:row>
    <x:row r="173" ht="54" customHeight="1">
      <x:c r="A173" s="99" t="str">
        <x:v>CP-PW</x:v>
      </x:c>
      <x:c r="B173" s="99" t="str">
        <x:v>Palau</x:v>
      </x:c>
      <x:c r="C173" s="99" t="str">
        <x:v>PW</x:v>
      </x:c>
      <x:c r="D173" s="99" t="str">
        <x:v>PLW</x:v>
      </x:c>
      <x:c r="E173" s="99" t="str">
        <x:v>585</x:v>
      </x:c>
      <x:c r="F173" s="99" t="str">
        <x:v>ISO 3166-1 assigned</x:v>
      </x:c>
      <x:c r="G173" s="99" t="str">
        <x:v>Independent state</x:v>
      </x:c>
      <x:c r="H173" s="99" t="str">
        <x:v>Self-administered for pack indexing; legal status follows authoritative sources</x:v>
      </x:c>
      <x:c r="I173" s="99" t="str">
        <x:v>Oceania</x:v>
      </x:c>
      <x:c r="J173" s="99" t="str">
        <x:v>Micronesia</x:v>
      </x:c>
      <x:c r="K173" s="99" t="str">
        <x:v>National/territorial customs framework—local validation required</x:v>
      </x:c>
      <x:c r="L173" s="99" t="str">
        <x:v>UPU/operator contract, bilateral rules, EAD/message versions and serviceability must be validated</x:v>
      </x:c>
      <x:c r="M173" s="99" t="str">
        <x:v>ICAO state rules, PLACI regime, security status, carrier routing and serviceability must be validated</x:v>
      </x:c>
      <x:c r="N173" s="99" t="str">
        <x:v>Country-pack privacy law and transfer mechanism required</x:v>
      </x:c>
      <x:c r="O173" s="99" t="str">
        <x:v>Screen live lists for every applicable nexus; resolve ownership, sectoral, end-use and licence controls</x:v>
      </x:c>
      <x:c r="P173" s="99" t="str">
        <x:v>No static legal conclusion. Validate current national/territorial customs, tax, licensing, product, privacy and carrier sources before activation.</x:v>
      </x:c>
      <x:c r="Q173" s="99" t="str">
        <x:v>BLOCKED until tariff, prohibitions, documents and carrier services approved</x:v>
      </x:c>
      <x:c r="R173" s="99" t="str">
        <x:v>BLOCKED until ICAO/state/operator variations and certified review path approved</x:v>
      </x:c>
      <x:c r="S173" s="99" t="str">
        <x:v>BLOCKED until SPS/agency/temperature rules and external filing path approved</x:v>
      </x:c>
      <x:c r="T173" s="99" t="str">
        <x:v>BLOCKED until product/site/importer authorizations and quality path approved</x:v>
      </x:c>
      <x:c r="U173" s="99" t="str">
        <x:v>BLOCKED until excise/licences/age/carrier contract approved</x:v>
      </x:c>
      <x:c r="V173" s="99" t="str">
        <x:v>BLOCKED until classification/end-use/licensing and sanctions path approved</x:v>
      </x:c>
      <x:c r="W173" s="99" t="str">
        <x:v>BLOCKED until provenance/security/insurance/carrier limits approved</x:v>
      </x:c>
      <x:c r="X173" s="99" t="str">
        <x:v>BLOCKED until purpose, values, relief evidence and restrictions approved</x:v>
      </x:c>
      <x:c r="Y173" s="103" t="b">
        <x:v>0</x:v>
      </x:c>
      <x:c r="Z173" s="103" t="b">
        <x:v>0</x:v>
      </x:c>
      <x:c r="AA173" s="103" t="b">
        <x:v>0</x:v>
      </x:c>
      <x:c r="AB173" s="103" t="b">
        <x:v>0</x:v>
      </x:c>
      <x:c r="AC173" s="103" t="b">
        <x:v>0</x:v>
      </x:c>
      <x:c r="AD173" s="106" t="str">
        <x:v>BLOCKED_PENDING_VALIDATION</x:v>
      </x:c>
      <x:c r="AE173" s="99" t="str">
        <x:v>NOT_STARTED</x:v>
      </x:c>
      <x:c r="AF173" s="99" t="str">
        <x:v>Unassigned country-pack owner</x:v>
      </x:c>
      <x:c r="AG173" s="99" t="str">
        <x:v>SRC-CUS-001, SRC-CUS-005, SRC-CUS-007, SRC-DAT-001, SRC-POST-001, SRC-PRV-001</x:v>
      </x:c>
      <x:c r="AH173" s="99" t="str">
        <x:v>2026-07-25</x:v>
      </x:c>
      <x:c r="AI173" s="99" t="str">
        <x:v>2026-08-25</x:v>
      </x:c>
      <x:c r="AJ173" s="99" t="str">
        <x:v>Registry coverage only. Production readiness is capability-specific and requires the release checklist.</x:v>
      </x:c>
    </x:row>
    <x:row r="174" ht="54" customHeight="1">
      <x:c r="A174" s="97" t="str">
        <x:v>CP-PS</x:v>
      </x:c>
      <x:c r="B174" s="97" t="str">
        <x:v>Palestine</x:v>
      </x:c>
      <x:c r="C174" s="97" t="str">
        <x:v>PS</x:v>
      </x:c>
      <x:c r="D174" s="97" t="str">
        <x:v>PSE</x:v>
      </x:c>
      <x:c r="E174" s="97" t="str">
        <x:v>275</x:v>
      </x:c>
      <x:c r="F174" s="97" t="str">
        <x:v>ISO 3166-1 assigned</x:v>
      </x:c>
      <x:c r="G174" s="97" t="str">
        <x:v>Territory, dependency or special-area record</x:v>
      </x:c>
      <x:c r="H174" s="97" t="str">
        <x:v>Administrative relationship to validate</x:v>
      </x:c>
      <x:c r="I174" s="97" t="str">
        <x:v>Asia</x:v>
      </x:c>
      <x:c r="J174" s="97" t="str">
        <x:v>Western Asia</x:v>
      </x:c>
      <x:c r="K174" s="97" t="str">
        <x:v>National/territorial customs framework—local validation required</x:v>
      </x:c>
      <x:c r="L174" s="97" t="str">
        <x:v>UPU/operator contract, bilateral rules, EAD/message versions and serviceability must be validated</x:v>
      </x:c>
      <x:c r="M174" s="97" t="str">
        <x:v>ICAO state rules, PLACI regime, security status, carrier routing and serviceability must be validated</x:v>
      </x:c>
      <x:c r="N174" s="97" t="str">
        <x:v>Country-pack privacy law and transfer mechanism required</x:v>
      </x:c>
      <x:c r="O174" s="97" t="str">
        <x:v>Screen live lists for every applicable nexus; resolve ownership, sectoral, end-use and licence controls</x:v>
      </x:c>
      <x:c r="P174" s="97" t="str">
        <x:v>No static legal conclusion. Validate current national/territorial customs, tax, licensing, product, privacy and carrier sources before activation.</x:v>
      </x:c>
      <x:c r="Q174" s="97" t="str">
        <x:v>BLOCKED until tariff, prohibitions, documents and carrier services approved</x:v>
      </x:c>
      <x:c r="R174" s="97" t="str">
        <x:v>BLOCKED until ICAO/state/operator variations and certified review path approved</x:v>
      </x:c>
      <x:c r="S174" s="97" t="str">
        <x:v>BLOCKED until SPS/agency/temperature rules and external filing path approved</x:v>
      </x:c>
      <x:c r="T174" s="97" t="str">
        <x:v>BLOCKED until product/site/importer authorizations and quality path approved</x:v>
      </x:c>
      <x:c r="U174" s="97" t="str">
        <x:v>BLOCKED until excise/licences/age/carrier contract approved</x:v>
      </x:c>
      <x:c r="V174" s="97" t="str">
        <x:v>BLOCKED until classification/end-use/licensing and sanctions path approved</x:v>
      </x:c>
      <x:c r="W174" s="97" t="str">
        <x:v>BLOCKED until provenance/security/insurance/carrier limits approved</x:v>
      </x:c>
      <x:c r="X174" s="97" t="str">
        <x:v>BLOCKED until purpose, values, relief evidence and restrictions approved</x:v>
      </x:c>
      <x:c r="Y174" s="104" t="b">
        <x:v>0</x:v>
      </x:c>
      <x:c r="Z174" s="104" t="b">
        <x:v>0</x:v>
      </x:c>
      <x:c r="AA174" s="104" t="b">
        <x:v>0</x:v>
      </x:c>
      <x:c r="AB174" s="104" t="b">
        <x:v>0</x:v>
      </x:c>
      <x:c r="AC174" s="104" t="b">
        <x:v>0</x:v>
      </x:c>
      <x:c r="AD174" s="106" t="str">
        <x:v>BLOCKED_PENDING_VALIDATION</x:v>
      </x:c>
      <x:c r="AE174" s="97" t="str">
        <x:v>NOT_STARTED</x:v>
      </x:c>
      <x:c r="AF174" s="97" t="str">
        <x:v>Unassigned country-pack owner</x:v>
      </x:c>
      <x:c r="AG174" s="97" t="str">
        <x:v>SRC-CUS-001, SRC-CUS-005, SRC-CUS-007, SRC-DAT-001, SRC-POST-001, SRC-PRV-001</x:v>
      </x:c>
      <x:c r="AH174" s="97" t="str">
        <x:v>2026-07-25</x:v>
      </x:c>
      <x:c r="AI174" s="97" t="str">
        <x:v>2026-08-25</x:v>
      </x:c>
      <x:c r="AJ174" s="97" t="str">
        <x:v>Registry coverage only. Production readiness is capability-specific and requires the release checklist.</x:v>
      </x:c>
    </x:row>
    <x:row r="175" ht="54" customHeight="1">
      <x:c r="A175" s="99" t="str">
        <x:v>CP-PA</x:v>
      </x:c>
      <x:c r="B175" s="99" t="str">
        <x:v>Panama</x:v>
      </x:c>
      <x:c r="C175" s="99" t="str">
        <x:v>PA</x:v>
      </x:c>
      <x:c r="D175" s="99" t="str">
        <x:v>PAN</x:v>
      </x:c>
      <x:c r="E175" s="99" t="str">
        <x:v>591</x:v>
      </x:c>
      <x:c r="F175" s="99" t="str">
        <x:v>ISO 3166-1 assigned</x:v>
      </x:c>
      <x:c r="G175" s="99" t="str">
        <x:v>Independent state</x:v>
      </x:c>
      <x:c r="H175" s="99" t="str">
        <x:v>Self-administered for pack indexing; legal status follows authoritative sources</x:v>
      </x:c>
      <x:c r="I175" s="99" t="str">
        <x:v>Americas</x:v>
      </x:c>
      <x:c r="J175" s="99" t="str">
        <x:v>Central America</x:v>
      </x:c>
      <x:c r="K175" s="99" t="str">
        <x:v>National/territorial customs framework—local validation required</x:v>
      </x:c>
      <x:c r="L175" s="99" t="str">
        <x:v>UPU/operator contract, bilateral rules, EAD/message versions and serviceability must be validated</x:v>
      </x:c>
      <x:c r="M175" s="99" t="str">
        <x:v>ICAO state rules, PLACI regime, security status, carrier routing and serviceability must be validated</x:v>
      </x:c>
      <x:c r="N175" s="99" t="str">
        <x:v>Country-pack privacy law and transfer mechanism required</x:v>
      </x:c>
      <x:c r="O175" s="99" t="str">
        <x:v>Screen live lists for every applicable nexus; resolve ownership, sectoral, end-use and licence controls</x:v>
      </x:c>
      <x:c r="P175" s="99" t="str">
        <x:v>No static legal conclusion. Validate current national/territorial customs, tax, licensing, product, privacy and carrier sources before activation.</x:v>
      </x:c>
      <x:c r="Q175" s="99" t="str">
        <x:v>BLOCKED until tariff, prohibitions, documents and carrier services approved</x:v>
      </x:c>
      <x:c r="R175" s="99" t="str">
        <x:v>BLOCKED until ICAO/state/operator variations and certified review path approved</x:v>
      </x:c>
      <x:c r="S175" s="99" t="str">
        <x:v>BLOCKED until SPS/agency/temperature rules and external filing path approved</x:v>
      </x:c>
      <x:c r="T175" s="99" t="str">
        <x:v>BLOCKED until product/site/importer authorizations and quality path approved</x:v>
      </x:c>
      <x:c r="U175" s="99" t="str">
        <x:v>BLOCKED until excise/licences/age/carrier contract approved</x:v>
      </x:c>
      <x:c r="V175" s="99" t="str">
        <x:v>BLOCKED until classification/end-use/licensing and sanctions path approved</x:v>
      </x:c>
      <x:c r="W175" s="99" t="str">
        <x:v>BLOCKED until provenance/security/insurance/carrier limits approved</x:v>
      </x:c>
      <x:c r="X175" s="99" t="str">
        <x:v>BLOCKED until purpose, values, relief evidence and restrictions approved</x:v>
      </x:c>
      <x:c r="Y175" s="103" t="b">
        <x:v>0</x:v>
      </x:c>
      <x:c r="Z175" s="103" t="b">
        <x:v>0</x:v>
      </x:c>
      <x:c r="AA175" s="103" t="b">
        <x:v>0</x:v>
      </x:c>
      <x:c r="AB175" s="103" t="b">
        <x:v>0</x:v>
      </x:c>
      <x:c r="AC175" s="103" t="b">
        <x:v>0</x:v>
      </x:c>
      <x:c r="AD175" s="106" t="str">
        <x:v>BLOCKED_PENDING_VALIDATION</x:v>
      </x:c>
      <x:c r="AE175" s="99" t="str">
        <x:v>NOT_STARTED</x:v>
      </x:c>
      <x:c r="AF175" s="99" t="str">
        <x:v>Unassigned country-pack owner</x:v>
      </x:c>
      <x:c r="AG175" s="99" t="str">
        <x:v>SRC-CUS-001, SRC-CUS-005, SRC-CUS-007, SRC-DAT-001, SRC-POST-001, SRC-PRV-001</x:v>
      </x:c>
      <x:c r="AH175" s="99" t="str">
        <x:v>2026-07-25</x:v>
      </x:c>
      <x:c r="AI175" s="99" t="str">
        <x:v>2026-08-25</x:v>
      </x:c>
      <x:c r="AJ175" s="99" t="str">
        <x:v>Registry coverage only. Production readiness is capability-specific and requires the release checklist.</x:v>
      </x:c>
    </x:row>
    <x:row r="176" ht="54" customHeight="1">
      <x:c r="A176" s="97" t="str">
        <x:v>CP-PG</x:v>
      </x:c>
      <x:c r="B176" s="97" t="str">
        <x:v>Papua New Guinea</x:v>
      </x:c>
      <x:c r="C176" s="97" t="str">
        <x:v>PG</x:v>
      </x:c>
      <x:c r="D176" s="97" t="str">
        <x:v>PNG</x:v>
      </x:c>
      <x:c r="E176" s="97" t="str">
        <x:v>598</x:v>
      </x:c>
      <x:c r="F176" s="97" t="str">
        <x:v>ISO 3166-1 assigned</x:v>
      </x:c>
      <x:c r="G176" s="97" t="str">
        <x:v>Independent state</x:v>
      </x:c>
      <x:c r="H176" s="97" t="str">
        <x:v>Self-administered for pack indexing; legal status follows authoritative sources</x:v>
      </x:c>
      <x:c r="I176" s="97" t="str">
        <x:v>Oceania</x:v>
      </x:c>
      <x:c r="J176" s="97" t="str">
        <x:v>Melanesia</x:v>
      </x:c>
      <x:c r="K176" s="97" t="str">
        <x:v>National/territorial customs framework—local validation required</x:v>
      </x:c>
      <x:c r="L176" s="97" t="str">
        <x:v>UPU/operator contract, bilateral rules, EAD/message versions and serviceability must be validated</x:v>
      </x:c>
      <x:c r="M176" s="97" t="str">
        <x:v>ICAO state rules, PLACI regime, security status, carrier routing and serviceability must be validated</x:v>
      </x:c>
      <x:c r="N176" s="97" t="str">
        <x:v>Country-pack privacy law and transfer mechanism required</x:v>
      </x:c>
      <x:c r="O176" s="97" t="str">
        <x:v>Screen live lists for every applicable nexus; resolve ownership, sectoral, end-use and licence controls</x:v>
      </x:c>
      <x:c r="P176" s="97" t="str">
        <x:v>No static legal conclusion. Validate current national/territorial customs, tax, licensing, product, privacy and carrier sources before activation.</x:v>
      </x:c>
      <x:c r="Q176" s="97" t="str">
        <x:v>BLOCKED until tariff, prohibitions, documents and carrier services approved</x:v>
      </x:c>
      <x:c r="R176" s="97" t="str">
        <x:v>BLOCKED until ICAO/state/operator variations and certified review path approved</x:v>
      </x:c>
      <x:c r="S176" s="97" t="str">
        <x:v>BLOCKED until SPS/agency/temperature rules and external filing path approved</x:v>
      </x:c>
      <x:c r="T176" s="97" t="str">
        <x:v>BLOCKED until product/site/importer authorizations and quality path approved</x:v>
      </x:c>
      <x:c r="U176" s="97" t="str">
        <x:v>BLOCKED until excise/licences/age/carrier contract approved</x:v>
      </x:c>
      <x:c r="V176" s="97" t="str">
        <x:v>BLOCKED until classification/end-use/licensing and sanctions path approved</x:v>
      </x:c>
      <x:c r="W176" s="97" t="str">
        <x:v>BLOCKED until provenance/security/insurance/carrier limits approved</x:v>
      </x:c>
      <x:c r="X176" s="97" t="str">
        <x:v>BLOCKED until purpose, values, relief evidence and restrictions approved</x:v>
      </x:c>
      <x:c r="Y176" s="104" t="b">
        <x:v>0</x:v>
      </x:c>
      <x:c r="Z176" s="104" t="b">
        <x:v>0</x:v>
      </x:c>
      <x:c r="AA176" s="104" t="b">
        <x:v>0</x:v>
      </x:c>
      <x:c r="AB176" s="104" t="b">
        <x:v>0</x:v>
      </x:c>
      <x:c r="AC176" s="104" t="b">
        <x:v>0</x:v>
      </x:c>
      <x:c r="AD176" s="106" t="str">
        <x:v>BLOCKED_PENDING_VALIDATION</x:v>
      </x:c>
      <x:c r="AE176" s="97" t="str">
        <x:v>NOT_STARTED</x:v>
      </x:c>
      <x:c r="AF176" s="97" t="str">
        <x:v>Unassigned country-pack owner</x:v>
      </x:c>
      <x:c r="AG176" s="97" t="str">
        <x:v>SRC-CUS-001, SRC-CUS-005, SRC-CUS-007, SRC-DAT-001, SRC-POST-001, SRC-PRV-001</x:v>
      </x:c>
      <x:c r="AH176" s="97" t="str">
        <x:v>2026-07-25</x:v>
      </x:c>
      <x:c r="AI176" s="97" t="str">
        <x:v>2026-08-25</x:v>
      </x:c>
      <x:c r="AJ176" s="97" t="str">
        <x:v>Registry coverage only. Production readiness is capability-specific and requires the release checklist.</x:v>
      </x:c>
    </x:row>
    <x:row r="177" ht="54" customHeight="1">
      <x:c r="A177" s="99" t="str">
        <x:v>CP-PY</x:v>
      </x:c>
      <x:c r="B177" s="99" t="str">
        <x:v>Paraguay</x:v>
      </x:c>
      <x:c r="C177" s="99" t="str">
        <x:v>PY</x:v>
      </x:c>
      <x:c r="D177" s="99" t="str">
        <x:v>PRY</x:v>
      </x:c>
      <x:c r="E177" s="99" t="str">
        <x:v>600</x:v>
      </x:c>
      <x:c r="F177" s="99" t="str">
        <x:v>ISO 3166-1 assigned</x:v>
      </x:c>
      <x:c r="G177" s="99" t="str">
        <x:v>Independent state</x:v>
      </x:c>
      <x:c r="H177" s="99" t="str">
        <x:v>Self-administered for pack indexing; legal status follows authoritative sources</x:v>
      </x:c>
      <x:c r="I177" s="99" t="str">
        <x:v>Americas</x:v>
      </x:c>
      <x:c r="J177" s="99" t="str">
        <x:v>South America</x:v>
      </x:c>
      <x:c r="K177" s="99" t="str">
        <x:v>MERCOSUR member; national implementation required</x:v>
      </x:c>
      <x:c r="L177" s="99" t="str">
        <x:v>UPU/operator contract, bilateral rules, EAD/message versions and serviceability must be validated</x:v>
      </x:c>
      <x:c r="M177" s="99" t="str">
        <x:v>ICAO state rules, PLACI regime, security status, carrier routing and serviceability must be validated</x:v>
      </x:c>
      <x:c r="N177" s="99" t="str">
        <x:v>Country-pack privacy law and transfer mechanism required</x:v>
      </x:c>
      <x:c r="O177" s="99" t="str">
        <x:v>Screen live lists for every applicable nexus; resolve ownership, sectoral, end-use and licence controls</x:v>
      </x:c>
      <x:c r="P177" s="99" t="str">
        <x:v>No static legal conclusion. Validate current national/territorial customs, tax, licensing, product, privacy and carrier sources before activation.</x:v>
      </x:c>
      <x:c r="Q177" s="99" t="str">
        <x:v>BLOCKED until tariff, prohibitions, documents and carrier services approved</x:v>
      </x:c>
      <x:c r="R177" s="99" t="str">
        <x:v>BLOCKED until ICAO/state/operator variations and certified review path approved</x:v>
      </x:c>
      <x:c r="S177" s="99" t="str">
        <x:v>BLOCKED until SPS/agency/temperature rules and external filing path approved</x:v>
      </x:c>
      <x:c r="T177" s="99" t="str">
        <x:v>BLOCKED until product/site/importer authorizations and quality path approved</x:v>
      </x:c>
      <x:c r="U177" s="99" t="str">
        <x:v>BLOCKED until excise/licences/age/carrier contract approved</x:v>
      </x:c>
      <x:c r="V177" s="99" t="str">
        <x:v>BLOCKED until classification/end-use/licensing and sanctions path approved</x:v>
      </x:c>
      <x:c r="W177" s="99" t="str">
        <x:v>BLOCKED until provenance/security/insurance/carrier limits approved</x:v>
      </x:c>
      <x:c r="X177" s="99" t="str">
        <x:v>BLOCKED until purpose, values, relief evidence and restrictions approved</x:v>
      </x:c>
      <x:c r="Y177" s="103" t="b">
        <x:v>0</x:v>
      </x:c>
      <x:c r="Z177" s="103" t="b">
        <x:v>0</x:v>
      </x:c>
      <x:c r="AA177" s="103" t="b">
        <x:v>0</x:v>
      </x:c>
      <x:c r="AB177" s="103" t="b">
        <x:v>0</x:v>
      </x:c>
      <x:c r="AC177" s="103" t="b">
        <x:v>0</x:v>
      </x:c>
      <x:c r="AD177" s="106" t="str">
        <x:v>BLOCKED_PENDING_VALIDATION</x:v>
      </x:c>
      <x:c r="AE177" s="99" t="str">
        <x:v>NOT_STARTED</x:v>
      </x:c>
      <x:c r="AF177" s="99" t="str">
        <x:v>Unassigned country-pack owner</x:v>
      </x:c>
      <x:c r="AG177" s="99" t="str">
        <x:v>SRC-CUS-001, SRC-CUS-005, SRC-CUS-007, SRC-DAT-001, SRC-POST-001, SRC-PRV-001</x:v>
      </x:c>
      <x:c r="AH177" s="99" t="str">
        <x:v>2026-07-25</x:v>
      </x:c>
      <x:c r="AI177" s="99" t="str">
        <x:v>2026-08-25</x:v>
      </x:c>
      <x:c r="AJ177" s="99" t="str">
        <x:v>Registry coverage only. Production readiness is capability-specific and requires the release checklist.</x:v>
      </x:c>
    </x:row>
    <x:row r="178" ht="54" customHeight="1">
      <x:c r="A178" s="97" t="str">
        <x:v>CP-PE</x:v>
      </x:c>
      <x:c r="B178" s="97" t="str">
        <x:v>Peru</x:v>
      </x:c>
      <x:c r="C178" s="97" t="str">
        <x:v>PE</x:v>
      </x:c>
      <x:c r="D178" s="97" t="str">
        <x:v>PER</x:v>
      </x:c>
      <x:c r="E178" s="97" t="str">
        <x:v>604</x:v>
      </x:c>
      <x:c r="F178" s="97" t="str">
        <x:v>ISO 3166-1 assigned</x:v>
      </x:c>
      <x:c r="G178" s="97" t="str">
        <x:v>Independent state</x:v>
      </x:c>
      <x:c r="H178" s="97" t="str">
        <x:v>Self-administered for pack indexing; legal status follows authoritative sources</x:v>
      </x:c>
      <x:c r="I178" s="97" t="str">
        <x:v>Americas</x:v>
      </x:c>
      <x:c r="J178" s="97" t="str">
        <x:v>South America</x:v>
      </x:c>
      <x:c r="K178" s="97" t="str">
        <x:v>National/territorial customs framework—local validation required</x:v>
      </x:c>
      <x:c r="L178" s="97" t="str">
        <x:v>UPU/operator contract, bilateral rules, EAD/message versions and serviceability must be validated</x:v>
      </x:c>
      <x:c r="M178" s="97" t="str">
        <x:v>ICAO state rules, PLACI regime, security status, carrier routing and serviceability must be validated</x:v>
      </x:c>
      <x:c r="N178" s="97" t="str">
        <x:v>Country-pack privacy law and transfer mechanism required</x:v>
      </x:c>
      <x:c r="O178" s="97" t="str">
        <x:v>Screen live lists for every applicable nexus; resolve ownership, sectoral, end-use and licence controls</x:v>
      </x:c>
      <x:c r="P178" s="97" t="str">
        <x:v>No static legal conclusion. Validate current national/territorial customs, tax, licensing, product, privacy and carrier sources before activation.</x:v>
      </x:c>
      <x:c r="Q178" s="97" t="str">
        <x:v>BLOCKED until tariff, prohibitions, documents and carrier services approved</x:v>
      </x:c>
      <x:c r="R178" s="97" t="str">
        <x:v>BLOCKED until ICAO/state/operator variations and certified review path approved</x:v>
      </x:c>
      <x:c r="S178" s="97" t="str">
        <x:v>BLOCKED until SPS/agency/temperature rules and external filing path approved</x:v>
      </x:c>
      <x:c r="T178" s="97" t="str">
        <x:v>BLOCKED until product/site/importer authorizations and quality path approved</x:v>
      </x:c>
      <x:c r="U178" s="97" t="str">
        <x:v>BLOCKED until excise/licences/age/carrier contract approved</x:v>
      </x:c>
      <x:c r="V178" s="97" t="str">
        <x:v>BLOCKED until classification/end-use/licensing and sanctions path approved</x:v>
      </x:c>
      <x:c r="W178" s="97" t="str">
        <x:v>BLOCKED until provenance/security/insurance/carrier limits approved</x:v>
      </x:c>
      <x:c r="X178" s="97" t="str">
        <x:v>BLOCKED until purpose, values, relief evidence and restrictions approved</x:v>
      </x:c>
      <x:c r="Y178" s="104" t="b">
        <x:v>0</x:v>
      </x:c>
      <x:c r="Z178" s="104" t="b">
        <x:v>0</x:v>
      </x:c>
      <x:c r="AA178" s="104" t="b">
        <x:v>0</x:v>
      </x:c>
      <x:c r="AB178" s="104" t="b">
        <x:v>0</x:v>
      </x:c>
      <x:c r="AC178" s="104" t="b">
        <x:v>0</x:v>
      </x:c>
      <x:c r="AD178" s="106" t="str">
        <x:v>BLOCKED_PENDING_VALIDATION</x:v>
      </x:c>
      <x:c r="AE178" s="97" t="str">
        <x:v>NOT_STARTED</x:v>
      </x:c>
      <x:c r="AF178" s="97" t="str">
        <x:v>Unassigned country-pack owner</x:v>
      </x:c>
      <x:c r="AG178" s="97" t="str">
        <x:v>SRC-CUS-001, SRC-CUS-005, SRC-CUS-007, SRC-DAT-001, SRC-POST-001, SRC-PRV-001</x:v>
      </x:c>
      <x:c r="AH178" s="97" t="str">
        <x:v>2026-07-25</x:v>
      </x:c>
      <x:c r="AI178" s="97" t="str">
        <x:v>2026-08-25</x:v>
      </x:c>
      <x:c r="AJ178" s="97" t="str">
        <x:v>Registry coverage only. Production readiness is capability-specific and requires the release checklist.</x:v>
      </x:c>
    </x:row>
    <x:row r="179" ht="54" customHeight="1">
      <x:c r="A179" s="99" t="str">
        <x:v>CP-PH</x:v>
      </x:c>
      <x:c r="B179" s="99" t="str">
        <x:v>Philippines</x:v>
      </x:c>
      <x:c r="C179" s="99" t="str">
        <x:v>PH</x:v>
      </x:c>
      <x:c r="D179" s="99" t="str">
        <x:v>PHL</x:v>
      </x:c>
      <x:c r="E179" s="99" t="str">
        <x:v>608</x:v>
      </x:c>
      <x:c r="F179" s="99" t="str">
        <x:v>ISO 3166-1 assigned</x:v>
      </x:c>
      <x:c r="G179" s="99" t="str">
        <x:v>Independent state</x:v>
      </x:c>
      <x:c r="H179" s="99" t="str">
        <x:v>Self-administered for pack indexing; legal status follows authoritative sources</x:v>
      </x:c>
      <x:c r="I179" s="99" t="str">
        <x:v>Asia</x:v>
      </x:c>
      <x:c r="J179" s="99" t="str">
        <x:v>South-Eastern Asia</x:v>
      </x:c>
      <x:c r="K179" s="99" t="str">
        <x:v>National/territorial customs framework—local validation required</x:v>
      </x:c>
      <x:c r="L179" s="99" t="str">
        <x:v>UPU/operator contract, bilateral rules, EAD/message versions and serviceability must be validated</x:v>
      </x:c>
      <x:c r="M179" s="99" t="str">
        <x:v>ICAO state rules, PLACI regime, security status, carrier routing and serviceability must be validated</x:v>
      </x:c>
      <x:c r="N179" s="99" t="str">
        <x:v>Country-pack privacy law and transfer mechanism required</x:v>
      </x:c>
      <x:c r="O179" s="99" t="str">
        <x:v>Screen live lists for every applicable nexus; resolve ownership, sectoral, end-use and licence controls</x:v>
      </x:c>
      <x:c r="P179" s="99" t="str">
        <x:v>No static legal conclusion. Validate current national/territorial customs, tax, licensing, product, privacy and carrier sources before activation.</x:v>
      </x:c>
      <x:c r="Q179" s="99" t="str">
        <x:v>BLOCKED until tariff, prohibitions, documents and carrier services approved</x:v>
      </x:c>
      <x:c r="R179" s="99" t="str">
        <x:v>BLOCKED until ICAO/state/operator variations and certified review path approved</x:v>
      </x:c>
      <x:c r="S179" s="99" t="str">
        <x:v>BLOCKED until SPS/agency/temperature rules and external filing path approved</x:v>
      </x:c>
      <x:c r="T179" s="99" t="str">
        <x:v>BLOCKED until product/site/importer authorizations and quality path approved</x:v>
      </x:c>
      <x:c r="U179" s="99" t="str">
        <x:v>BLOCKED until excise/licences/age/carrier contract approved</x:v>
      </x:c>
      <x:c r="V179" s="99" t="str">
        <x:v>BLOCKED until classification/end-use/licensing and sanctions path approved</x:v>
      </x:c>
      <x:c r="W179" s="99" t="str">
        <x:v>BLOCKED until provenance/security/insurance/carrier limits approved</x:v>
      </x:c>
      <x:c r="X179" s="99" t="str">
        <x:v>BLOCKED until purpose, values, relief evidence and restrictions approved</x:v>
      </x:c>
      <x:c r="Y179" s="103" t="b">
        <x:v>0</x:v>
      </x:c>
      <x:c r="Z179" s="103" t="b">
        <x:v>0</x:v>
      </x:c>
      <x:c r="AA179" s="103" t="b">
        <x:v>0</x:v>
      </x:c>
      <x:c r="AB179" s="103" t="b">
        <x:v>0</x:v>
      </x:c>
      <x:c r="AC179" s="103" t="b">
        <x:v>0</x:v>
      </x:c>
      <x:c r="AD179" s="106" t="str">
        <x:v>BLOCKED_PENDING_VALIDATION</x:v>
      </x:c>
      <x:c r="AE179" s="99" t="str">
        <x:v>NOT_STARTED</x:v>
      </x:c>
      <x:c r="AF179" s="99" t="str">
        <x:v>Unassigned country-pack owner</x:v>
      </x:c>
      <x:c r="AG179" s="99" t="str">
        <x:v>SRC-CUS-001, SRC-CUS-005, SRC-CUS-007, SRC-DAT-001, SRC-POST-001, SRC-PRV-001</x:v>
      </x:c>
      <x:c r="AH179" s="99" t="str">
        <x:v>2026-07-25</x:v>
      </x:c>
      <x:c r="AI179" s="99" t="str">
        <x:v>2026-08-25</x:v>
      </x:c>
      <x:c r="AJ179" s="99" t="str">
        <x:v>Registry coverage only. Production readiness is capability-specific and requires the release checklist.</x:v>
      </x:c>
    </x:row>
    <x:row r="180" ht="54" customHeight="1">
      <x:c r="A180" s="97" t="str">
        <x:v>CP-PN</x:v>
      </x:c>
      <x:c r="B180" s="97" t="str">
        <x:v>Pitcairn Islands</x:v>
      </x:c>
      <x:c r="C180" s="97" t="str">
        <x:v>PN</x:v>
      </x:c>
      <x:c r="D180" s="97" t="str">
        <x:v>PCN</x:v>
      </x:c>
      <x:c r="E180" s="97" t="str">
        <x:v>612</x:v>
      </x:c>
      <x:c r="F180" s="97" t="str">
        <x:v>ISO 3166-1 assigned</x:v>
      </x:c>
      <x:c r="G180" s="97" t="str">
        <x:v>Territory, dependency or special-area record</x:v>
      </x:c>
      <x:c r="H180" s="97" t="str">
        <x:v>United Kingdom</x:v>
      </x:c>
      <x:c r="I180" s="97" t="str">
        <x:v>Oceania</x:v>
      </x:c>
      <x:c r="J180" s="97" t="str">
        <x:v>Polynesia</x:v>
      </x:c>
      <x:c r="K180" s="97" t="str">
        <x:v>National/territorial customs framework—local validation required</x:v>
      </x:c>
      <x:c r="L180" s="97" t="str">
        <x:v>UPU/operator contract, bilateral rules, EAD/message versions and serviceability must be validated</x:v>
      </x:c>
      <x:c r="M180" s="97" t="str">
        <x:v>ICAO state rules, PLACI regime, security status, carrier routing and serviceability must be validated</x:v>
      </x:c>
      <x:c r="N180" s="97" t="str">
        <x:v>Country-pack privacy law and transfer mechanism required</x:v>
      </x:c>
      <x:c r="O180" s="97" t="str">
        <x:v>Screen live lists for every applicable nexus; resolve ownership, sectoral, end-use and licence controls</x:v>
      </x:c>
      <x:c r="P180" s="97" t="str">
        <x:v>No static legal conclusion. Validate current national/territorial customs, tax, licensing, product, privacy and carrier sources before activation.</x:v>
      </x:c>
      <x:c r="Q180" s="97" t="str">
        <x:v>BLOCKED until tariff, prohibitions, documents and carrier services approved</x:v>
      </x:c>
      <x:c r="R180" s="97" t="str">
        <x:v>BLOCKED until ICAO/state/operator variations and certified review path approved</x:v>
      </x:c>
      <x:c r="S180" s="97" t="str">
        <x:v>BLOCKED until SPS/agency/temperature rules and external filing path approved</x:v>
      </x:c>
      <x:c r="T180" s="97" t="str">
        <x:v>BLOCKED until product/site/importer authorizations and quality path approved</x:v>
      </x:c>
      <x:c r="U180" s="97" t="str">
        <x:v>BLOCKED until excise/licences/age/carrier contract approved</x:v>
      </x:c>
      <x:c r="V180" s="97" t="str">
        <x:v>BLOCKED until classification/end-use/licensing and sanctions path approved</x:v>
      </x:c>
      <x:c r="W180" s="97" t="str">
        <x:v>BLOCKED until provenance/security/insurance/carrier limits approved</x:v>
      </x:c>
      <x:c r="X180" s="97" t="str">
        <x:v>BLOCKED until purpose, values, relief evidence and restrictions approved</x:v>
      </x:c>
      <x:c r="Y180" s="104" t="b">
        <x:v>0</x:v>
      </x:c>
      <x:c r="Z180" s="104" t="b">
        <x:v>0</x:v>
      </x:c>
      <x:c r="AA180" s="104" t="b">
        <x:v>0</x:v>
      </x:c>
      <x:c r="AB180" s="104" t="b">
        <x:v>0</x:v>
      </x:c>
      <x:c r="AC180" s="104" t="b">
        <x:v>0</x:v>
      </x:c>
      <x:c r="AD180" s="106" t="str">
        <x:v>BLOCKED_PENDING_VALIDATION</x:v>
      </x:c>
      <x:c r="AE180" s="97" t="str">
        <x:v>NOT_STARTED</x:v>
      </x:c>
      <x:c r="AF180" s="97" t="str">
        <x:v>Unassigned country-pack owner</x:v>
      </x:c>
      <x:c r="AG180" s="97" t="str">
        <x:v>SRC-CUS-001, SRC-CUS-005, SRC-CUS-007, SRC-DAT-001, SRC-POST-001, SRC-PRV-001</x:v>
      </x:c>
      <x:c r="AH180" s="97" t="str">
        <x:v>2026-07-25</x:v>
      </x:c>
      <x:c r="AI180" s="97" t="str">
        <x:v>2026-08-25</x:v>
      </x:c>
      <x:c r="AJ180" s="97" t="str">
        <x:v>Registry coverage only. Production readiness is capability-specific and requires the release checklist.</x:v>
      </x:c>
    </x:row>
    <x:row r="181" ht="54" customHeight="1">
      <x:c r="A181" s="99" t="str">
        <x:v>CP-PL</x:v>
      </x:c>
      <x:c r="B181" s="99" t="str">
        <x:v>Poland</x:v>
      </x:c>
      <x:c r="C181" s="99" t="str">
        <x:v>PL</x:v>
      </x:c>
      <x:c r="D181" s="99" t="str">
        <x:v>POL</x:v>
      </x:c>
      <x:c r="E181" s="99" t="str">
        <x:v>616</x:v>
      </x:c>
      <x:c r="F181" s="99" t="str">
        <x:v>ISO 3166-1 assigned</x:v>
      </x:c>
      <x:c r="G181" s="99" t="str">
        <x:v>Independent state</x:v>
      </x:c>
      <x:c r="H181" s="99" t="str">
        <x:v>Self-administered for pack indexing; legal status follows authoritative sources</x:v>
      </x:c>
      <x:c r="I181" s="99" t="str">
        <x:v>Europe</x:v>
      </x:c>
      <x:c r="J181" s="99" t="str">
        <x:v>Central Europe</x:v>
      </x:c>
      <x:c r="K181" s="99" t="str">
        <x:v>EU customs framework; validate special fiscal/customs territory</x:v>
      </x:c>
      <x:c r="L181" s="99" t="str">
        <x:v>UPU/operator contract, bilateral rules, EAD/message versions and serviceability must be validated</x:v>
      </x:c>
      <x:c r="M181" s="99" t="str">
        <x:v>ICAO state rules, PLACI regime, security status, carrier routing and serviceability must be validated</x:v>
      </x:c>
      <x:c r="N181" s="99" t="str">
        <x:v>GDPR/EEA transfer controls; local supplements</x:v>
      </x:c>
      <x:c r="O181" s="99" t="str">
        <x:v>Screen live lists for every applicable nexus; resolve ownership, sectoral, end-use and licence controls</x:v>
      </x:c>
      <x:c r="P181" s="99" t="str">
        <x:v>EU baseline: ICS2/ENS and current low-value/VAT rules; member and special-territory validation still required.</x:v>
      </x:c>
      <x:c r="Q181" s="99" t="str">
        <x:v>BLOCKED until tariff, prohibitions, documents and carrier services approved</x:v>
      </x:c>
      <x:c r="R181" s="99" t="str">
        <x:v>BLOCKED until ICAO/state/operator variations and certified review path approved</x:v>
      </x:c>
      <x:c r="S181" s="99" t="str">
        <x:v>BLOCKED until SPS/agency/temperature rules and external filing path approved</x:v>
      </x:c>
      <x:c r="T181" s="99" t="str">
        <x:v>BLOCKED until product/site/importer authorizations and quality path approved</x:v>
      </x:c>
      <x:c r="U181" s="99" t="str">
        <x:v>BLOCKED until excise/licences/age/carrier contract approved</x:v>
      </x:c>
      <x:c r="V181" s="99" t="str">
        <x:v>BLOCKED until classification/end-use/licensing and sanctions path approved</x:v>
      </x:c>
      <x:c r="W181" s="99" t="str">
        <x:v>BLOCKED until provenance/security/insurance/carrier limits approved</x:v>
      </x:c>
      <x:c r="X181" s="99" t="str">
        <x:v>BLOCKED until purpose, values, relief evidence and restrictions approved</x:v>
      </x:c>
      <x:c r="Y181" s="103" t="b">
        <x:v>0</x:v>
      </x:c>
      <x:c r="Z181" s="103" t="b">
        <x:v>0</x:v>
      </x:c>
      <x:c r="AA181" s="103" t="b">
        <x:v>0</x:v>
      </x:c>
      <x:c r="AB181" s="103" t="b">
        <x:v>0</x:v>
      </x:c>
      <x:c r="AC181" s="103" t="b">
        <x:v>0</x:v>
      </x:c>
      <x:c r="AD181" s="106" t="str">
        <x:v>BLOCKED_PENDING_VALIDATION</x:v>
      </x:c>
      <x:c r="AE181" s="99" t="str">
        <x:v>NOT_STARTED</x:v>
      </x:c>
      <x:c r="AF181" s="99" t="str">
        <x:v>Unassigned country-pack owner</x:v>
      </x:c>
      <x:c r="AG181" s="99" t="str">
        <x:v>SRC-CUS-001, SRC-CUS-005, SRC-CUS-007, SRC-DAT-001, SRC-POST-001, SRC-PRV-001, SRC-EU-001, SRC-EU-002, SRC-EU-003, SRC-EU-004, SRC-PRV-002</x:v>
      </x:c>
      <x:c r="AH181" s="99" t="str">
        <x:v>2026-07-25</x:v>
      </x:c>
      <x:c r="AI181" s="99" t="str">
        <x:v>2026-08-25</x:v>
      </x:c>
      <x:c r="AJ181" s="99" t="str">
        <x:v>Registry coverage only. Production readiness is capability-specific and requires the release checklist.</x:v>
      </x:c>
    </x:row>
    <x:row r="182" ht="54" customHeight="1">
      <x:c r="A182" s="97" t="str">
        <x:v>CP-PT</x:v>
      </x:c>
      <x:c r="B182" s="97" t="str">
        <x:v>Portugal</x:v>
      </x:c>
      <x:c r="C182" s="97" t="str">
        <x:v>PT</x:v>
      </x:c>
      <x:c r="D182" s="97" t="str">
        <x:v>PRT</x:v>
      </x:c>
      <x:c r="E182" s="97" t="str">
        <x:v>620</x:v>
      </x:c>
      <x:c r="F182" s="97" t="str">
        <x:v>ISO 3166-1 assigned</x:v>
      </x:c>
      <x:c r="G182" s="97" t="str">
        <x:v>Independent state</x:v>
      </x:c>
      <x:c r="H182" s="97" t="str">
        <x:v>Self-administered for pack indexing; legal status follows authoritative sources</x:v>
      </x:c>
      <x:c r="I182" s="97" t="str">
        <x:v>Europe</x:v>
      </x:c>
      <x:c r="J182" s="97" t="str">
        <x:v>Southern Europe</x:v>
      </x:c>
      <x:c r="K182" s="97" t="str">
        <x:v>EU customs framework; validate special fiscal/customs territory</x:v>
      </x:c>
      <x:c r="L182" s="97" t="str">
        <x:v>UPU/operator contract, bilateral rules, EAD/message versions and serviceability must be validated</x:v>
      </x:c>
      <x:c r="M182" s="97" t="str">
        <x:v>ICAO state rules, PLACI regime, security status, carrier routing and serviceability must be validated</x:v>
      </x:c>
      <x:c r="N182" s="97" t="str">
        <x:v>GDPR/EEA transfer controls; local supplements</x:v>
      </x:c>
      <x:c r="O182" s="97" t="str">
        <x:v>Screen live lists for every applicable nexus; resolve ownership, sectoral, end-use and licence controls</x:v>
      </x:c>
      <x:c r="P182" s="97" t="str">
        <x:v>EU baseline: ICS2/ENS and current low-value/VAT rules; member and special-territory validation still required.</x:v>
      </x:c>
      <x:c r="Q182" s="97" t="str">
        <x:v>BLOCKED until tariff, prohibitions, documents and carrier services approved</x:v>
      </x:c>
      <x:c r="R182" s="97" t="str">
        <x:v>BLOCKED until ICAO/state/operator variations and certified review path approved</x:v>
      </x:c>
      <x:c r="S182" s="97" t="str">
        <x:v>BLOCKED until SPS/agency/temperature rules and external filing path approved</x:v>
      </x:c>
      <x:c r="T182" s="97" t="str">
        <x:v>BLOCKED until product/site/importer authorizations and quality path approved</x:v>
      </x:c>
      <x:c r="U182" s="97" t="str">
        <x:v>BLOCKED until excise/licences/age/carrier contract approved</x:v>
      </x:c>
      <x:c r="V182" s="97" t="str">
        <x:v>BLOCKED until classification/end-use/licensing and sanctions path approved</x:v>
      </x:c>
      <x:c r="W182" s="97" t="str">
        <x:v>BLOCKED until provenance/security/insurance/carrier limits approved</x:v>
      </x:c>
      <x:c r="X182" s="97" t="str">
        <x:v>BLOCKED until purpose, values, relief evidence and restrictions approved</x:v>
      </x:c>
      <x:c r="Y182" s="104" t="b">
        <x:v>0</x:v>
      </x:c>
      <x:c r="Z182" s="104" t="b">
        <x:v>0</x:v>
      </x:c>
      <x:c r="AA182" s="104" t="b">
        <x:v>0</x:v>
      </x:c>
      <x:c r="AB182" s="104" t="b">
        <x:v>0</x:v>
      </x:c>
      <x:c r="AC182" s="104" t="b">
        <x:v>0</x:v>
      </x:c>
      <x:c r="AD182" s="106" t="str">
        <x:v>BLOCKED_PENDING_VALIDATION</x:v>
      </x:c>
      <x:c r="AE182" s="97" t="str">
        <x:v>NOT_STARTED</x:v>
      </x:c>
      <x:c r="AF182" s="97" t="str">
        <x:v>Unassigned country-pack owner</x:v>
      </x:c>
      <x:c r="AG182" s="97" t="str">
        <x:v>SRC-CUS-001, SRC-CUS-005, SRC-CUS-007, SRC-DAT-001, SRC-POST-001, SRC-PRV-001, SRC-EU-001, SRC-EU-002, SRC-EU-003, SRC-EU-004, SRC-PRV-002</x:v>
      </x:c>
      <x:c r="AH182" s="97" t="str">
        <x:v>2026-07-25</x:v>
      </x:c>
      <x:c r="AI182" s="97" t="str">
        <x:v>2026-08-25</x:v>
      </x:c>
      <x:c r="AJ182" s="97" t="str">
        <x:v>Registry coverage only. Production readiness is capability-specific and requires the release checklist.</x:v>
      </x:c>
    </x:row>
    <x:row r="183" ht="54" customHeight="1">
      <x:c r="A183" s="99" t="str">
        <x:v>CP-PR</x:v>
      </x:c>
      <x:c r="B183" s="99" t="str">
        <x:v>Puerto Rico</x:v>
      </x:c>
      <x:c r="C183" s="99" t="str">
        <x:v>PR</x:v>
      </x:c>
      <x:c r="D183" s="99" t="str">
        <x:v>PRI</x:v>
      </x:c>
      <x:c r="E183" s="99" t="str">
        <x:v>630</x:v>
      </x:c>
      <x:c r="F183" s="99" t="str">
        <x:v>ISO 3166-1 assigned</x:v>
      </x:c>
      <x:c r="G183" s="99" t="str">
        <x:v>Territory, dependency or special-area record</x:v>
      </x:c>
      <x:c r="H183" s="99" t="str">
        <x:v>United States</x:v>
      </x:c>
      <x:c r="I183" s="99" t="str">
        <x:v>Americas</x:v>
      </x:c>
      <x:c r="J183" s="99" t="str">
        <x:v>Caribbean</x:v>
      </x:c>
      <x:c r="K183" s="99" t="str">
        <x:v>National/territorial customs framework—local validation required</x:v>
      </x:c>
      <x:c r="L183" s="99" t="str">
        <x:v>UPU/operator contract, bilateral rules, EAD/message versions and serviceability must be validated</x:v>
      </x:c>
      <x:c r="M183" s="99" t="str">
        <x:v>ICAO state rules, PLACI regime, security status, carrier routing and serviceability must be validated</x:v>
      </x:c>
      <x:c r="N183" s="99" t="str">
        <x:v>Country-pack privacy law and transfer mechanism required</x:v>
      </x:c>
      <x:c r="O183" s="99" t="str">
        <x:v>Screen live lists for every applicable nexus; resolve ownership, sectoral, end-use and licence controls</x:v>
      </x:c>
      <x:c r="P183" s="99" t="str">
        <x:v>No static legal conclusion. Validate current national/territorial customs, tax, licensing, product, privacy and carrier sources before activation.</x:v>
      </x:c>
      <x:c r="Q183" s="99" t="str">
        <x:v>BLOCKED until tariff, prohibitions, documents and carrier services approved</x:v>
      </x:c>
      <x:c r="R183" s="99" t="str">
        <x:v>BLOCKED until ICAO/state/operator variations and certified review path approved</x:v>
      </x:c>
      <x:c r="S183" s="99" t="str">
        <x:v>BLOCKED until SPS/agency/temperature rules and external filing path approved</x:v>
      </x:c>
      <x:c r="T183" s="99" t="str">
        <x:v>BLOCKED until product/site/importer authorizations and quality path approved</x:v>
      </x:c>
      <x:c r="U183" s="99" t="str">
        <x:v>BLOCKED until excise/licences/age/carrier contract approved</x:v>
      </x:c>
      <x:c r="V183" s="99" t="str">
        <x:v>BLOCKED until classification/end-use/licensing and sanctions path approved</x:v>
      </x:c>
      <x:c r="W183" s="99" t="str">
        <x:v>BLOCKED until provenance/security/insurance/carrier limits approved</x:v>
      </x:c>
      <x:c r="X183" s="99" t="str">
        <x:v>BLOCKED until purpose, values, relief evidence and restrictions approved</x:v>
      </x:c>
      <x:c r="Y183" s="103" t="b">
        <x:v>0</x:v>
      </x:c>
      <x:c r="Z183" s="103" t="b">
        <x:v>0</x:v>
      </x:c>
      <x:c r="AA183" s="103" t="b">
        <x:v>0</x:v>
      </x:c>
      <x:c r="AB183" s="103" t="b">
        <x:v>0</x:v>
      </x:c>
      <x:c r="AC183" s="103" t="b">
        <x:v>0</x:v>
      </x:c>
      <x:c r="AD183" s="106" t="str">
        <x:v>BLOCKED_PENDING_VALIDATION</x:v>
      </x:c>
      <x:c r="AE183" s="99" t="str">
        <x:v>NOT_STARTED</x:v>
      </x:c>
      <x:c r="AF183" s="99" t="str">
        <x:v>Unassigned country-pack owner</x:v>
      </x:c>
      <x:c r="AG183" s="99" t="str">
        <x:v>SRC-CUS-001, SRC-CUS-005, SRC-CUS-007, SRC-DAT-001, SRC-POST-001, SRC-PRV-001, SRC-USA-001, SRC-USA-002, SRC-PRV-012</x:v>
      </x:c>
      <x:c r="AH183" s="99" t="str">
        <x:v>2026-07-25</x:v>
      </x:c>
      <x:c r="AI183" s="99" t="str">
        <x:v>2026-08-25</x:v>
      </x:c>
      <x:c r="AJ183" s="99" t="str">
        <x:v>Registry coverage only. Production readiness is capability-specific and requires the release checklist.</x:v>
      </x:c>
    </x:row>
    <x:row r="184" ht="54" customHeight="1">
      <x:c r="A184" s="97" t="str">
        <x:v>CP-QA</x:v>
      </x:c>
      <x:c r="B184" s="97" t="str">
        <x:v>Qatar</x:v>
      </x:c>
      <x:c r="C184" s="97" t="str">
        <x:v>QA</x:v>
      </x:c>
      <x:c r="D184" s="97" t="str">
        <x:v>QAT</x:v>
      </x:c>
      <x:c r="E184" s="97" t="str">
        <x:v>634</x:v>
      </x:c>
      <x:c r="F184" s="97" t="str">
        <x:v>ISO 3166-1 assigned</x:v>
      </x:c>
      <x:c r="G184" s="97" t="str">
        <x:v>Independent state</x:v>
      </x:c>
      <x:c r="H184" s="97" t="str">
        <x:v>Self-administered for pack indexing; legal status follows authoritative sources</x:v>
      </x:c>
      <x:c r="I184" s="97" t="str">
        <x:v>Asia</x:v>
      </x:c>
      <x:c r="J184" s="97" t="str">
        <x:v>Western Asia</x:v>
      </x:c>
      <x:c r="K184" s="97" t="str">
        <x:v>GCC member; national implementation required</x:v>
      </x:c>
      <x:c r="L184" s="97" t="str">
        <x:v>UPU/operator contract, bilateral rules, EAD/message versions and serviceability must be validated</x:v>
      </x:c>
      <x:c r="M184" s="97" t="str">
        <x:v>ICAO state rules, PLACI regime, security status, carrier routing and serviceability must be validated</x:v>
      </x:c>
      <x:c r="N184" s="97" t="str">
        <x:v>Country-pack privacy law and transfer mechanism required</x:v>
      </x:c>
      <x:c r="O184" s="97" t="str">
        <x:v>Screen live lists for every applicable nexus; resolve ownership, sectoral, end-use and licence controls</x:v>
      </x:c>
      <x:c r="P184" s="97" t="str">
        <x:v>No static legal conclusion. Validate current national/territorial customs, tax, licensing, product, privacy and carrier sources before activation.</x:v>
      </x:c>
      <x:c r="Q184" s="97" t="str">
        <x:v>BLOCKED until tariff, prohibitions, documents and carrier services approved</x:v>
      </x:c>
      <x:c r="R184" s="97" t="str">
        <x:v>BLOCKED until ICAO/state/operator variations and certified review path approved</x:v>
      </x:c>
      <x:c r="S184" s="97" t="str">
        <x:v>BLOCKED until SPS/agency/temperature rules and external filing path approved</x:v>
      </x:c>
      <x:c r="T184" s="97" t="str">
        <x:v>BLOCKED until product/site/importer authorizations and quality path approved</x:v>
      </x:c>
      <x:c r="U184" s="97" t="str">
        <x:v>BLOCKED until excise/licences/age/carrier contract approved</x:v>
      </x:c>
      <x:c r="V184" s="97" t="str">
        <x:v>BLOCKED until classification/end-use/licensing and sanctions path approved</x:v>
      </x:c>
      <x:c r="W184" s="97" t="str">
        <x:v>BLOCKED until provenance/security/insurance/carrier limits approved</x:v>
      </x:c>
      <x:c r="X184" s="97" t="str">
        <x:v>BLOCKED until purpose, values, relief evidence and restrictions approved</x:v>
      </x:c>
      <x:c r="Y184" s="104" t="b">
        <x:v>0</x:v>
      </x:c>
      <x:c r="Z184" s="104" t="b">
        <x:v>0</x:v>
      </x:c>
      <x:c r="AA184" s="104" t="b">
        <x:v>0</x:v>
      </x:c>
      <x:c r="AB184" s="104" t="b">
        <x:v>0</x:v>
      </x:c>
      <x:c r="AC184" s="104" t="b">
        <x:v>0</x:v>
      </x:c>
      <x:c r="AD184" s="106" t="str">
        <x:v>BLOCKED_PENDING_VALIDATION</x:v>
      </x:c>
      <x:c r="AE184" s="97" t="str">
        <x:v>NOT_STARTED</x:v>
      </x:c>
      <x:c r="AF184" s="97" t="str">
        <x:v>Unassigned country-pack owner</x:v>
      </x:c>
      <x:c r="AG184" s="97" t="str">
        <x:v>SRC-CUS-001, SRC-CUS-005, SRC-CUS-007, SRC-DAT-001, SRC-POST-001, SRC-PRV-001</x:v>
      </x:c>
      <x:c r="AH184" s="97" t="str">
        <x:v>2026-07-25</x:v>
      </x:c>
      <x:c r="AI184" s="97" t="str">
        <x:v>2026-08-25</x:v>
      </x:c>
      <x:c r="AJ184" s="97" t="str">
        <x:v>Registry coverage only. Production readiness is capability-specific and requires the release checklist.</x:v>
      </x:c>
    </x:row>
    <x:row r="185" ht="54" customHeight="1">
      <x:c r="A185" s="99" t="str">
        <x:v>CP-CG</x:v>
      </x:c>
      <x:c r="B185" s="99" t="str">
        <x:v>Republic of the Congo</x:v>
      </x:c>
      <x:c r="C185" s="99" t="str">
        <x:v>CG</x:v>
      </x:c>
      <x:c r="D185" s="99" t="str">
        <x:v>COG</x:v>
      </x:c>
      <x:c r="E185" s="99" t="str">
        <x:v>178</x:v>
      </x:c>
      <x:c r="F185" s="99" t="str">
        <x:v>ISO 3166-1 assigned</x:v>
      </x:c>
      <x:c r="G185" s="99" t="str">
        <x:v>Independent state</x:v>
      </x:c>
      <x:c r="H185" s="99" t="str">
        <x:v>Self-administered for pack indexing; legal status follows authoritative sources</x:v>
      </x:c>
      <x:c r="I185" s="99" t="str">
        <x:v>Africa</x:v>
      </x:c>
      <x:c r="J185" s="99" t="str">
        <x:v>Middle Africa</x:v>
      </x:c>
      <x:c r="K185" s="99" t="str">
        <x:v>National/territorial customs framework—local validation required</x:v>
      </x:c>
      <x:c r="L185" s="99" t="str">
        <x:v>UPU/operator contract, bilateral rules, EAD/message versions and serviceability must be validated</x:v>
      </x:c>
      <x:c r="M185" s="99" t="str">
        <x:v>ICAO state rules, PLACI regime, security status, carrier routing and serviceability must be validated</x:v>
      </x:c>
      <x:c r="N185" s="99" t="str">
        <x:v>Country-pack privacy law and transfer mechanism required</x:v>
      </x:c>
      <x:c r="O185" s="99" t="str">
        <x:v>Screen live lists for every applicable nexus; resolve ownership, sectoral, end-use and licence controls</x:v>
      </x:c>
      <x:c r="P185" s="99" t="str">
        <x:v>No static legal conclusion. Validate current national/territorial customs, tax, licensing, product, privacy and carrier sources before activation.</x:v>
      </x:c>
      <x:c r="Q185" s="99" t="str">
        <x:v>BLOCKED until tariff, prohibitions, documents and carrier services approved</x:v>
      </x:c>
      <x:c r="R185" s="99" t="str">
        <x:v>BLOCKED until ICAO/state/operator variations and certified review path approved</x:v>
      </x:c>
      <x:c r="S185" s="99" t="str">
        <x:v>BLOCKED until SPS/agency/temperature rules and external filing path approved</x:v>
      </x:c>
      <x:c r="T185" s="99" t="str">
        <x:v>BLOCKED until product/site/importer authorizations and quality path approved</x:v>
      </x:c>
      <x:c r="U185" s="99" t="str">
        <x:v>BLOCKED until excise/licences/age/carrier contract approved</x:v>
      </x:c>
      <x:c r="V185" s="99" t="str">
        <x:v>BLOCKED until classification/end-use/licensing and sanctions path approved</x:v>
      </x:c>
      <x:c r="W185" s="99" t="str">
        <x:v>BLOCKED until provenance/security/insurance/carrier limits approved</x:v>
      </x:c>
      <x:c r="X185" s="99" t="str">
        <x:v>BLOCKED until purpose, values, relief evidence and restrictions approved</x:v>
      </x:c>
      <x:c r="Y185" s="103" t="b">
        <x:v>0</x:v>
      </x:c>
      <x:c r="Z185" s="103" t="b">
        <x:v>0</x:v>
      </x:c>
      <x:c r="AA185" s="103" t="b">
        <x:v>0</x:v>
      </x:c>
      <x:c r="AB185" s="103" t="b">
        <x:v>0</x:v>
      </x:c>
      <x:c r="AC185" s="103" t="b">
        <x:v>0</x:v>
      </x:c>
      <x:c r="AD185" s="106" t="str">
        <x:v>BLOCKED_PENDING_VALIDATION</x:v>
      </x:c>
      <x:c r="AE185" s="99" t="str">
        <x:v>NOT_STARTED</x:v>
      </x:c>
      <x:c r="AF185" s="99" t="str">
        <x:v>Unassigned country-pack owner</x:v>
      </x:c>
      <x:c r="AG185" s="99" t="str">
        <x:v>SRC-CUS-001, SRC-CUS-005, SRC-CUS-007, SRC-DAT-001, SRC-POST-001, SRC-PRV-001</x:v>
      </x:c>
      <x:c r="AH185" s="99" t="str">
        <x:v>2026-07-25</x:v>
      </x:c>
      <x:c r="AI185" s="99" t="str">
        <x:v>2026-08-25</x:v>
      </x:c>
      <x:c r="AJ185" s="99" t="str">
        <x:v>Registry coverage only. Production readiness is capability-specific and requires the release checklist.</x:v>
      </x:c>
    </x:row>
    <x:row r="186" ht="54" customHeight="1">
      <x:c r="A186" s="97" t="str">
        <x:v>CP-RE</x:v>
      </x:c>
      <x:c r="B186" s="97" t="str">
        <x:v>Réunion</x:v>
      </x:c>
      <x:c r="C186" s="97" t="str">
        <x:v>RE</x:v>
      </x:c>
      <x:c r="D186" s="97" t="str">
        <x:v>REU</x:v>
      </x:c>
      <x:c r="E186" s="97" t="str">
        <x:v>638</x:v>
      </x:c>
      <x:c r="F186" s="97" t="str">
        <x:v>ISO 3166-1 assigned</x:v>
      </x:c>
      <x:c r="G186" s="97" t="str">
        <x:v>Territory, dependency or special-area record</x:v>
      </x:c>
      <x:c r="H186" s="97" t="str">
        <x:v>France</x:v>
      </x:c>
      <x:c r="I186" s="97" t="str">
        <x:v>Africa</x:v>
      </x:c>
      <x:c r="J186" s="97" t="str">
        <x:v>Eastern Africa</x:v>
      </x:c>
      <x:c r="K186" s="97" t="str">
        <x:v>National/territorial customs framework—local validation required</x:v>
      </x:c>
      <x:c r="L186" s="97" t="str">
        <x:v>UPU/operator contract, bilateral rules, EAD/message versions and serviceability must be validated</x:v>
      </x:c>
      <x:c r="M186" s="97" t="str">
        <x:v>ICAO state rules, PLACI regime, security status, carrier routing and serviceability must be validated</x:v>
      </x:c>
      <x:c r="N186" s="97" t="str">
        <x:v>Country-pack privacy law and transfer mechanism required</x:v>
      </x:c>
      <x:c r="O186" s="97" t="str">
        <x:v>Screen live lists for every applicable nexus; resolve ownership, sectoral, end-use and licence controls</x:v>
      </x:c>
      <x:c r="P186" s="97" t="str">
        <x:v>No static legal conclusion. Validate current national/territorial customs, tax, licensing, product, privacy and carrier sources before activation.</x:v>
      </x:c>
      <x:c r="Q186" s="97" t="str">
        <x:v>BLOCKED until tariff, prohibitions, documents and carrier services approved</x:v>
      </x:c>
      <x:c r="R186" s="97" t="str">
        <x:v>BLOCKED until ICAO/state/operator variations and certified review path approved</x:v>
      </x:c>
      <x:c r="S186" s="97" t="str">
        <x:v>BLOCKED until SPS/agency/temperature rules and external filing path approved</x:v>
      </x:c>
      <x:c r="T186" s="97" t="str">
        <x:v>BLOCKED until product/site/importer authorizations and quality path approved</x:v>
      </x:c>
      <x:c r="U186" s="97" t="str">
        <x:v>BLOCKED until excise/licences/age/carrier contract approved</x:v>
      </x:c>
      <x:c r="V186" s="97" t="str">
        <x:v>BLOCKED until classification/end-use/licensing and sanctions path approved</x:v>
      </x:c>
      <x:c r="W186" s="97" t="str">
        <x:v>BLOCKED until provenance/security/insurance/carrier limits approved</x:v>
      </x:c>
      <x:c r="X186" s="97" t="str">
        <x:v>BLOCKED until purpose, values, relief evidence and restrictions approved</x:v>
      </x:c>
      <x:c r="Y186" s="104" t="b">
        <x:v>0</x:v>
      </x:c>
      <x:c r="Z186" s="104" t="b">
        <x:v>0</x:v>
      </x:c>
      <x:c r="AA186" s="104" t="b">
        <x:v>0</x:v>
      </x:c>
      <x:c r="AB186" s="104" t="b">
        <x:v>0</x:v>
      </x:c>
      <x:c r="AC186" s="104" t="b">
        <x:v>0</x:v>
      </x:c>
      <x:c r="AD186" s="106" t="str">
        <x:v>BLOCKED_PENDING_VALIDATION</x:v>
      </x:c>
      <x:c r="AE186" s="97" t="str">
        <x:v>NOT_STARTED</x:v>
      </x:c>
      <x:c r="AF186" s="97" t="str">
        <x:v>Unassigned country-pack owner</x:v>
      </x:c>
      <x:c r="AG186" s="97" t="str">
        <x:v>SRC-CUS-001, SRC-CUS-005, SRC-CUS-007, SRC-DAT-001, SRC-POST-001, SRC-PRV-001</x:v>
      </x:c>
      <x:c r="AH186" s="97" t="str">
        <x:v>2026-07-25</x:v>
      </x:c>
      <x:c r="AI186" s="97" t="str">
        <x:v>2026-08-25</x:v>
      </x:c>
      <x:c r="AJ186" s="97" t="str">
        <x:v>Registry coverage only. Production readiness is capability-specific and requires the release checklist.</x:v>
      </x:c>
    </x:row>
    <x:row r="187" ht="54" customHeight="1">
      <x:c r="A187" s="99" t="str">
        <x:v>CP-RO</x:v>
      </x:c>
      <x:c r="B187" s="99" t="str">
        <x:v>Romania</x:v>
      </x:c>
      <x:c r="C187" s="99" t="str">
        <x:v>RO</x:v>
      </x:c>
      <x:c r="D187" s="99" t="str">
        <x:v>ROU</x:v>
      </x:c>
      <x:c r="E187" s="99" t="str">
        <x:v>642</x:v>
      </x:c>
      <x:c r="F187" s="99" t="str">
        <x:v>ISO 3166-1 assigned</x:v>
      </x:c>
      <x:c r="G187" s="99" t="str">
        <x:v>Independent state</x:v>
      </x:c>
      <x:c r="H187" s="99" t="str">
        <x:v>Self-administered for pack indexing; legal status follows authoritative sources</x:v>
      </x:c>
      <x:c r="I187" s="99" t="str">
        <x:v>Europe</x:v>
      </x:c>
      <x:c r="J187" s="99" t="str">
        <x:v>Southeast Europe</x:v>
      </x:c>
      <x:c r="K187" s="99" t="str">
        <x:v>EU customs framework; validate special fiscal/customs territory</x:v>
      </x:c>
      <x:c r="L187" s="99" t="str">
        <x:v>UPU/operator contract, bilateral rules, EAD/message versions and serviceability must be validated</x:v>
      </x:c>
      <x:c r="M187" s="99" t="str">
        <x:v>ICAO state rules, PLACI regime, security status, carrier routing and serviceability must be validated</x:v>
      </x:c>
      <x:c r="N187" s="99" t="str">
        <x:v>GDPR/EEA transfer controls; local supplements</x:v>
      </x:c>
      <x:c r="O187" s="99" t="str">
        <x:v>Screen live lists for every applicable nexus; resolve ownership, sectoral, end-use and licence controls</x:v>
      </x:c>
      <x:c r="P187" s="99" t="str">
        <x:v>EU baseline: ICS2/ENS and current low-value/VAT rules; member and special-territory validation still required.</x:v>
      </x:c>
      <x:c r="Q187" s="99" t="str">
        <x:v>BLOCKED until tariff, prohibitions, documents and carrier services approved</x:v>
      </x:c>
      <x:c r="R187" s="99" t="str">
        <x:v>BLOCKED until ICAO/state/operator variations and certified review path approved</x:v>
      </x:c>
      <x:c r="S187" s="99" t="str">
        <x:v>BLOCKED until SPS/agency/temperature rules and external filing path approved</x:v>
      </x:c>
      <x:c r="T187" s="99" t="str">
        <x:v>BLOCKED until product/site/importer authorizations and quality path approved</x:v>
      </x:c>
      <x:c r="U187" s="99" t="str">
        <x:v>BLOCKED until excise/licences/age/carrier contract approved</x:v>
      </x:c>
      <x:c r="V187" s="99" t="str">
        <x:v>BLOCKED until classification/end-use/licensing and sanctions path approved</x:v>
      </x:c>
      <x:c r="W187" s="99" t="str">
        <x:v>BLOCKED until provenance/security/insurance/carrier limits approved</x:v>
      </x:c>
      <x:c r="X187" s="99" t="str">
        <x:v>BLOCKED until purpose, values, relief evidence and restrictions approved</x:v>
      </x:c>
      <x:c r="Y187" s="103" t="b">
        <x:v>0</x:v>
      </x:c>
      <x:c r="Z187" s="103" t="b">
        <x:v>0</x:v>
      </x:c>
      <x:c r="AA187" s="103" t="b">
        <x:v>0</x:v>
      </x:c>
      <x:c r="AB187" s="103" t="b">
        <x:v>0</x:v>
      </x:c>
      <x:c r="AC187" s="103" t="b">
        <x:v>0</x:v>
      </x:c>
      <x:c r="AD187" s="106" t="str">
        <x:v>BLOCKED_PENDING_VALIDATION</x:v>
      </x:c>
      <x:c r="AE187" s="99" t="str">
        <x:v>NOT_STARTED</x:v>
      </x:c>
      <x:c r="AF187" s="99" t="str">
        <x:v>Unassigned country-pack owner</x:v>
      </x:c>
      <x:c r="AG187" s="99" t="str">
        <x:v>SRC-CUS-001, SRC-CUS-005, SRC-CUS-007, SRC-DAT-001, SRC-POST-001, SRC-PRV-001, SRC-EU-001, SRC-EU-002, SRC-EU-003, SRC-EU-004, SRC-PRV-002</x:v>
      </x:c>
      <x:c r="AH187" s="99" t="str">
        <x:v>2026-07-25</x:v>
      </x:c>
      <x:c r="AI187" s="99" t="str">
        <x:v>2026-08-25</x:v>
      </x:c>
      <x:c r="AJ187" s="99" t="str">
        <x:v>Registry coverage only. Production readiness is capability-specific and requires the release checklist.</x:v>
      </x:c>
    </x:row>
    <x:row r="188" ht="54" customHeight="1">
      <x:c r="A188" s="97" t="str">
        <x:v>CP-RU</x:v>
      </x:c>
      <x:c r="B188" s="97" t="str">
        <x:v>Russia</x:v>
      </x:c>
      <x:c r="C188" s="97" t="str">
        <x:v>RU</x:v>
      </x:c>
      <x:c r="D188" s="97" t="str">
        <x:v>RUS</x:v>
      </x:c>
      <x:c r="E188" s="97" t="str">
        <x:v>643</x:v>
      </x:c>
      <x:c r="F188" s="97" t="str">
        <x:v>ISO 3166-1 assigned</x:v>
      </x:c>
      <x:c r="G188" s="97" t="str">
        <x:v>Independent state</x:v>
      </x:c>
      <x:c r="H188" s="97" t="str">
        <x:v>Self-administered for pack indexing; legal status follows authoritative sources</x:v>
      </x:c>
      <x:c r="I188" s="97" t="str">
        <x:v>Europe</x:v>
      </x:c>
      <x:c r="J188" s="97" t="str">
        <x:v>Eastern Europe</x:v>
      </x:c>
      <x:c r="K188" s="97" t="str">
        <x:v>EAEU member; national implementation and sanctions nexus required</x:v>
      </x:c>
      <x:c r="L188" s="97" t="str">
        <x:v>UPU/operator contract, bilateral rules, EAD/message versions and serviceability must be validated</x:v>
      </x:c>
      <x:c r="M188" s="97" t="str">
        <x:v>ICAO state rules, PLACI regime, security status, carrier routing and serviceability must be validated</x:v>
      </x:c>
      <x:c r="N188" s="97" t="str">
        <x:v>Country-pack privacy law and transfer mechanism required</x:v>
      </x:c>
      <x:c r="O188" s="97" t="str">
        <x:v>Screen live lists for every applicable nexus; resolve ownership, sectoral, end-use and licence controls</x:v>
      </x:c>
      <x:c r="P188" s="97" t="str">
        <x:v>No static legal conclusion. Validate current national/territorial customs, tax, licensing, product, privacy and carrier sources before activation.</x:v>
      </x:c>
      <x:c r="Q188" s="97" t="str">
        <x:v>BLOCKED until tariff, prohibitions, documents and carrier services approved</x:v>
      </x:c>
      <x:c r="R188" s="97" t="str">
        <x:v>BLOCKED until ICAO/state/operator variations and certified review path approved</x:v>
      </x:c>
      <x:c r="S188" s="97" t="str">
        <x:v>BLOCKED until SPS/agency/temperature rules and external filing path approved</x:v>
      </x:c>
      <x:c r="T188" s="97" t="str">
        <x:v>BLOCKED until product/site/importer authorizations and quality path approved</x:v>
      </x:c>
      <x:c r="U188" s="97" t="str">
        <x:v>BLOCKED until excise/licences/age/carrier contract approved</x:v>
      </x:c>
      <x:c r="V188" s="97" t="str">
        <x:v>BLOCKED until classification/end-use/licensing and sanctions path approved</x:v>
      </x:c>
      <x:c r="W188" s="97" t="str">
        <x:v>BLOCKED until provenance/security/insurance/carrier limits approved</x:v>
      </x:c>
      <x:c r="X188" s="97" t="str">
        <x:v>BLOCKED until purpose, values, relief evidence and restrictions approved</x:v>
      </x:c>
      <x:c r="Y188" s="104" t="b">
        <x:v>0</x:v>
      </x:c>
      <x:c r="Z188" s="104" t="b">
        <x:v>0</x:v>
      </x:c>
      <x:c r="AA188" s="104" t="b">
        <x:v>0</x:v>
      </x:c>
      <x:c r="AB188" s="104" t="b">
        <x:v>0</x:v>
      </x:c>
      <x:c r="AC188" s="104" t="b">
        <x:v>0</x:v>
      </x:c>
      <x:c r="AD188" s="106" t="str">
        <x:v>BLOCKED_PENDING_VALIDATION</x:v>
      </x:c>
      <x:c r="AE188" s="97" t="str">
        <x:v>NOT_STARTED</x:v>
      </x:c>
      <x:c r="AF188" s="97" t="str">
        <x:v>Unassigned country-pack owner</x:v>
      </x:c>
      <x:c r="AG188" s="97" t="str">
        <x:v>SRC-CUS-001, SRC-CUS-005, SRC-CUS-007, SRC-DAT-001, SRC-POST-001, SRC-PRV-001</x:v>
      </x:c>
      <x:c r="AH188" s="97" t="str">
        <x:v>2026-07-25</x:v>
      </x:c>
      <x:c r="AI188" s="97" t="str">
        <x:v>2026-08-25</x:v>
      </x:c>
      <x:c r="AJ188" s="97" t="str">
        <x:v>Registry coverage only. Production readiness is capability-specific and requires the release checklist.</x:v>
      </x:c>
    </x:row>
    <x:row r="189" ht="54" customHeight="1">
      <x:c r="A189" s="99" t="str">
        <x:v>CP-RW</x:v>
      </x:c>
      <x:c r="B189" s="99" t="str">
        <x:v>Rwanda</x:v>
      </x:c>
      <x:c r="C189" s="99" t="str">
        <x:v>RW</x:v>
      </x:c>
      <x:c r="D189" s="99" t="str">
        <x:v>RWA</x:v>
      </x:c>
      <x:c r="E189" s="99" t="str">
        <x:v>646</x:v>
      </x:c>
      <x:c r="F189" s="99" t="str">
        <x:v>ISO 3166-1 assigned</x:v>
      </x:c>
      <x:c r="G189" s="99" t="str">
        <x:v>Independent state</x:v>
      </x:c>
      <x:c r="H189" s="99" t="str">
        <x:v>Self-administered for pack indexing; legal status follows authoritative sources</x:v>
      </x:c>
      <x:c r="I189" s="99" t="str">
        <x:v>Africa</x:v>
      </x:c>
      <x:c r="J189" s="99" t="str">
        <x:v>Eastern Africa</x:v>
      </x:c>
      <x:c r="K189" s="99" t="str">
        <x:v>EAC member; national implementation required</x:v>
      </x:c>
      <x:c r="L189" s="99" t="str">
        <x:v>UPU/operator contract, bilateral rules, EAD/message versions and serviceability must be validated</x:v>
      </x:c>
      <x:c r="M189" s="99" t="str">
        <x:v>ICAO state rules, PLACI regime, security status, carrier routing and serviceability must be validated</x:v>
      </x:c>
      <x:c r="N189" s="99" t="str">
        <x:v>Country-pack privacy law and transfer mechanism required</x:v>
      </x:c>
      <x:c r="O189" s="99" t="str">
        <x:v>Screen live lists for every applicable nexus; resolve ownership, sectoral, end-use and licence controls</x:v>
      </x:c>
      <x:c r="P189" s="99" t="str">
        <x:v>No static legal conclusion. Validate current national/territorial customs, tax, licensing, product, privacy and carrier sources before activation.</x:v>
      </x:c>
      <x:c r="Q189" s="99" t="str">
        <x:v>BLOCKED until tariff, prohibitions, documents and carrier services approved</x:v>
      </x:c>
      <x:c r="R189" s="99" t="str">
        <x:v>BLOCKED until ICAO/state/operator variations and certified review path approved</x:v>
      </x:c>
      <x:c r="S189" s="99" t="str">
        <x:v>BLOCKED until SPS/agency/temperature rules and external filing path approved</x:v>
      </x:c>
      <x:c r="T189" s="99" t="str">
        <x:v>BLOCKED until product/site/importer authorizations and quality path approved</x:v>
      </x:c>
      <x:c r="U189" s="99" t="str">
        <x:v>BLOCKED until excise/licences/age/carrier contract approved</x:v>
      </x:c>
      <x:c r="V189" s="99" t="str">
        <x:v>BLOCKED until classification/end-use/licensing and sanctions path approved</x:v>
      </x:c>
      <x:c r="W189" s="99" t="str">
        <x:v>BLOCKED until provenance/security/insurance/carrier limits approved</x:v>
      </x:c>
      <x:c r="X189" s="99" t="str">
        <x:v>BLOCKED until purpose, values, relief evidence and restrictions approved</x:v>
      </x:c>
      <x:c r="Y189" s="103" t="b">
        <x:v>0</x:v>
      </x:c>
      <x:c r="Z189" s="103" t="b">
        <x:v>0</x:v>
      </x:c>
      <x:c r="AA189" s="103" t="b">
        <x:v>0</x:v>
      </x:c>
      <x:c r="AB189" s="103" t="b">
        <x:v>0</x:v>
      </x:c>
      <x:c r="AC189" s="103" t="b">
        <x:v>0</x:v>
      </x:c>
      <x:c r="AD189" s="106" t="str">
        <x:v>BLOCKED_PENDING_VALIDATION</x:v>
      </x:c>
      <x:c r="AE189" s="99" t="str">
        <x:v>NOT_STARTED</x:v>
      </x:c>
      <x:c r="AF189" s="99" t="str">
        <x:v>Unassigned country-pack owner</x:v>
      </x:c>
      <x:c r="AG189" s="99" t="str">
        <x:v>SRC-CUS-001, SRC-CUS-005, SRC-CUS-007, SRC-DAT-001, SRC-POST-001, SRC-PRV-001</x:v>
      </x:c>
      <x:c r="AH189" s="99" t="str">
        <x:v>2026-07-25</x:v>
      </x:c>
      <x:c r="AI189" s="99" t="str">
        <x:v>2026-08-25</x:v>
      </x:c>
      <x:c r="AJ189" s="99" t="str">
        <x:v>Registry coverage only. Production readiness is capability-specific and requires the release checklist.</x:v>
      </x:c>
    </x:row>
    <x:row r="190" ht="54" customHeight="1">
      <x:c r="A190" s="97" t="str">
        <x:v>CP-BL</x:v>
      </x:c>
      <x:c r="B190" s="97" t="str">
        <x:v>Saint Barthélemy</x:v>
      </x:c>
      <x:c r="C190" s="97" t="str">
        <x:v>BL</x:v>
      </x:c>
      <x:c r="D190" s="97" t="str">
        <x:v>BLM</x:v>
      </x:c>
      <x:c r="E190" s="97" t="str">
        <x:v>652</x:v>
      </x:c>
      <x:c r="F190" s="97" t="str">
        <x:v>ISO 3166-1 assigned</x:v>
      </x:c>
      <x:c r="G190" s="97" t="str">
        <x:v>Territory, dependency or special-area record</x:v>
      </x:c>
      <x:c r="H190" s="97" t="str">
        <x:v>France</x:v>
      </x:c>
      <x:c r="I190" s="97" t="str">
        <x:v>Americas</x:v>
      </x:c>
      <x:c r="J190" s="97" t="str">
        <x:v>Caribbean</x:v>
      </x:c>
      <x:c r="K190" s="97" t="str">
        <x:v>National/territorial customs framework—local validation required</x:v>
      </x:c>
      <x:c r="L190" s="97" t="str">
        <x:v>UPU/operator contract, bilateral rules, EAD/message versions and serviceability must be validated</x:v>
      </x:c>
      <x:c r="M190" s="97" t="str">
        <x:v>ICAO state rules, PLACI regime, security status, carrier routing and serviceability must be validated</x:v>
      </x:c>
      <x:c r="N190" s="97" t="str">
        <x:v>Country-pack privacy law and transfer mechanism required</x:v>
      </x:c>
      <x:c r="O190" s="97" t="str">
        <x:v>Screen live lists for every applicable nexus; resolve ownership, sectoral, end-use and licence controls</x:v>
      </x:c>
      <x:c r="P190" s="97" t="str">
        <x:v>No static legal conclusion. Validate current national/territorial customs, tax, licensing, product, privacy and carrier sources before activation.</x:v>
      </x:c>
      <x:c r="Q190" s="97" t="str">
        <x:v>BLOCKED until tariff, prohibitions, documents and carrier services approved</x:v>
      </x:c>
      <x:c r="R190" s="97" t="str">
        <x:v>BLOCKED until ICAO/state/operator variations and certified review path approved</x:v>
      </x:c>
      <x:c r="S190" s="97" t="str">
        <x:v>BLOCKED until SPS/agency/temperature rules and external filing path approved</x:v>
      </x:c>
      <x:c r="T190" s="97" t="str">
        <x:v>BLOCKED until product/site/importer authorizations and quality path approved</x:v>
      </x:c>
      <x:c r="U190" s="97" t="str">
        <x:v>BLOCKED until excise/licences/age/carrier contract approved</x:v>
      </x:c>
      <x:c r="V190" s="97" t="str">
        <x:v>BLOCKED until classification/end-use/licensing and sanctions path approved</x:v>
      </x:c>
      <x:c r="W190" s="97" t="str">
        <x:v>BLOCKED until provenance/security/insurance/carrier limits approved</x:v>
      </x:c>
      <x:c r="X190" s="97" t="str">
        <x:v>BLOCKED until purpose, values, relief evidence and restrictions approved</x:v>
      </x:c>
      <x:c r="Y190" s="104" t="b">
        <x:v>0</x:v>
      </x:c>
      <x:c r="Z190" s="104" t="b">
        <x:v>0</x:v>
      </x:c>
      <x:c r="AA190" s="104" t="b">
        <x:v>0</x:v>
      </x:c>
      <x:c r="AB190" s="104" t="b">
        <x:v>0</x:v>
      </x:c>
      <x:c r="AC190" s="104" t="b">
        <x:v>0</x:v>
      </x:c>
      <x:c r="AD190" s="106" t="str">
        <x:v>BLOCKED_PENDING_VALIDATION</x:v>
      </x:c>
      <x:c r="AE190" s="97" t="str">
        <x:v>NOT_STARTED</x:v>
      </x:c>
      <x:c r="AF190" s="97" t="str">
        <x:v>Unassigned country-pack owner</x:v>
      </x:c>
      <x:c r="AG190" s="97" t="str">
        <x:v>SRC-CUS-001, SRC-CUS-005, SRC-CUS-007, SRC-DAT-001, SRC-POST-001, SRC-PRV-001</x:v>
      </x:c>
      <x:c r="AH190" s="97" t="str">
        <x:v>2026-07-25</x:v>
      </x:c>
      <x:c r="AI190" s="97" t="str">
        <x:v>2026-08-25</x:v>
      </x:c>
      <x:c r="AJ190" s="97" t="str">
        <x:v>Registry coverage only. Production readiness is capability-specific and requires the release checklist.</x:v>
      </x:c>
    </x:row>
    <x:row r="191" ht="54" customHeight="1">
      <x:c r="A191" s="99" t="str">
        <x:v>CP-SH</x:v>
      </x:c>
      <x:c r="B191" s="99" t="str">
        <x:v>Saint Helena, Ascension and Tristan da Cunha</x:v>
      </x:c>
      <x:c r="C191" s="99" t="str">
        <x:v>SH</x:v>
      </x:c>
      <x:c r="D191" s="99" t="str">
        <x:v>SHN</x:v>
      </x:c>
      <x:c r="E191" s="99" t="str">
        <x:v>654</x:v>
      </x:c>
      <x:c r="F191" s="99" t="str">
        <x:v>ISO 3166-1 assigned</x:v>
      </x:c>
      <x:c r="G191" s="99" t="str">
        <x:v>Territory, dependency or special-area record</x:v>
      </x:c>
      <x:c r="H191" s="99" t="str">
        <x:v>United Kingdom</x:v>
      </x:c>
      <x:c r="I191" s="99" t="str">
        <x:v>Africa</x:v>
      </x:c>
      <x:c r="J191" s="99" t="str">
        <x:v>Western Africa</x:v>
      </x:c>
      <x:c r="K191" s="99" t="str">
        <x:v>National/territorial customs framework—local validation required</x:v>
      </x:c>
      <x:c r="L191" s="99" t="str">
        <x:v>UPU/operator contract, bilateral rules, EAD/message versions and serviceability must be validated</x:v>
      </x:c>
      <x:c r="M191" s="99" t="str">
        <x:v>ICAO state rules, PLACI regime, security status, carrier routing and serviceability must be validated</x:v>
      </x:c>
      <x:c r="N191" s="99" t="str">
        <x:v>Country-pack privacy law and transfer mechanism required</x:v>
      </x:c>
      <x:c r="O191" s="99" t="str">
        <x:v>Screen live lists for every applicable nexus; resolve ownership, sectoral, end-use and licence controls</x:v>
      </x:c>
      <x:c r="P191" s="99" t="str">
        <x:v>No static legal conclusion. Validate current national/territorial customs, tax, licensing, product, privacy and carrier sources before activation.</x:v>
      </x:c>
      <x:c r="Q191" s="99" t="str">
        <x:v>BLOCKED until tariff, prohibitions, documents and carrier services approved</x:v>
      </x:c>
      <x:c r="R191" s="99" t="str">
        <x:v>BLOCKED until ICAO/state/operator variations and certified review path approved</x:v>
      </x:c>
      <x:c r="S191" s="99" t="str">
        <x:v>BLOCKED until SPS/agency/temperature rules and external filing path approved</x:v>
      </x:c>
      <x:c r="T191" s="99" t="str">
        <x:v>BLOCKED until product/site/importer authorizations and quality path approved</x:v>
      </x:c>
      <x:c r="U191" s="99" t="str">
        <x:v>BLOCKED until excise/licences/age/carrier contract approved</x:v>
      </x:c>
      <x:c r="V191" s="99" t="str">
        <x:v>BLOCKED until classification/end-use/licensing and sanctions path approved</x:v>
      </x:c>
      <x:c r="W191" s="99" t="str">
        <x:v>BLOCKED until provenance/security/insurance/carrier limits approved</x:v>
      </x:c>
      <x:c r="X191" s="99" t="str">
        <x:v>BLOCKED until purpose, values, relief evidence and restrictions approved</x:v>
      </x:c>
      <x:c r="Y191" s="103" t="b">
        <x:v>0</x:v>
      </x:c>
      <x:c r="Z191" s="103" t="b">
        <x:v>0</x:v>
      </x:c>
      <x:c r="AA191" s="103" t="b">
        <x:v>0</x:v>
      </x:c>
      <x:c r="AB191" s="103" t="b">
        <x:v>0</x:v>
      </x:c>
      <x:c r="AC191" s="103" t="b">
        <x:v>0</x:v>
      </x:c>
      <x:c r="AD191" s="106" t="str">
        <x:v>BLOCKED_PENDING_VALIDATION</x:v>
      </x:c>
      <x:c r="AE191" s="99" t="str">
        <x:v>NOT_STARTED</x:v>
      </x:c>
      <x:c r="AF191" s="99" t="str">
        <x:v>Unassigned country-pack owner</x:v>
      </x:c>
      <x:c r="AG191" s="99" t="str">
        <x:v>SRC-CUS-001, SRC-CUS-005, SRC-CUS-007, SRC-DAT-001, SRC-POST-001, SRC-PRV-001</x:v>
      </x:c>
      <x:c r="AH191" s="99" t="str">
        <x:v>2026-07-25</x:v>
      </x:c>
      <x:c r="AI191" s="99" t="str">
        <x:v>2026-08-25</x:v>
      </x:c>
      <x:c r="AJ191" s="99" t="str">
        <x:v>Registry coverage only. Production readiness is capability-specific and requires the release checklist.</x:v>
      </x:c>
    </x:row>
    <x:row r="192" ht="54" customHeight="1">
      <x:c r="A192" s="97" t="str">
        <x:v>CP-KN</x:v>
      </x:c>
      <x:c r="B192" s="97" t="str">
        <x:v>Saint Kitts and Nevis</x:v>
      </x:c>
      <x:c r="C192" s="97" t="str">
        <x:v>KN</x:v>
      </x:c>
      <x:c r="D192" s="97" t="str">
        <x:v>KNA</x:v>
      </x:c>
      <x:c r="E192" s="97" t="str">
        <x:v>659</x:v>
      </x:c>
      <x:c r="F192" s="97" t="str">
        <x:v>ISO 3166-1 assigned</x:v>
      </x:c>
      <x:c r="G192" s="97" t="str">
        <x:v>Independent state</x:v>
      </x:c>
      <x:c r="H192" s="97" t="str">
        <x:v>Self-administered for pack indexing; legal status follows authoritative sources</x:v>
      </x:c>
      <x:c r="I192" s="97" t="str">
        <x:v>Americas</x:v>
      </x:c>
      <x:c r="J192" s="97" t="str">
        <x:v>Caribbean</x:v>
      </x:c>
      <x:c r="K192" s="97" t="str">
        <x:v>National/territorial customs framework—local validation required</x:v>
      </x:c>
      <x:c r="L192" s="97" t="str">
        <x:v>UPU/operator contract, bilateral rules, EAD/message versions and serviceability must be validated</x:v>
      </x:c>
      <x:c r="M192" s="97" t="str">
        <x:v>ICAO state rules, PLACI regime, security status, carrier routing and serviceability must be validated</x:v>
      </x:c>
      <x:c r="N192" s="97" t="str">
        <x:v>Country-pack privacy law and transfer mechanism required</x:v>
      </x:c>
      <x:c r="O192" s="97" t="str">
        <x:v>Screen live lists for every applicable nexus; resolve ownership, sectoral, end-use and licence controls</x:v>
      </x:c>
      <x:c r="P192" s="97" t="str">
        <x:v>No static legal conclusion. Validate current national/territorial customs, tax, licensing, product, privacy and carrier sources before activation.</x:v>
      </x:c>
      <x:c r="Q192" s="97" t="str">
        <x:v>BLOCKED until tariff, prohibitions, documents and carrier services approved</x:v>
      </x:c>
      <x:c r="R192" s="97" t="str">
        <x:v>BLOCKED until ICAO/state/operator variations and certified review path approved</x:v>
      </x:c>
      <x:c r="S192" s="97" t="str">
        <x:v>BLOCKED until SPS/agency/temperature rules and external filing path approved</x:v>
      </x:c>
      <x:c r="T192" s="97" t="str">
        <x:v>BLOCKED until product/site/importer authorizations and quality path approved</x:v>
      </x:c>
      <x:c r="U192" s="97" t="str">
        <x:v>BLOCKED until excise/licences/age/carrier contract approved</x:v>
      </x:c>
      <x:c r="V192" s="97" t="str">
        <x:v>BLOCKED until classification/end-use/licensing and sanctions path approved</x:v>
      </x:c>
      <x:c r="W192" s="97" t="str">
        <x:v>BLOCKED until provenance/security/insurance/carrier limits approved</x:v>
      </x:c>
      <x:c r="X192" s="97" t="str">
        <x:v>BLOCKED until purpose, values, relief evidence and restrictions approved</x:v>
      </x:c>
      <x:c r="Y192" s="104" t="b">
        <x:v>0</x:v>
      </x:c>
      <x:c r="Z192" s="104" t="b">
        <x:v>0</x:v>
      </x:c>
      <x:c r="AA192" s="104" t="b">
        <x:v>0</x:v>
      </x:c>
      <x:c r="AB192" s="104" t="b">
        <x:v>0</x:v>
      </x:c>
      <x:c r="AC192" s="104" t="b">
        <x:v>0</x:v>
      </x:c>
      <x:c r="AD192" s="106" t="str">
        <x:v>BLOCKED_PENDING_VALIDATION</x:v>
      </x:c>
      <x:c r="AE192" s="97" t="str">
        <x:v>NOT_STARTED</x:v>
      </x:c>
      <x:c r="AF192" s="97" t="str">
        <x:v>Unassigned country-pack owner</x:v>
      </x:c>
      <x:c r="AG192" s="97" t="str">
        <x:v>SRC-CUS-001, SRC-CUS-005, SRC-CUS-007, SRC-DAT-001, SRC-POST-001, SRC-PRV-001</x:v>
      </x:c>
      <x:c r="AH192" s="97" t="str">
        <x:v>2026-07-25</x:v>
      </x:c>
      <x:c r="AI192" s="97" t="str">
        <x:v>2026-08-25</x:v>
      </x:c>
      <x:c r="AJ192" s="97" t="str">
        <x:v>Registry coverage only. Production readiness is capability-specific and requires the release checklist.</x:v>
      </x:c>
    </x:row>
    <x:row r="193" ht="54" customHeight="1">
      <x:c r="A193" s="99" t="str">
        <x:v>CP-LC</x:v>
      </x:c>
      <x:c r="B193" s="99" t="str">
        <x:v>Saint Lucia</x:v>
      </x:c>
      <x:c r="C193" s="99" t="str">
        <x:v>LC</x:v>
      </x:c>
      <x:c r="D193" s="99" t="str">
        <x:v>LCA</x:v>
      </x:c>
      <x:c r="E193" s="99" t="str">
        <x:v>662</x:v>
      </x:c>
      <x:c r="F193" s="99" t="str">
        <x:v>ISO 3166-1 assigned</x:v>
      </x:c>
      <x:c r="G193" s="99" t="str">
        <x:v>Independent state</x:v>
      </x:c>
      <x:c r="H193" s="99" t="str">
        <x:v>Self-administered for pack indexing; legal status follows authoritative sources</x:v>
      </x:c>
      <x:c r="I193" s="99" t="str">
        <x:v>Americas</x:v>
      </x:c>
      <x:c r="J193" s="99" t="str">
        <x:v>Caribbean</x:v>
      </x:c>
      <x:c r="K193" s="99" t="str">
        <x:v>National/territorial customs framework—local validation required</x:v>
      </x:c>
      <x:c r="L193" s="99" t="str">
        <x:v>UPU/operator contract, bilateral rules, EAD/message versions and serviceability must be validated</x:v>
      </x:c>
      <x:c r="M193" s="99" t="str">
        <x:v>ICAO state rules, PLACI regime, security status, carrier routing and serviceability must be validated</x:v>
      </x:c>
      <x:c r="N193" s="99" t="str">
        <x:v>Country-pack privacy law and transfer mechanism required</x:v>
      </x:c>
      <x:c r="O193" s="99" t="str">
        <x:v>Screen live lists for every applicable nexus; resolve ownership, sectoral, end-use and licence controls</x:v>
      </x:c>
      <x:c r="P193" s="99" t="str">
        <x:v>No static legal conclusion. Validate current national/territorial customs, tax, licensing, product, privacy and carrier sources before activation.</x:v>
      </x:c>
      <x:c r="Q193" s="99" t="str">
        <x:v>BLOCKED until tariff, prohibitions, documents and carrier services approved</x:v>
      </x:c>
      <x:c r="R193" s="99" t="str">
        <x:v>BLOCKED until ICAO/state/operator variations and certified review path approved</x:v>
      </x:c>
      <x:c r="S193" s="99" t="str">
        <x:v>BLOCKED until SPS/agency/temperature rules and external filing path approved</x:v>
      </x:c>
      <x:c r="T193" s="99" t="str">
        <x:v>BLOCKED until product/site/importer authorizations and quality path approved</x:v>
      </x:c>
      <x:c r="U193" s="99" t="str">
        <x:v>BLOCKED until excise/licences/age/carrier contract approved</x:v>
      </x:c>
      <x:c r="V193" s="99" t="str">
        <x:v>BLOCKED until classification/end-use/licensing and sanctions path approved</x:v>
      </x:c>
      <x:c r="W193" s="99" t="str">
        <x:v>BLOCKED until provenance/security/insurance/carrier limits approved</x:v>
      </x:c>
      <x:c r="X193" s="99" t="str">
        <x:v>BLOCKED until purpose, values, relief evidence and restrictions approved</x:v>
      </x:c>
      <x:c r="Y193" s="103" t="b">
        <x:v>0</x:v>
      </x:c>
      <x:c r="Z193" s="103" t="b">
        <x:v>0</x:v>
      </x:c>
      <x:c r="AA193" s="103" t="b">
        <x:v>0</x:v>
      </x:c>
      <x:c r="AB193" s="103" t="b">
        <x:v>0</x:v>
      </x:c>
      <x:c r="AC193" s="103" t="b">
        <x:v>0</x:v>
      </x:c>
      <x:c r="AD193" s="106" t="str">
        <x:v>BLOCKED_PENDING_VALIDATION</x:v>
      </x:c>
      <x:c r="AE193" s="99" t="str">
        <x:v>NOT_STARTED</x:v>
      </x:c>
      <x:c r="AF193" s="99" t="str">
        <x:v>Unassigned country-pack owner</x:v>
      </x:c>
      <x:c r="AG193" s="99" t="str">
        <x:v>SRC-CUS-001, SRC-CUS-005, SRC-CUS-007, SRC-DAT-001, SRC-POST-001, SRC-PRV-001</x:v>
      </x:c>
      <x:c r="AH193" s="99" t="str">
        <x:v>2026-07-25</x:v>
      </x:c>
      <x:c r="AI193" s="99" t="str">
        <x:v>2026-08-25</x:v>
      </x:c>
      <x:c r="AJ193" s="99" t="str">
        <x:v>Registry coverage only. Production readiness is capability-specific and requires the release checklist.</x:v>
      </x:c>
    </x:row>
    <x:row r="194" ht="54" customHeight="1">
      <x:c r="A194" s="97" t="str">
        <x:v>CP-MF</x:v>
      </x:c>
      <x:c r="B194" s="97" t="str">
        <x:v>Saint Martin</x:v>
      </x:c>
      <x:c r="C194" s="97" t="str">
        <x:v>MF</x:v>
      </x:c>
      <x:c r="D194" s="97" t="str">
        <x:v>MAF</x:v>
      </x:c>
      <x:c r="E194" s="97" t="str">
        <x:v>663</x:v>
      </x:c>
      <x:c r="F194" s="97" t="str">
        <x:v>ISO 3166-1 assigned</x:v>
      </x:c>
      <x:c r="G194" s="97" t="str">
        <x:v>Territory, dependency or special-area record</x:v>
      </x:c>
      <x:c r="H194" s="97" t="str">
        <x:v>France</x:v>
      </x:c>
      <x:c r="I194" s="97" t="str">
        <x:v>Americas</x:v>
      </x:c>
      <x:c r="J194" s="97" t="str">
        <x:v>Caribbean</x:v>
      </x:c>
      <x:c r="K194" s="97" t="str">
        <x:v>National/territorial customs framework—local validation required</x:v>
      </x:c>
      <x:c r="L194" s="97" t="str">
        <x:v>UPU/operator contract, bilateral rules, EAD/message versions and serviceability must be validated</x:v>
      </x:c>
      <x:c r="M194" s="97" t="str">
        <x:v>ICAO state rules, PLACI regime, security status, carrier routing and serviceability must be validated</x:v>
      </x:c>
      <x:c r="N194" s="97" t="str">
        <x:v>Country-pack privacy law and transfer mechanism required</x:v>
      </x:c>
      <x:c r="O194" s="97" t="str">
        <x:v>Screen live lists for every applicable nexus; resolve ownership, sectoral, end-use and licence controls</x:v>
      </x:c>
      <x:c r="P194" s="97" t="str">
        <x:v>No static legal conclusion. Validate current national/territorial customs, tax, licensing, product, privacy and carrier sources before activation.</x:v>
      </x:c>
      <x:c r="Q194" s="97" t="str">
        <x:v>BLOCKED until tariff, prohibitions, documents and carrier services approved</x:v>
      </x:c>
      <x:c r="R194" s="97" t="str">
        <x:v>BLOCKED until ICAO/state/operator variations and certified review path approved</x:v>
      </x:c>
      <x:c r="S194" s="97" t="str">
        <x:v>BLOCKED until SPS/agency/temperature rules and external filing path approved</x:v>
      </x:c>
      <x:c r="T194" s="97" t="str">
        <x:v>BLOCKED until product/site/importer authorizations and quality path approved</x:v>
      </x:c>
      <x:c r="U194" s="97" t="str">
        <x:v>BLOCKED until excise/licences/age/carrier contract approved</x:v>
      </x:c>
      <x:c r="V194" s="97" t="str">
        <x:v>BLOCKED until classification/end-use/licensing and sanctions path approved</x:v>
      </x:c>
      <x:c r="W194" s="97" t="str">
        <x:v>BLOCKED until provenance/security/insurance/carrier limits approved</x:v>
      </x:c>
      <x:c r="X194" s="97" t="str">
        <x:v>BLOCKED until purpose, values, relief evidence and restrictions approved</x:v>
      </x:c>
      <x:c r="Y194" s="104" t="b">
        <x:v>0</x:v>
      </x:c>
      <x:c r="Z194" s="104" t="b">
        <x:v>0</x:v>
      </x:c>
      <x:c r="AA194" s="104" t="b">
        <x:v>0</x:v>
      </x:c>
      <x:c r="AB194" s="104" t="b">
        <x:v>0</x:v>
      </x:c>
      <x:c r="AC194" s="104" t="b">
        <x:v>0</x:v>
      </x:c>
      <x:c r="AD194" s="106" t="str">
        <x:v>BLOCKED_PENDING_VALIDATION</x:v>
      </x:c>
      <x:c r="AE194" s="97" t="str">
        <x:v>NOT_STARTED</x:v>
      </x:c>
      <x:c r="AF194" s="97" t="str">
        <x:v>Unassigned country-pack owner</x:v>
      </x:c>
      <x:c r="AG194" s="97" t="str">
        <x:v>SRC-CUS-001, SRC-CUS-005, SRC-CUS-007, SRC-DAT-001, SRC-POST-001, SRC-PRV-001</x:v>
      </x:c>
      <x:c r="AH194" s="97" t="str">
        <x:v>2026-07-25</x:v>
      </x:c>
      <x:c r="AI194" s="97" t="str">
        <x:v>2026-08-25</x:v>
      </x:c>
      <x:c r="AJ194" s="97" t="str">
        <x:v>Registry coverage only. Production readiness is capability-specific and requires the release checklist.</x:v>
      </x:c>
    </x:row>
    <x:row r="195" ht="54" customHeight="1">
      <x:c r="A195" s="99" t="str">
        <x:v>CP-PM</x:v>
      </x:c>
      <x:c r="B195" s="99" t="str">
        <x:v>Saint Pierre and Miquelon</x:v>
      </x:c>
      <x:c r="C195" s="99" t="str">
        <x:v>PM</x:v>
      </x:c>
      <x:c r="D195" s="99" t="str">
        <x:v>SPM</x:v>
      </x:c>
      <x:c r="E195" s="99" t="str">
        <x:v>666</x:v>
      </x:c>
      <x:c r="F195" s="99" t="str">
        <x:v>ISO 3166-1 assigned</x:v>
      </x:c>
      <x:c r="G195" s="99" t="str">
        <x:v>Territory, dependency or special-area record</x:v>
      </x:c>
      <x:c r="H195" s="99" t="str">
        <x:v>France</x:v>
      </x:c>
      <x:c r="I195" s="99" t="str">
        <x:v>Americas</x:v>
      </x:c>
      <x:c r="J195" s="99" t="str">
        <x:v>North America</x:v>
      </x:c>
      <x:c r="K195" s="99" t="str">
        <x:v>National/territorial customs framework—local validation required</x:v>
      </x:c>
      <x:c r="L195" s="99" t="str">
        <x:v>UPU/operator contract, bilateral rules, EAD/message versions and serviceability must be validated</x:v>
      </x:c>
      <x:c r="M195" s="99" t="str">
        <x:v>ICAO state rules, PLACI regime, security status, carrier routing and serviceability must be validated</x:v>
      </x:c>
      <x:c r="N195" s="99" t="str">
        <x:v>Country-pack privacy law and transfer mechanism required</x:v>
      </x:c>
      <x:c r="O195" s="99" t="str">
        <x:v>Screen live lists for every applicable nexus; resolve ownership, sectoral, end-use and licence controls</x:v>
      </x:c>
      <x:c r="P195" s="99" t="str">
        <x:v>No static legal conclusion. Validate current national/territorial customs, tax, licensing, product, privacy and carrier sources before activation.</x:v>
      </x:c>
      <x:c r="Q195" s="99" t="str">
        <x:v>BLOCKED until tariff, prohibitions, documents and carrier services approved</x:v>
      </x:c>
      <x:c r="R195" s="99" t="str">
        <x:v>BLOCKED until ICAO/state/operator variations and certified review path approved</x:v>
      </x:c>
      <x:c r="S195" s="99" t="str">
        <x:v>BLOCKED until SPS/agency/temperature rules and external filing path approved</x:v>
      </x:c>
      <x:c r="T195" s="99" t="str">
        <x:v>BLOCKED until product/site/importer authorizations and quality path approved</x:v>
      </x:c>
      <x:c r="U195" s="99" t="str">
        <x:v>BLOCKED until excise/licences/age/carrier contract approved</x:v>
      </x:c>
      <x:c r="V195" s="99" t="str">
        <x:v>BLOCKED until classification/end-use/licensing and sanctions path approved</x:v>
      </x:c>
      <x:c r="W195" s="99" t="str">
        <x:v>BLOCKED until provenance/security/insurance/carrier limits approved</x:v>
      </x:c>
      <x:c r="X195" s="99" t="str">
        <x:v>BLOCKED until purpose, values, relief evidence and restrictions approved</x:v>
      </x:c>
      <x:c r="Y195" s="103" t="b">
        <x:v>0</x:v>
      </x:c>
      <x:c r="Z195" s="103" t="b">
        <x:v>0</x:v>
      </x:c>
      <x:c r="AA195" s="103" t="b">
        <x:v>0</x:v>
      </x:c>
      <x:c r="AB195" s="103" t="b">
        <x:v>0</x:v>
      </x:c>
      <x:c r="AC195" s="103" t="b">
        <x:v>0</x:v>
      </x:c>
      <x:c r="AD195" s="106" t="str">
        <x:v>BLOCKED_PENDING_VALIDATION</x:v>
      </x:c>
      <x:c r="AE195" s="99" t="str">
        <x:v>NOT_STARTED</x:v>
      </x:c>
      <x:c r="AF195" s="99" t="str">
        <x:v>Unassigned country-pack owner</x:v>
      </x:c>
      <x:c r="AG195" s="99" t="str">
        <x:v>SRC-CUS-001, SRC-CUS-005, SRC-CUS-007, SRC-DAT-001, SRC-POST-001, SRC-PRV-001</x:v>
      </x:c>
      <x:c r="AH195" s="99" t="str">
        <x:v>2026-07-25</x:v>
      </x:c>
      <x:c r="AI195" s="99" t="str">
        <x:v>2026-08-25</x:v>
      </x:c>
      <x:c r="AJ195" s="99" t="str">
        <x:v>Registry coverage only. Production readiness is capability-specific and requires the release checklist.</x:v>
      </x:c>
    </x:row>
    <x:row r="196" ht="54" customHeight="1">
      <x:c r="A196" s="97" t="str">
        <x:v>CP-VC</x:v>
      </x:c>
      <x:c r="B196" s="97" t="str">
        <x:v>Saint Vincent and the Grenadines</x:v>
      </x:c>
      <x:c r="C196" s="97" t="str">
        <x:v>VC</x:v>
      </x:c>
      <x:c r="D196" s="97" t="str">
        <x:v>VCT</x:v>
      </x:c>
      <x:c r="E196" s="97" t="str">
        <x:v>670</x:v>
      </x:c>
      <x:c r="F196" s="97" t="str">
        <x:v>ISO 3166-1 assigned</x:v>
      </x:c>
      <x:c r="G196" s="97" t="str">
        <x:v>Independent state</x:v>
      </x:c>
      <x:c r="H196" s="97" t="str">
        <x:v>Self-administered for pack indexing; legal status follows authoritative sources</x:v>
      </x:c>
      <x:c r="I196" s="97" t="str">
        <x:v>Americas</x:v>
      </x:c>
      <x:c r="J196" s="97" t="str">
        <x:v>Caribbean</x:v>
      </x:c>
      <x:c r="K196" s="97" t="str">
        <x:v>National/territorial customs framework—local validation required</x:v>
      </x:c>
      <x:c r="L196" s="97" t="str">
        <x:v>UPU/operator contract, bilateral rules, EAD/message versions and serviceability must be validated</x:v>
      </x:c>
      <x:c r="M196" s="97" t="str">
        <x:v>ICAO state rules, PLACI regime, security status, carrier routing and serviceability must be validated</x:v>
      </x:c>
      <x:c r="N196" s="97" t="str">
        <x:v>Country-pack privacy law and transfer mechanism required</x:v>
      </x:c>
      <x:c r="O196" s="97" t="str">
        <x:v>Screen live lists for every applicable nexus; resolve ownership, sectoral, end-use and licence controls</x:v>
      </x:c>
      <x:c r="P196" s="97" t="str">
        <x:v>No static legal conclusion. Validate current national/territorial customs, tax, licensing, product, privacy and carrier sources before activation.</x:v>
      </x:c>
      <x:c r="Q196" s="97" t="str">
        <x:v>BLOCKED until tariff, prohibitions, documents and carrier services approved</x:v>
      </x:c>
      <x:c r="R196" s="97" t="str">
        <x:v>BLOCKED until ICAO/state/operator variations and certified review path approved</x:v>
      </x:c>
      <x:c r="S196" s="97" t="str">
        <x:v>BLOCKED until SPS/agency/temperature rules and external filing path approved</x:v>
      </x:c>
      <x:c r="T196" s="97" t="str">
        <x:v>BLOCKED until product/site/importer authorizations and quality path approved</x:v>
      </x:c>
      <x:c r="U196" s="97" t="str">
        <x:v>BLOCKED until excise/licences/age/carrier contract approved</x:v>
      </x:c>
      <x:c r="V196" s="97" t="str">
        <x:v>BLOCKED until classification/end-use/licensing and sanctions path approved</x:v>
      </x:c>
      <x:c r="W196" s="97" t="str">
        <x:v>BLOCKED until provenance/security/insurance/carrier limits approved</x:v>
      </x:c>
      <x:c r="X196" s="97" t="str">
        <x:v>BLOCKED until purpose, values, relief evidence and restrictions approved</x:v>
      </x:c>
      <x:c r="Y196" s="104" t="b">
        <x:v>0</x:v>
      </x:c>
      <x:c r="Z196" s="104" t="b">
        <x:v>0</x:v>
      </x:c>
      <x:c r="AA196" s="104" t="b">
        <x:v>0</x:v>
      </x:c>
      <x:c r="AB196" s="104" t="b">
        <x:v>0</x:v>
      </x:c>
      <x:c r="AC196" s="104" t="b">
        <x:v>0</x:v>
      </x:c>
      <x:c r="AD196" s="106" t="str">
        <x:v>BLOCKED_PENDING_VALIDATION</x:v>
      </x:c>
      <x:c r="AE196" s="97" t="str">
        <x:v>NOT_STARTED</x:v>
      </x:c>
      <x:c r="AF196" s="97" t="str">
        <x:v>Unassigned country-pack owner</x:v>
      </x:c>
      <x:c r="AG196" s="97" t="str">
        <x:v>SRC-CUS-001, SRC-CUS-005, SRC-CUS-007, SRC-DAT-001, SRC-POST-001, SRC-PRV-001</x:v>
      </x:c>
      <x:c r="AH196" s="97" t="str">
        <x:v>2026-07-25</x:v>
      </x:c>
      <x:c r="AI196" s="97" t="str">
        <x:v>2026-08-25</x:v>
      </x:c>
      <x:c r="AJ196" s="97" t="str">
        <x:v>Registry coverage only. Production readiness is capability-specific and requires the release checklist.</x:v>
      </x:c>
    </x:row>
    <x:row r="197" ht="54" customHeight="1">
      <x:c r="A197" s="99" t="str">
        <x:v>CP-WS</x:v>
      </x:c>
      <x:c r="B197" s="99" t="str">
        <x:v>Samoa</x:v>
      </x:c>
      <x:c r="C197" s="99" t="str">
        <x:v>WS</x:v>
      </x:c>
      <x:c r="D197" s="99" t="str">
        <x:v>WSM</x:v>
      </x:c>
      <x:c r="E197" s="99" t="str">
        <x:v>882</x:v>
      </x:c>
      <x:c r="F197" s="99" t="str">
        <x:v>ISO 3166-1 assigned</x:v>
      </x:c>
      <x:c r="G197" s="99" t="str">
        <x:v>Independent state</x:v>
      </x:c>
      <x:c r="H197" s="99" t="str">
        <x:v>Self-administered for pack indexing; legal status follows authoritative sources</x:v>
      </x:c>
      <x:c r="I197" s="99" t="str">
        <x:v>Oceania</x:v>
      </x:c>
      <x:c r="J197" s="99" t="str">
        <x:v>Polynesia</x:v>
      </x:c>
      <x:c r="K197" s="99" t="str">
        <x:v>National/territorial customs framework—local validation required</x:v>
      </x:c>
      <x:c r="L197" s="99" t="str">
        <x:v>UPU/operator contract, bilateral rules, EAD/message versions and serviceability must be validated</x:v>
      </x:c>
      <x:c r="M197" s="99" t="str">
        <x:v>ICAO state rules, PLACI regime, security status, carrier routing and serviceability must be validated</x:v>
      </x:c>
      <x:c r="N197" s="99" t="str">
        <x:v>Country-pack privacy law and transfer mechanism required</x:v>
      </x:c>
      <x:c r="O197" s="99" t="str">
        <x:v>Screen live lists for every applicable nexus; resolve ownership, sectoral, end-use and licence controls</x:v>
      </x:c>
      <x:c r="P197" s="99" t="str">
        <x:v>No static legal conclusion. Validate current national/territorial customs, tax, licensing, product, privacy and carrier sources before activation.</x:v>
      </x:c>
      <x:c r="Q197" s="99" t="str">
        <x:v>BLOCKED until tariff, prohibitions, documents and carrier services approved</x:v>
      </x:c>
      <x:c r="R197" s="99" t="str">
        <x:v>BLOCKED until ICAO/state/operator variations and certified review path approved</x:v>
      </x:c>
      <x:c r="S197" s="99" t="str">
        <x:v>BLOCKED until SPS/agency/temperature rules and external filing path approved</x:v>
      </x:c>
      <x:c r="T197" s="99" t="str">
        <x:v>BLOCKED until product/site/importer authorizations and quality path approved</x:v>
      </x:c>
      <x:c r="U197" s="99" t="str">
        <x:v>BLOCKED until excise/licences/age/carrier contract approved</x:v>
      </x:c>
      <x:c r="V197" s="99" t="str">
        <x:v>BLOCKED until classification/end-use/licensing and sanctions path approved</x:v>
      </x:c>
      <x:c r="W197" s="99" t="str">
        <x:v>BLOCKED until provenance/security/insurance/carrier limits approved</x:v>
      </x:c>
      <x:c r="X197" s="99" t="str">
        <x:v>BLOCKED until purpose, values, relief evidence and restrictions approved</x:v>
      </x:c>
      <x:c r="Y197" s="103" t="b">
        <x:v>0</x:v>
      </x:c>
      <x:c r="Z197" s="103" t="b">
        <x:v>0</x:v>
      </x:c>
      <x:c r="AA197" s="103" t="b">
        <x:v>0</x:v>
      </x:c>
      <x:c r="AB197" s="103" t="b">
        <x:v>0</x:v>
      </x:c>
      <x:c r="AC197" s="103" t="b">
        <x:v>0</x:v>
      </x:c>
      <x:c r="AD197" s="106" t="str">
        <x:v>BLOCKED_PENDING_VALIDATION</x:v>
      </x:c>
      <x:c r="AE197" s="99" t="str">
        <x:v>NOT_STARTED</x:v>
      </x:c>
      <x:c r="AF197" s="99" t="str">
        <x:v>Unassigned country-pack owner</x:v>
      </x:c>
      <x:c r="AG197" s="99" t="str">
        <x:v>SRC-CUS-001, SRC-CUS-005, SRC-CUS-007, SRC-DAT-001, SRC-POST-001, SRC-PRV-001</x:v>
      </x:c>
      <x:c r="AH197" s="99" t="str">
        <x:v>2026-07-25</x:v>
      </x:c>
      <x:c r="AI197" s="99" t="str">
        <x:v>2026-08-25</x:v>
      </x:c>
      <x:c r="AJ197" s="99" t="str">
        <x:v>Registry coverage only. Production readiness is capability-specific and requires the release checklist.</x:v>
      </x:c>
    </x:row>
    <x:row r="198" ht="54" customHeight="1">
      <x:c r="A198" s="97" t="str">
        <x:v>CP-SM</x:v>
      </x:c>
      <x:c r="B198" s="97" t="str">
        <x:v>San Marino</x:v>
      </x:c>
      <x:c r="C198" s="97" t="str">
        <x:v>SM</x:v>
      </x:c>
      <x:c r="D198" s="97" t="str">
        <x:v>SMR</x:v>
      </x:c>
      <x:c r="E198" s="97" t="str">
        <x:v>674</x:v>
      </x:c>
      <x:c r="F198" s="97" t="str">
        <x:v>ISO 3166-1 assigned</x:v>
      </x:c>
      <x:c r="G198" s="97" t="str">
        <x:v>Independent state</x:v>
      </x:c>
      <x:c r="H198" s="97" t="str">
        <x:v>Self-administered for pack indexing; legal status follows authoritative sources</x:v>
      </x:c>
      <x:c r="I198" s="97" t="str">
        <x:v>Europe</x:v>
      </x:c>
      <x:c r="J198" s="97" t="str">
        <x:v>Southern Europe</x:v>
      </x:c>
      <x:c r="K198" s="97" t="str">
        <x:v>National/territorial customs framework—local validation required</x:v>
      </x:c>
      <x:c r="L198" s="97" t="str">
        <x:v>UPU/operator contract, bilateral rules, EAD/message versions and serviceability must be validated</x:v>
      </x:c>
      <x:c r="M198" s="97" t="str">
        <x:v>ICAO state rules, PLACI regime, security status, carrier routing and serviceability must be validated</x:v>
      </x:c>
      <x:c r="N198" s="97" t="str">
        <x:v>Country-pack privacy law and transfer mechanism required</x:v>
      </x:c>
      <x:c r="O198" s="97" t="str">
        <x:v>Screen live lists for every applicable nexus; resolve ownership, sectoral, end-use and licence controls</x:v>
      </x:c>
      <x:c r="P198" s="97" t="str">
        <x:v>No static legal conclusion. Validate current national/territorial customs, tax, licensing, product, privacy and carrier sources before activation.</x:v>
      </x:c>
      <x:c r="Q198" s="97" t="str">
        <x:v>BLOCKED until tariff, prohibitions, documents and carrier services approved</x:v>
      </x:c>
      <x:c r="R198" s="97" t="str">
        <x:v>BLOCKED until ICAO/state/operator variations and certified review path approved</x:v>
      </x:c>
      <x:c r="S198" s="97" t="str">
        <x:v>BLOCKED until SPS/agency/temperature rules and external filing path approved</x:v>
      </x:c>
      <x:c r="T198" s="97" t="str">
        <x:v>BLOCKED until product/site/importer authorizations and quality path approved</x:v>
      </x:c>
      <x:c r="U198" s="97" t="str">
        <x:v>BLOCKED until excise/licences/age/carrier contract approved</x:v>
      </x:c>
      <x:c r="V198" s="97" t="str">
        <x:v>BLOCKED until classification/end-use/licensing and sanctions path approved</x:v>
      </x:c>
      <x:c r="W198" s="97" t="str">
        <x:v>BLOCKED until provenance/security/insurance/carrier limits approved</x:v>
      </x:c>
      <x:c r="X198" s="97" t="str">
        <x:v>BLOCKED until purpose, values, relief evidence and restrictions approved</x:v>
      </x:c>
      <x:c r="Y198" s="104" t="b">
        <x:v>0</x:v>
      </x:c>
      <x:c r="Z198" s="104" t="b">
        <x:v>0</x:v>
      </x:c>
      <x:c r="AA198" s="104" t="b">
        <x:v>0</x:v>
      </x:c>
      <x:c r="AB198" s="104" t="b">
        <x:v>0</x:v>
      </x:c>
      <x:c r="AC198" s="104" t="b">
        <x:v>0</x:v>
      </x:c>
      <x:c r="AD198" s="106" t="str">
        <x:v>BLOCKED_PENDING_VALIDATION</x:v>
      </x:c>
      <x:c r="AE198" s="97" t="str">
        <x:v>NOT_STARTED</x:v>
      </x:c>
      <x:c r="AF198" s="97" t="str">
        <x:v>Unassigned country-pack owner</x:v>
      </x:c>
      <x:c r="AG198" s="97" t="str">
        <x:v>SRC-CUS-001, SRC-CUS-005, SRC-CUS-007, SRC-DAT-001, SRC-POST-001, SRC-PRV-001</x:v>
      </x:c>
      <x:c r="AH198" s="97" t="str">
        <x:v>2026-07-25</x:v>
      </x:c>
      <x:c r="AI198" s="97" t="str">
        <x:v>2026-08-25</x:v>
      </x:c>
      <x:c r="AJ198" s="97" t="str">
        <x:v>Registry coverage only. Production readiness is capability-specific and requires the release checklist.</x:v>
      </x:c>
    </x:row>
    <x:row r="199" ht="54" customHeight="1">
      <x:c r="A199" s="99" t="str">
        <x:v>CP-ST</x:v>
      </x:c>
      <x:c r="B199" s="99" t="str">
        <x:v>São Tomé and Príncipe</x:v>
      </x:c>
      <x:c r="C199" s="99" t="str">
        <x:v>ST</x:v>
      </x:c>
      <x:c r="D199" s="99" t="str">
        <x:v>STP</x:v>
      </x:c>
      <x:c r="E199" s="99" t="str">
        <x:v>678</x:v>
      </x:c>
      <x:c r="F199" s="99" t="str">
        <x:v>ISO 3166-1 assigned</x:v>
      </x:c>
      <x:c r="G199" s="99" t="str">
        <x:v>Independent state</x:v>
      </x:c>
      <x:c r="H199" s="99" t="str">
        <x:v>Self-administered for pack indexing; legal status follows authoritative sources</x:v>
      </x:c>
      <x:c r="I199" s="99" t="str">
        <x:v>Africa</x:v>
      </x:c>
      <x:c r="J199" s="99" t="str">
        <x:v>Middle Africa</x:v>
      </x:c>
      <x:c r="K199" s="99" t="str">
        <x:v>National/territorial customs framework—local validation required</x:v>
      </x:c>
      <x:c r="L199" s="99" t="str">
        <x:v>UPU/operator contract, bilateral rules, EAD/message versions and serviceability must be validated</x:v>
      </x:c>
      <x:c r="M199" s="99" t="str">
        <x:v>ICAO state rules, PLACI regime, security status, carrier routing and serviceability must be validated</x:v>
      </x:c>
      <x:c r="N199" s="99" t="str">
        <x:v>Country-pack privacy law and transfer mechanism required</x:v>
      </x:c>
      <x:c r="O199" s="99" t="str">
        <x:v>Screen live lists for every applicable nexus; resolve ownership, sectoral, end-use and licence controls</x:v>
      </x:c>
      <x:c r="P199" s="99" t="str">
        <x:v>No static legal conclusion. Validate current national/territorial customs, tax, licensing, product, privacy and carrier sources before activation.</x:v>
      </x:c>
      <x:c r="Q199" s="99" t="str">
        <x:v>BLOCKED until tariff, prohibitions, documents and carrier services approved</x:v>
      </x:c>
      <x:c r="R199" s="99" t="str">
        <x:v>BLOCKED until ICAO/state/operator variations and certified review path approved</x:v>
      </x:c>
      <x:c r="S199" s="99" t="str">
        <x:v>BLOCKED until SPS/agency/temperature rules and external filing path approved</x:v>
      </x:c>
      <x:c r="T199" s="99" t="str">
        <x:v>BLOCKED until product/site/importer authorizations and quality path approved</x:v>
      </x:c>
      <x:c r="U199" s="99" t="str">
        <x:v>BLOCKED until excise/licences/age/carrier contract approved</x:v>
      </x:c>
      <x:c r="V199" s="99" t="str">
        <x:v>BLOCKED until classification/end-use/licensing and sanctions path approved</x:v>
      </x:c>
      <x:c r="W199" s="99" t="str">
        <x:v>BLOCKED until provenance/security/insurance/carrier limits approved</x:v>
      </x:c>
      <x:c r="X199" s="99" t="str">
        <x:v>BLOCKED until purpose, values, relief evidence and restrictions approved</x:v>
      </x:c>
      <x:c r="Y199" s="103" t="b">
        <x:v>0</x:v>
      </x:c>
      <x:c r="Z199" s="103" t="b">
        <x:v>0</x:v>
      </x:c>
      <x:c r="AA199" s="103" t="b">
        <x:v>0</x:v>
      </x:c>
      <x:c r="AB199" s="103" t="b">
        <x:v>0</x:v>
      </x:c>
      <x:c r="AC199" s="103" t="b">
        <x:v>0</x:v>
      </x:c>
      <x:c r="AD199" s="106" t="str">
        <x:v>BLOCKED_PENDING_VALIDATION</x:v>
      </x:c>
      <x:c r="AE199" s="99" t="str">
        <x:v>NOT_STARTED</x:v>
      </x:c>
      <x:c r="AF199" s="99" t="str">
        <x:v>Unassigned country-pack owner</x:v>
      </x:c>
      <x:c r="AG199" s="99" t="str">
        <x:v>SRC-CUS-001, SRC-CUS-005, SRC-CUS-007, SRC-DAT-001, SRC-POST-001, SRC-PRV-001</x:v>
      </x:c>
      <x:c r="AH199" s="99" t="str">
        <x:v>2026-07-25</x:v>
      </x:c>
      <x:c r="AI199" s="99" t="str">
        <x:v>2026-08-25</x:v>
      </x:c>
      <x:c r="AJ199" s="99" t="str">
        <x:v>Registry coverage only. Production readiness is capability-specific and requires the release checklist.</x:v>
      </x:c>
    </x:row>
    <x:row r="200" ht="54" customHeight="1">
      <x:c r="A200" s="97" t="str">
        <x:v>CP-SA</x:v>
      </x:c>
      <x:c r="B200" s="97" t="str">
        <x:v>Saudi Arabia</x:v>
      </x:c>
      <x:c r="C200" s="97" t="str">
        <x:v>SA</x:v>
      </x:c>
      <x:c r="D200" s="97" t="str">
        <x:v>SAU</x:v>
      </x:c>
      <x:c r="E200" s="97" t="str">
        <x:v>682</x:v>
      </x:c>
      <x:c r="F200" s="97" t="str">
        <x:v>ISO 3166-1 assigned</x:v>
      </x:c>
      <x:c r="G200" s="97" t="str">
        <x:v>Independent state</x:v>
      </x:c>
      <x:c r="H200" s="97" t="str">
        <x:v>Self-administered for pack indexing; legal status follows authoritative sources</x:v>
      </x:c>
      <x:c r="I200" s="97" t="str">
        <x:v>Asia</x:v>
      </x:c>
      <x:c r="J200" s="97" t="str">
        <x:v>Western Asia</x:v>
      </x:c>
      <x:c r="K200" s="97" t="str">
        <x:v>GCC member; national implementation required</x:v>
      </x:c>
      <x:c r="L200" s="97" t="str">
        <x:v>UPU/operator contract, bilateral rules, EAD/message versions and serviceability must be validated</x:v>
      </x:c>
      <x:c r="M200" s="97" t="str">
        <x:v>ICAO state rules, PLACI regime, security status, carrier routing and serviceability must be validated</x:v>
      </x:c>
      <x:c r="N200" s="97" t="str">
        <x:v>Saudi PDPL and transfer regulation</x:v>
      </x:c>
      <x:c r="O200" s="97" t="str">
        <x:v>Screen live lists for every applicable nexus; resolve ownership, sectoral, end-use and licence controls</x:v>
      </x:c>
      <x:c r="P200" s="97" t="str">
        <x:v>No static legal conclusion. Validate current national/territorial customs, tax, licensing, product, privacy and carrier sources before activation.</x:v>
      </x:c>
      <x:c r="Q200" s="97" t="str">
        <x:v>BLOCKED until tariff, prohibitions, documents and carrier services approved</x:v>
      </x:c>
      <x:c r="R200" s="97" t="str">
        <x:v>BLOCKED until ICAO/state/operator variations and certified review path approved</x:v>
      </x:c>
      <x:c r="S200" s="97" t="str">
        <x:v>BLOCKED until SPS/agency/temperature rules and external filing path approved</x:v>
      </x:c>
      <x:c r="T200" s="97" t="str">
        <x:v>BLOCKED until product/site/importer authorizations and quality path approved</x:v>
      </x:c>
      <x:c r="U200" s="97" t="str">
        <x:v>BLOCKED until excise/licences/age/carrier contract approved</x:v>
      </x:c>
      <x:c r="V200" s="97" t="str">
        <x:v>BLOCKED until classification/end-use/licensing and sanctions path approved</x:v>
      </x:c>
      <x:c r="W200" s="97" t="str">
        <x:v>BLOCKED until provenance/security/insurance/carrier limits approved</x:v>
      </x:c>
      <x:c r="X200" s="97" t="str">
        <x:v>BLOCKED until purpose, values, relief evidence and restrictions approved</x:v>
      </x:c>
      <x:c r="Y200" s="104" t="b">
        <x:v>0</x:v>
      </x:c>
      <x:c r="Z200" s="104" t="b">
        <x:v>0</x:v>
      </x:c>
      <x:c r="AA200" s="104" t="b">
        <x:v>0</x:v>
      </x:c>
      <x:c r="AB200" s="104" t="b">
        <x:v>0</x:v>
      </x:c>
      <x:c r="AC200" s="104" t="b">
        <x:v>0</x:v>
      </x:c>
      <x:c r="AD200" s="106" t="str">
        <x:v>BLOCKED_PENDING_VALIDATION</x:v>
      </x:c>
      <x:c r="AE200" s="97" t="str">
        <x:v>NOT_STARTED</x:v>
      </x:c>
      <x:c r="AF200" s="97" t="str">
        <x:v>Unassigned country-pack owner</x:v>
      </x:c>
      <x:c r="AG200" s="97" t="str">
        <x:v>SRC-CUS-001, SRC-CUS-005, SRC-CUS-007, SRC-DAT-001, SRC-POST-001, SRC-PRV-001, SRC-PRV-015</x:v>
      </x:c>
      <x:c r="AH200" s="97" t="str">
        <x:v>2026-07-25</x:v>
      </x:c>
      <x:c r="AI200" s="97" t="str">
        <x:v>2026-08-25</x:v>
      </x:c>
      <x:c r="AJ200" s="97" t="str">
        <x:v>Registry coverage only. Production readiness is capability-specific and requires the release checklist.</x:v>
      </x:c>
    </x:row>
    <x:row r="201" ht="54" customHeight="1">
      <x:c r="A201" s="99" t="str">
        <x:v>CP-SN</x:v>
      </x:c>
      <x:c r="B201" s="99" t="str">
        <x:v>Senegal</x:v>
      </x:c>
      <x:c r="C201" s="99" t="str">
        <x:v>SN</x:v>
      </x:c>
      <x:c r="D201" s="99" t="str">
        <x:v>SEN</x:v>
      </x:c>
      <x:c r="E201" s="99" t="str">
        <x:v>686</x:v>
      </x:c>
      <x:c r="F201" s="99" t="str">
        <x:v>ISO 3166-1 assigned</x:v>
      </x:c>
      <x:c r="G201" s="99" t="str">
        <x:v>Independent state</x:v>
      </x:c>
      <x:c r="H201" s="99" t="str">
        <x:v>Self-administered for pack indexing; legal status follows authoritative sources</x:v>
      </x:c>
      <x:c r="I201" s="99" t="str">
        <x:v>Africa</x:v>
      </x:c>
      <x:c r="J201" s="99" t="str">
        <x:v>Western Africa</x:v>
      </x:c>
      <x:c r="K201" s="99" t="str">
        <x:v>National/territorial customs framework—local validation required</x:v>
      </x:c>
      <x:c r="L201" s="99" t="str">
        <x:v>UPU/operator contract, bilateral rules, EAD/message versions and serviceability must be validated</x:v>
      </x:c>
      <x:c r="M201" s="99" t="str">
        <x:v>ICAO state rules, PLACI regime, security status, carrier routing and serviceability must be validated</x:v>
      </x:c>
      <x:c r="N201" s="99" t="str">
        <x:v>Country-pack privacy law and transfer mechanism required</x:v>
      </x:c>
      <x:c r="O201" s="99" t="str">
        <x:v>Screen live lists for every applicable nexus; resolve ownership, sectoral, end-use and licence controls</x:v>
      </x:c>
      <x:c r="P201" s="99" t="str">
        <x:v>No static legal conclusion. Validate current national/territorial customs, tax, licensing, product, privacy and carrier sources before activation.</x:v>
      </x:c>
      <x:c r="Q201" s="99" t="str">
        <x:v>BLOCKED until tariff, prohibitions, documents and carrier services approved</x:v>
      </x:c>
      <x:c r="R201" s="99" t="str">
        <x:v>BLOCKED until ICAO/state/operator variations and certified review path approved</x:v>
      </x:c>
      <x:c r="S201" s="99" t="str">
        <x:v>BLOCKED until SPS/agency/temperature rules and external filing path approved</x:v>
      </x:c>
      <x:c r="T201" s="99" t="str">
        <x:v>BLOCKED until product/site/importer authorizations and quality path approved</x:v>
      </x:c>
      <x:c r="U201" s="99" t="str">
        <x:v>BLOCKED until excise/licences/age/carrier contract approved</x:v>
      </x:c>
      <x:c r="V201" s="99" t="str">
        <x:v>BLOCKED until classification/end-use/licensing and sanctions path approved</x:v>
      </x:c>
      <x:c r="W201" s="99" t="str">
        <x:v>BLOCKED until provenance/security/insurance/carrier limits approved</x:v>
      </x:c>
      <x:c r="X201" s="99" t="str">
        <x:v>BLOCKED until purpose, values, relief evidence and restrictions approved</x:v>
      </x:c>
      <x:c r="Y201" s="103" t="b">
        <x:v>0</x:v>
      </x:c>
      <x:c r="Z201" s="103" t="b">
        <x:v>0</x:v>
      </x:c>
      <x:c r="AA201" s="103" t="b">
        <x:v>0</x:v>
      </x:c>
      <x:c r="AB201" s="103" t="b">
        <x:v>0</x:v>
      </x:c>
      <x:c r="AC201" s="103" t="b">
        <x:v>0</x:v>
      </x:c>
      <x:c r="AD201" s="106" t="str">
        <x:v>BLOCKED_PENDING_VALIDATION</x:v>
      </x:c>
      <x:c r="AE201" s="99" t="str">
        <x:v>NOT_STARTED</x:v>
      </x:c>
      <x:c r="AF201" s="99" t="str">
        <x:v>Unassigned country-pack owner</x:v>
      </x:c>
      <x:c r="AG201" s="99" t="str">
        <x:v>SRC-CUS-001, SRC-CUS-005, SRC-CUS-007, SRC-DAT-001, SRC-POST-001, SRC-PRV-001</x:v>
      </x:c>
      <x:c r="AH201" s="99" t="str">
        <x:v>2026-07-25</x:v>
      </x:c>
      <x:c r="AI201" s="99" t="str">
        <x:v>2026-08-25</x:v>
      </x:c>
      <x:c r="AJ201" s="99" t="str">
        <x:v>Registry coverage only. Production readiness is capability-specific and requires the release checklist.</x:v>
      </x:c>
    </x:row>
    <x:row r="202" ht="54" customHeight="1">
      <x:c r="A202" s="97" t="str">
        <x:v>CP-RS</x:v>
      </x:c>
      <x:c r="B202" s="97" t="str">
        <x:v>Serbia</x:v>
      </x:c>
      <x:c r="C202" s="97" t="str">
        <x:v>RS</x:v>
      </x:c>
      <x:c r="D202" s="97" t="str">
        <x:v>SRB</x:v>
      </x:c>
      <x:c r="E202" s="97" t="str">
        <x:v>688</x:v>
      </x:c>
      <x:c r="F202" s="97" t="str">
        <x:v>ISO 3166-1 assigned</x:v>
      </x:c>
      <x:c r="G202" s="97" t="str">
        <x:v>Independent state</x:v>
      </x:c>
      <x:c r="H202" s="97" t="str">
        <x:v>Self-administered for pack indexing; legal status follows authoritative sources</x:v>
      </x:c>
      <x:c r="I202" s="97" t="str">
        <x:v>Europe</x:v>
      </x:c>
      <x:c r="J202" s="97" t="str">
        <x:v>Southeast Europe</x:v>
      </x:c>
      <x:c r="K202" s="97" t="str">
        <x:v>National/territorial customs framework—local validation required</x:v>
      </x:c>
      <x:c r="L202" s="97" t="str">
        <x:v>UPU/operator contract, bilateral rules, EAD/message versions and serviceability must be validated</x:v>
      </x:c>
      <x:c r="M202" s="97" t="str">
        <x:v>ICAO state rules, PLACI regime, security status, carrier routing and serviceability must be validated</x:v>
      </x:c>
      <x:c r="N202" s="97" t="str">
        <x:v>Country-pack privacy law and transfer mechanism required</x:v>
      </x:c>
      <x:c r="O202" s="97" t="str">
        <x:v>Screen live lists for every applicable nexus; resolve ownership, sectoral, end-use and licence controls</x:v>
      </x:c>
      <x:c r="P202" s="97" t="str">
        <x:v>No static legal conclusion. Validate current national/territorial customs, tax, licensing, product, privacy and carrier sources before activation.</x:v>
      </x:c>
      <x:c r="Q202" s="97" t="str">
        <x:v>BLOCKED until tariff, prohibitions, documents and carrier services approved</x:v>
      </x:c>
      <x:c r="R202" s="97" t="str">
        <x:v>BLOCKED until ICAO/state/operator variations and certified review path approved</x:v>
      </x:c>
      <x:c r="S202" s="97" t="str">
        <x:v>BLOCKED until SPS/agency/temperature rules and external filing path approved</x:v>
      </x:c>
      <x:c r="T202" s="97" t="str">
        <x:v>BLOCKED until product/site/importer authorizations and quality path approved</x:v>
      </x:c>
      <x:c r="U202" s="97" t="str">
        <x:v>BLOCKED until excise/licences/age/carrier contract approved</x:v>
      </x:c>
      <x:c r="V202" s="97" t="str">
        <x:v>BLOCKED until classification/end-use/licensing and sanctions path approved</x:v>
      </x:c>
      <x:c r="W202" s="97" t="str">
        <x:v>BLOCKED until provenance/security/insurance/carrier limits approved</x:v>
      </x:c>
      <x:c r="X202" s="97" t="str">
        <x:v>BLOCKED until purpose, values, relief evidence and restrictions approved</x:v>
      </x:c>
      <x:c r="Y202" s="104" t="b">
        <x:v>0</x:v>
      </x:c>
      <x:c r="Z202" s="104" t="b">
        <x:v>0</x:v>
      </x:c>
      <x:c r="AA202" s="104" t="b">
        <x:v>0</x:v>
      </x:c>
      <x:c r="AB202" s="104" t="b">
        <x:v>0</x:v>
      </x:c>
      <x:c r="AC202" s="104" t="b">
        <x:v>0</x:v>
      </x:c>
      <x:c r="AD202" s="106" t="str">
        <x:v>BLOCKED_PENDING_VALIDATION</x:v>
      </x:c>
      <x:c r="AE202" s="97" t="str">
        <x:v>NOT_STARTED</x:v>
      </x:c>
      <x:c r="AF202" s="97" t="str">
        <x:v>Unassigned country-pack owner</x:v>
      </x:c>
      <x:c r="AG202" s="97" t="str">
        <x:v>SRC-CUS-001, SRC-CUS-005, SRC-CUS-007, SRC-DAT-001, SRC-POST-001, SRC-PRV-001</x:v>
      </x:c>
      <x:c r="AH202" s="97" t="str">
        <x:v>2026-07-25</x:v>
      </x:c>
      <x:c r="AI202" s="97" t="str">
        <x:v>2026-08-25</x:v>
      </x:c>
      <x:c r="AJ202" s="97" t="str">
        <x:v>Registry coverage only. Production readiness is capability-specific and requires the release checklist.</x:v>
      </x:c>
    </x:row>
    <x:row r="203" ht="54" customHeight="1">
      <x:c r="A203" s="99" t="str">
        <x:v>CP-SC</x:v>
      </x:c>
      <x:c r="B203" s="99" t="str">
        <x:v>Seychelles</x:v>
      </x:c>
      <x:c r="C203" s="99" t="str">
        <x:v>SC</x:v>
      </x:c>
      <x:c r="D203" s="99" t="str">
        <x:v>SYC</x:v>
      </x:c>
      <x:c r="E203" s="99" t="str">
        <x:v>690</x:v>
      </x:c>
      <x:c r="F203" s="99" t="str">
        <x:v>ISO 3166-1 assigned</x:v>
      </x:c>
      <x:c r="G203" s="99" t="str">
        <x:v>Independent state</x:v>
      </x:c>
      <x:c r="H203" s="99" t="str">
        <x:v>Self-administered for pack indexing; legal status follows authoritative sources</x:v>
      </x:c>
      <x:c r="I203" s="99" t="str">
        <x:v>Africa</x:v>
      </x:c>
      <x:c r="J203" s="99" t="str">
        <x:v>Eastern Africa</x:v>
      </x:c>
      <x:c r="K203" s="99" t="str">
        <x:v>National/territorial customs framework—local validation required</x:v>
      </x:c>
      <x:c r="L203" s="99" t="str">
        <x:v>UPU/operator contract, bilateral rules, EAD/message versions and serviceability must be validated</x:v>
      </x:c>
      <x:c r="M203" s="99" t="str">
        <x:v>ICAO state rules, PLACI regime, security status, carrier routing and serviceability must be validated</x:v>
      </x:c>
      <x:c r="N203" s="99" t="str">
        <x:v>Country-pack privacy law and transfer mechanism required</x:v>
      </x:c>
      <x:c r="O203" s="99" t="str">
        <x:v>Screen live lists for every applicable nexus; resolve ownership, sectoral, end-use and licence controls</x:v>
      </x:c>
      <x:c r="P203" s="99" t="str">
        <x:v>No static legal conclusion. Validate current national/territorial customs, tax, licensing, product, privacy and carrier sources before activation.</x:v>
      </x:c>
      <x:c r="Q203" s="99" t="str">
        <x:v>BLOCKED until tariff, prohibitions, documents and carrier services approved</x:v>
      </x:c>
      <x:c r="R203" s="99" t="str">
        <x:v>BLOCKED until ICAO/state/operator variations and certified review path approved</x:v>
      </x:c>
      <x:c r="S203" s="99" t="str">
        <x:v>BLOCKED until SPS/agency/temperature rules and external filing path approved</x:v>
      </x:c>
      <x:c r="T203" s="99" t="str">
        <x:v>BLOCKED until product/site/importer authorizations and quality path approved</x:v>
      </x:c>
      <x:c r="U203" s="99" t="str">
        <x:v>BLOCKED until excise/licences/age/carrier contract approved</x:v>
      </x:c>
      <x:c r="V203" s="99" t="str">
        <x:v>BLOCKED until classification/end-use/licensing and sanctions path approved</x:v>
      </x:c>
      <x:c r="W203" s="99" t="str">
        <x:v>BLOCKED until provenance/security/insurance/carrier limits approved</x:v>
      </x:c>
      <x:c r="X203" s="99" t="str">
        <x:v>BLOCKED until purpose, values, relief evidence and restrictions approved</x:v>
      </x:c>
      <x:c r="Y203" s="103" t="b">
        <x:v>0</x:v>
      </x:c>
      <x:c r="Z203" s="103" t="b">
        <x:v>0</x:v>
      </x:c>
      <x:c r="AA203" s="103" t="b">
        <x:v>0</x:v>
      </x:c>
      <x:c r="AB203" s="103" t="b">
        <x:v>0</x:v>
      </x:c>
      <x:c r="AC203" s="103" t="b">
        <x:v>0</x:v>
      </x:c>
      <x:c r="AD203" s="106" t="str">
        <x:v>BLOCKED_PENDING_VALIDATION</x:v>
      </x:c>
      <x:c r="AE203" s="99" t="str">
        <x:v>NOT_STARTED</x:v>
      </x:c>
      <x:c r="AF203" s="99" t="str">
        <x:v>Unassigned country-pack owner</x:v>
      </x:c>
      <x:c r="AG203" s="99" t="str">
        <x:v>SRC-CUS-001, SRC-CUS-005, SRC-CUS-007, SRC-DAT-001, SRC-POST-001, SRC-PRV-001</x:v>
      </x:c>
      <x:c r="AH203" s="99" t="str">
        <x:v>2026-07-25</x:v>
      </x:c>
      <x:c r="AI203" s="99" t="str">
        <x:v>2026-08-25</x:v>
      </x:c>
      <x:c r="AJ203" s="99" t="str">
        <x:v>Registry coverage only. Production readiness is capability-specific and requires the release checklist.</x:v>
      </x:c>
    </x:row>
    <x:row r="204" ht="54" customHeight="1">
      <x:c r="A204" s="97" t="str">
        <x:v>CP-SL</x:v>
      </x:c>
      <x:c r="B204" s="97" t="str">
        <x:v>Sierra Leone</x:v>
      </x:c>
      <x:c r="C204" s="97" t="str">
        <x:v>SL</x:v>
      </x:c>
      <x:c r="D204" s="97" t="str">
        <x:v>SLE</x:v>
      </x:c>
      <x:c r="E204" s="97" t="str">
        <x:v>694</x:v>
      </x:c>
      <x:c r="F204" s="97" t="str">
        <x:v>ISO 3166-1 assigned</x:v>
      </x:c>
      <x:c r="G204" s="97" t="str">
        <x:v>Independent state</x:v>
      </x:c>
      <x:c r="H204" s="97" t="str">
        <x:v>Self-administered for pack indexing; legal status follows authoritative sources</x:v>
      </x:c>
      <x:c r="I204" s="97" t="str">
        <x:v>Africa</x:v>
      </x:c>
      <x:c r="J204" s="97" t="str">
        <x:v>Western Africa</x:v>
      </x:c>
      <x:c r="K204" s="97" t="str">
        <x:v>National/territorial customs framework—local validation required</x:v>
      </x:c>
      <x:c r="L204" s="97" t="str">
        <x:v>UPU/operator contract, bilateral rules, EAD/message versions and serviceability must be validated</x:v>
      </x:c>
      <x:c r="M204" s="97" t="str">
        <x:v>ICAO state rules, PLACI regime, security status, carrier routing and serviceability must be validated</x:v>
      </x:c>
      <x:c r="N204" s="97" t="str">
        <x:v>Country-pack privacy law and transfer mechanism required</x:v>
      </x:c>
      <x:c r="O204" s="97" t="str">
        <x:v>Screen live lists for every applicable nexus; resolve ownership, sectoral, end-use and licence controls</x:v>
      </x:c>
      <x:c r="P204" s="97" t="str">
        <x:v>No static legal conclusion. Validate current national/territorial customs, tax, licensing, product, privacy and carrier sources before activation.</x:v>
      </x:c>
      <x:c r="Q204" s="97" t="str">
        <x:v>BLOCKED until tariff, prohibitions, documents and carrier services approved</x:v>
      </x:c>
      <x:c r="R204" s="97" t="str">
        <x:v>BLOCKED until ICAO/state/operator variations and certified review path approved</x:v>
      </x:c>
      <x:c r="S204" s="97" t="str">
        <x:v>BLOCKED until SPS/agency/temperature rules and external filing path approved</x:v>
      </x:c>
      <x:c r="T204" s="97" t="str">
        <x:v>BLOCKED until product/site/importer authorizations and quality path approved</x:v>
      </x:c>
      <x:c r="U204" s="97" t="str">
        <x:v>BLOCKED until excise/licences/age/carrier contract approved</x:v>
      </x:c>
      <x:c r="V204" s="97" t="str">
        <x:v>BLOCKED until classification/end-use/licensing and sanctions path approved</x:v>
      </x:c>
      <x:c r="W204" s="97" t="str">
        <x:v>BLOCKED until provenance/security/insurance/carrier limits approved</x:v>
      </x:c>
      <x:c r="X204" s="97" t="str">
        <x:v>BLOCKED until purpose, values, relief evidence and restrictions approved</x:v>
      </x:c>
      <x:c r="Y204" s="104" t="b">
        <x:v>0</x:v>
      </x:c>
      <x:c r="Z204" s="104" t="b">
        <x:v>0</x:v>
      </x:c>
      <x:c r="AA204" s="104" t="b">
        <x:v>0</x:v>
      </x:c>
      <x:c r="AB204" s="104" t="b">
        <x:v>0</x:v>
      </x:c>
      <x:c r="AC204" s="104" t="b">
        <x:v>0</x:v>
      </x:c>
      <x:c r="AD204" s="106" t="str">
        <x:v>BLOCKED_PENDING_VALIDATION</x:v>
      </x:c>
      <x:c r="AE204" s="97" t="str">
        <x:v>NOT_STARTED</x:v>
      </x:c>
      <x:c r="AF204" s="97" t="str">
        <x:v>Unassigned country-pack owner</x:v>
      </x:c>
      <x:c r="AG204" s="97" t="str">
        <x:v>SRC-CUS-001, SRC-CUS-005, SRC-CUS-007, SRC-DAT-001, SRC-POST-001, SRC-PRV-001</x:v>
      </x:c>
      <x:c r="AH204" s="97" t="str">
        <x:v>2026-07-25</x:v>
      </x:c>
      <x:c r="AI204" s="97" t="str">
        <x:v>2026-08-25</x:v>
      </x:c>
      <x:c r="AJ204" s="97" t="str">
        <x:v>Registry coverage only. Production readiness is capability-specific and requires the release checklist.</x:v>
      </x:c>
    </x:row>
    <x:row r="205" ht="54" customHeight="1">
      <x:c r="A205" s="99" t="str">
        <x:v>CP-SG</x:v>
      </x:c>
      <x:c r="B205" s="99" t="str">
        <x:v>Singapore</x:v>
      </x:c>
      <x:c r="C205" s="99" t="str">
        <x:v>SG</x:v>
      </x:c>
      <x:c r="D205" s="99" t="str">
        <x:v>SGP</x:v>
      </x:c>
      <x:c r="E205" s="99" t="str">
        <x:v>702</x:v>
      </x:c>
      <x:c r="F205" s="99" t="str">
        <x:v>ISO 3166-1 assigned</x:v>
      </x:c>
      <x:c r="G205" s="99" t="str">
        <x:v>Independent state</x:v>
      </x:c>
      <x:c r="H205" s="99" t="str">
        <x:v>Self-administered for pack indexing; legal status follows authoritative sources</x:v>
      </x:c>
      <x:c r="I205" s="99" t="str">
        <x:v>Asia</x:v>
      </x:c>
      <x:c r="J205" s="99" t="str">
        <x:v>South-Eastern Asia</x:v>
      </x:c>
      <x:c r="K205" s="99" t="str">
        <x:v>National/territorial customs framework—local validation required</x:v>
      </x:c>
      <x:c r="L205" s="99" t="str">
        <x:v>UPU/operator contract, bilateral rules, EAD/message versions and serviceability must be validated</x:v>
      </x:c>
      <x:c r="M205" s="99" t="str">
        <x:v>ICAO state rules, PLACI regime, security status, carrier routing and serviceability must be validated</x:v>
      </x:c>
      <x:c r="N205" s="99" t="str">
        <x:v>PDPA</x:v>
      </x:c>
      <x:c r="O205" s="99" t="str">
        <x:v>Screen live lists for every applicable nexus; resolve ownership, sectoral, end-use and licence controls</x:v>
      </x:c>
      <x:c r="P205" s="99" t="str">
        <x:v>No static legal conclusion. Validate current national/territorial customs, tax, licensing, product, privacy and carrier sources before activation.</x:v>
      </x:c>
      <x:c r="Q205" s="99" t="str">
        <x:v>BLOCKED until tariff, prohibitions, documents and carrier services approved</x:v>
      </x:c>
      <x:c r="R205" s="99" t="str">
        <x:v>BLOCKED until ICAO/state/operator variations and certified review path approved</x:v>
      </x:c>
      <x:c r="S205" s="99" t="str">
        <x:v>BLOCKED until SPS/agency/temperature rules and external filing path approved</x:v>
      </x:c>
      <x:c r="T205" s="99" t="str">
        <x:v>BLOCKED until product/site/importer authorizations and quality path approved</x:v>
      </x:c>
      <x:c r="U205" s="99" t="str">
        <x:v>BLOCKED until excise/licences/age/carrier contract approved</x:v>
      </x:c>
      <x:c r="V205" s="99" t="str">
        <x:v>BLOCKED until classification/end-use/licensing and sanctions path approved</x:v>
      </x:c>
      <x:c r="W205" s="99" t="str">
        <x:v>BLOCKED until provenance/security/insurance/carrier limits approved</x:v>
      </x:c>
      <x:c r="X205" s="99" t="str">
        <x:v>BLOCKED until purpose, values, relief evidence and restrictions approved</x:v>
      </x:c>
      <x:c r="Y205" s="103" t="b">
        <x:v>0</x:v>
      </x:c>
      <x:c r="Z205" s="103" t="b">
        <x:v>0</x:v>
      </x:c>
      <x:c r="AA205" s="103" t="b">
        <x:v>0</x:v>
      </x:c>
      <x:c r="AB205" s="103" t="b">
        <x:v>0</x:v>
      </x:c>
      <x:c r="AC205" s="103" t="b">
        <x:v>0</x:v>
      </x:c>
      <x:c r="AD205" s="106" t="str">
        <x:v>BLOCKED_PENDING_VALIDATION</x:v>
      </x:c>
      <x:c r="AE205" s="99" t="str">
        <x:v>NOT_STARTED</x:v>
      </x:c>
      <x:c r="AF205" s="99" t="str">
        <x:v>Unassigned country-pack owner</x:v>
      </x:c>
      <x:c r="AG205" s="99" t="str">
        <x:v>SRC-CUS-001, SRC-CUS-005, SRC-CUS-007, SRC-DAT-001, SRC-POST-001, SRC-PRV-001, SRC-PRV-007</x:v>
      </x:c>
      <x:c r="AH205" s="99" t="str">
        <x:v>2026-07-25</x:v>
      </x:c>
      <x:c r="AI205" s="99" t="str">
        <x:v>2026-08-25</x:v>
      </x:c>
      <x:c r="AJ205" s="99" t="str">
        <x:v>Registry coverage only. Production readiness is capability-specific and requires the release checklist.</x:v>
      </x:c>
    </x:row>
    <x:row r="206" ht="54" customHeight="1">
      <x:c r="A206" s="97" t="str">
        <x:v>CP-SX</x:v>
      </x:c>
      <x:c r="B206" s="97" t="str">
        <x:v>Sint Maarten</x:v>
      </x:c>
      <x:c r="C206" s="97" t="str">
        <x:v>SX</x:v>
      </x:c>
      <x:c r="D206" s="97" t="str">
        <x:v>SXM</x:v>
      </x:c>
      <x:c r="E206" s="97" t="str">
        <x:v>534</x:v>
      </x:c>
      <x:c r="F206" s="97" t="str">
        <x:v>ISO 3166-1 assigned</x:v>
      </x:c>
      <x:c r="G206" s="97" t="str">
        <x:v>Territory, dependency or special-area record</x:v>
      </x:c>
      <x:c r="H206" s="97" t="str">
        <x:v>Kingdom of the Netherlands</x:v>
      </x:c>
      <x:c r="I206" s="97" t="str">
        <x:v>Americas</x:v>
      </x:c>
      <x:c r="J206" s="97" t="str">
        <x:v>Caribbean</x:v>
      </x:c>
      <x:c r="K206" s="97" t="str">
        <x:v>National/territorial customs framework—local validation required</x:v>
      </x:c>
      <x:c r="L206" s="97" t="str">
        <x:v>UPU/operator contract, bilateral rules, EAD/message versions and serviceability must be validated</x:v>
      </x:c>
      <x:c r="M206" s="97" t="str">
        <x:v>ICAO state rules, PLACI regime, security status, carrier routing and serviceability must be validated</x:v>
      </x:c>
      <x:c r="N206" s="97" t="str">
        <x:v>Country-pack privacy law and transfer mechanism required</x:v>
      </x:c>
      <x:c r="O206" s="97" t="str">
        <x:v>Screen live lists for every applicable nexus; resolve ownership, sectoral, end-use and licence controls</x:v>
      </x:c>
      <x:c r="P206" s="97" t="str">
        <x:v>No static legal conclusion. Validate current national/territorial customs, tax, licensing, product, privacy and carrier sources before activation.</x:v>
      </x:c>
      <x:c r="Q206" s="97" t="str">
        <x:v>BLOCKED until tariff, prohibitions, documents and carrier services approved</x:v>
      </x:c>
      <x:c r="R206" s="97" t="str">
        <x:v>BLOCKED until ICAO/state/operator variations and certified review path approved</x:v>
      </x:c>
      <x:c r="S206" s="97" t="str">
        <x:v>BLOCKED until SPS/agency/temperature rules and external filing path approved</x:v>
      </x:c>
      <x:c r="T206" s="97" t="str">
        <x:v>BLOCKED until product/site/importer authorizations and quality path approved</x:v>
      </x:c>
      <x:c r="U206" s="97" t="str">
        <x:v>BLOCKED until excise/licences/age/carrier contract approved</x:v>
      </x:c>
      <x:c r="V206" s="97" t="str">
        <x:v>BLOCKED until classification/end-use/licensing and sanctions path approved</x:v>
      </x:c>
      <x:c r="W206" s="97" t="str">
        <x:v>BLOCKED until provenance/security/insurance/carrier limits approved</x:v>
      </x:c>
      <x:c r="X206" s="97" t="str">
        <x:v>BLOCKED until purpose, values, relief evidence and restrictions approved</x:v>
      </x:c>
      <x:c r="Y206" s="104" t="b">
        <x:v>0</x:v>
      </x:c>
      <x:c r="Z206" s="104" t="b">
        <x:v>0</x:v>
      </x:c>
      <x:c r="AA206" s="104" t="b">
        <x:v>0</x:v>
      </x:c>
      <x:c r="AB206" s="104" t="b">
        <x:v>0</x:v>
      </x:c>
      <x:c r="AC206" s="104" t="b">
        <x:v>0</x:v>
      </x:c>
      <x:c r="AD206" s="106" t="str">
        <x:v>BLOCKED_PENDING_VALIDATION</x:v>
      </x:c>
      <x:c r="AE206" s="97" t="str">
        <x:v>NOT_STARTED</x:v>
      </x:c>
      <x:c r="AF206" s="97" t="str">
        <x:v>Unassigned country-pack owner</x:v>
      </x:c>
      <x:c r="AG206" s="97" t="str">
        <x:v>SRC-CUS-001, SRC-CUS-005, SRC-CUS-007, SRC-DAT-001, SRC-POST-001, SRC-PRV-001</x:v>
      </x:c>
      <x:c r="AH206" s="97" t="str">
        <x:v>2026-07-25</x:v>
      </x:c>
      <x:c r="AI206" s="97" t="str">
        <x:v>2026-08-25</x:v>
      </x:c>
      <x:c r="AJ206" s="97" t="str">
        <x:v>Registry coverage only. Production readiness is capability-specific and requires the release checklist.</x:v>
      </x:c>
    </x:row>
    <x:row r="207" ht="54" customHeight="1">
      <x:c r="A207" s="99" t="str">
        <x:v>CP-SK</x:v>
      </x:c>
      <x:c r="B207" s="99" t="str">
        <x:v>Slovakia</x:v>
      </x:c>
      <x:c r="C207" s="99" t="str">
        <x:v>SK</x:v>
      </x:c>
      <x:c r="D207" s="99" t="str">
        <x:v>SVK</x:v>
      </x:c>
      <x:c r="E207" s="99" t="str">
        <x:v>703</x:v>
      </x:c>
      <x:c r="F207" s="99" t="str">
        <x:v>ISO 3166-1 assigned</x:v>
      </x:c>
      <x:c r="G207" s="99" t="str">
        <x:v>Independent state</x:v>
      </x:c>
      <x:c r="H207" s="99" t="str">
        <x:v>Self-administered for pack indexing; legal status follows authoritative sources</x:v>
      </x:c>
      <x:c r="I207" s="99" t="str">
        <x:v>Europe</x:v>
      </x:c>
      <x:c r="J207" s="99" t="str">
        <x:v>Central Europe</x:v>
      </x:c>
      <x:c r="K207" s="99" t="str">
        <x:v>EU customs framework; validate special fiscal/customs territory</x:v>
      </x:c>
      <x:c r="L207" s="99" t="str">
        <x:v>UPU/operator contract, bilateral rules, EAD/message versions and serviceability must be validated</x:v>
      </x:c>
      <x:c r="M207" s="99" t="str">
        <x:v>ICAO state rules, PLACI regime, security status, carrier routing and serviceability must be validated</x:v>
      </x:c>
      <x:c r="N207" s="99" t="str">
        <x:v>GDPR/EEA transfer controls; local supplements</x:v>
      </x:c>
      <x:c r="O207" s="99" t="str">
        <x:v>Screen live lists for every applicable nexus; resolve ownership, sectoral, end-use and licence controls</x:v>
      </x:c>
      <x:c r="P207" s="99" t="str">
        <x:v>EU baseline: ICS2/ENS and current low-value/VAT rules; member and special-territory validation still required.</x:v>
      </x:c>
      <x:c r="Q207" s="99" t="str">
        <x:v>BLOCKED until tariff, prohibitions, documents and carrier services approved</x:v>
      </x:c>
      <x:c r="R207" s="99" t="str">
        <x:v>BLOCKED until ICAO/state/operator variations and certified review path approved</x:v>
      </x:c>
      <x:c r="S207" s="99" t="str">
        <x:v>BLOCKED until SPS/agency/temperature rules and external filing path approved</x:v>
      </x:c>
      <x:c r="T207" s="99" t="str">
        <x:v>BLOCKED until product/site/importer authorizations and quality path approved</x:v>
      </x:c>
      <x:c r="U207" s="99" t="str">
        <x:v>BLOCKED until excise/licences/age/carrier contract approved</x:v>
      </x:c>
      <x:c r="V207" s="99" t="str">
        <x:v>BLOCKED until classification/end-use/licensing and sanctions path approved</x:v>
      </x:c>
      <x:c r="W207" s="99" t="str">
        <x:v>BLOCKED until provenance/security/insurance/carrier limits approved</x:v>
      </x:c>
      <x:c r="X207" s="99" t="str">
        <x:v>BLOCKED until purpose, values, relief evidence and restrictions approved</x:v>
      </x:c>
      <x:c r="Y207" s="103" t="b">
        <x:v>0</x:v>
      </x:c>
      <x:c r="Z207" s="103" t="b">
        <x:v>0</x:v>
      </x:c>
      <x:c r="AA207" s="103" t="b">
        <x:v>0</x:v>
      </x:c>
      <x:c r="AB207" s="103" t="b">
        <x:v>0</x:v>
      </x:c>
      <x:c r="AC207" s="103" t="b">
        <x:v>0</x:v>
      </x:c>
      <x:c r="AD207" s="106" t="str">
        <x:v>BLOCKED_PENDING_VALIDATION</x:v>
      </x:c>
      <x:c r="AE207" s="99" t="str">
        <x:v>NOT_STARTED</x:v>
      </x:c>
      <x:c r="AF207" s="99" t="str">
        <x:v>Unassigned country-pack owner</x:v>
      </x:c>
      <x:c r="AG207" s="99" t="str">
        <x:v>SRC-CUS-001, SRC-CUS-005, SRC-CUS-007, SRC-DAT-001, SRC-POST-001, SRC-PRV-001, SRC-EU-001, SRC-EU-002, SRC-EU-003, SRC-EU-004, SRC-PRV-002</x:v>
      </x:c>
      <x:c r="AH207" s="99" t="str">
        <x:v>2026-07-25</x:v>
      </x:c>
      <x:c r="AI207" s="99" t="str">
        <x:v>2026-08-25</x:v>
      </x:c>
      <x:c r="AJ207" s="99" t="str">
        <x:v>Registry coverage only. Production readiness is capability-specific and requires the release checklist.</x:v>
      </x:c>
    </x:row>
    <x:row r="208" ht="54" customHeight="1">
      <x:c r="A208" s="97" t="str">
        <x:v>CP-SI</x:v>
      </x:c>
      <x:c r="B208" s="97" t="str">
        <x:v>Slovenia</x:v>
      </x:c>
      <x:c r="C208" s="97" t="str">
        <x:v>SI</x:v>
      </x:c>
      <x:c r="D208" s="97" t="str">
        <x:v>SVN</x:v>
      </x:c>
      <x:c r="E208" s="97" t="str">
        <x:v>705</x:v>
      </x:c>
      <x:c r="F208" s="97" t="str">
        <x:v>ISO 3166-1 assigned</x:v>
      </x:c>
      <x:c r="G208" s="97" t="str">
        <x:v>Independent state</x:v>
      </x:c>
      <x:c r="H208" s="97" t="str">
        <x:v>Self-administered for pack indexing; legal status follows authoritative sources</x:v>
      </x:c>
      <x:c r="I208" s="97" t="str">
        <x:v>Europe</x:v>
      </x:c>
      <x:c r="J208" s="97" t="str">
        <x:v>Central Europe</x:v>
      </x:c>
      <x:c r="K208" s="97" t="str">
        <x:v>EU customs framework; validate special fiscal/customs territory</x:v>
      </x:c>
      <x:c r="L208" s="97" t="str">
        <x:v>UPU/operator contract, bilateral rules, EAD/message versions and serviceability must be validated</x:v>
      </x:c>
      <x:c r="M208" s="97" t="str">
        <x:v>ICAO state rules, PLACI regime, security status, carrier routing and serviceability must be validated</x:v>
      </x:c>
      <x:c r="N208" s="97" t="str">
        <x:v>GDPR/EEA transfer controls; local supplements</x:v>
      </x:c>
      <x:c r="O208" s="97" t="str">
        <x:v>Screen live lists for every applicable nexus; resolve ownership, sectoral, end-use and licence controls</x:v>
      </x:c>
      <x:c r="P208" s="97" t="str">
        <x:v>EU baseline: ICS2/ENS and current low-value/VAT rules; member and special-territory validation still required.</x:v>
      </x:c>
      <x:c r="Q208" s="97" t="str">
        <x:v>BLOCKED until tariff, prohibitions, documents and carrier services approved</x:v>
      </x:c>
      <x:c r="R208" s="97" t="str">
        <x:v>BLOCKED until ICAO/state/operator variations and certified review path approved</x:v>
      </x:c>
      <x:c r="S208" s="97" t="str">
        <x:v>BLOCKED until SPS/agency/temperature rules and external filing path approved</x:v>
      </x:c>
      <x:c r="T208" s="97" t="str">
        <x:v>BLOCKED until product/site/importer authorizations and quality path approved</x:v>
      </x:c>
      <x:c r="U208" s="97" t="str">
        <x:v>BLOCKED until excise/licences/age/carrier contract approved</x:v>
      </x:c>
      <x:c r="V208" s="97" t="str">
        <x:v>BLOCKED until classification/end-use/licensing and sanctions path approved</x:v>
      </x:c>
      <x:c r="W208" s="97" t="str">
        <x:v>BLOCKED until provenance/security/insurance/carrier limits approved</x:v>
      </x:c>
      <x:c r="X208" s="97" t="str">
        <x:v>BLOCKED until purpose, values, relief evidence and restrictions approved</x:v>
      </x:c>
      <x:c r="Y208" s="104" t="b">
        <x:v>0</x:v>
      </x:c>
      <x:c r="Z208" s="104" t="b">
        <x:v>0</x:v>
      </x:c>
      <x:c r="AA208" s="104" t="b">
        <x:v>0</x:v>
      </x:c>
      <x:c r="AB208" s="104" t="b">
        <x:v>0</x:v>
      </x:c>
      <x:c r="AC208" s="104" t="b">
        <x:v>0</x:v>
      </x:c>
      <x:c r="AD208" s="106" t="str">
        <x:v>BLOCKED_PENDING_VALIDATION</x:v>
      </x:c>
      <x:c r="AE208" s="97" t="str">
        <x:v>NOT_STARTED</x:v>
      </x:c>
      <x:c r="AF208" s="97" t="str">
        <x:v>Unassigned country-pack owner</x:v>
      </x:c>
      <x:c r="AG208" s="97" t="str">
        <x:v>SRC-CUS-001, SRC-CUS-005, SRC-CUS-007, SRC-DAT-001, SRC-POST-001, SRC-PRV-001, SRC-EU-001, SRC-EU-002, SRC-EU-003, SRC-EU-004, SRC-PRV-002</x:v>
      </x:c>
      <x:c r="AH208" s="97" t="str">
        <x:v>2026-07-25</x:v>
      </x:c>
      <x:c r="AI208" s="97" t="str">
        <x:v>2026-08-25</x:v>
      </x:c>
      <x:c r="AJ208" s="97" t="str">
        <x:v>Registry coverage only. Production readiness is capability-specific and requires the release checklist.</x:v>
      </x:c>
    </x:row>
    <x:row r="209" ht="54" customHeight="1">
      <x:c r="A209" s="99" t="str">
        <x:v>CP-SB</x:v>
      </x:c>
      <x:c r="B209" s="99" t="str">
        <x:v>Solomon Islands</x:v>
      </x:c>
      <x:c r="C209" s="99" t="str">
        <x:v>SB</x:v>
      </x:c>
      <x:c r="D209" s="99" t="str">
        <x:v>SLB</x:v>
      </x:c>
      <x:c r="E209" s="99" t="str">
        <x:v>090</x:v>
      </x:c>
      <x:c r="F209" s="99" t="str">
        <x:v>ISO 3166-1 assigned</x:v>
      </x:c>
      <x:c r="G209" s="99" t="str">
        <x:v>Independent state</x:v>
      </x:c>
      <x:c r="H209" s="99" t="str">
        <x:v>Self-administered for pack indexing; legal status follows authoritative sources</x:v>
      </x:c>
      <x:c r="I209" s="99" t="str">
        <x:v>Oceania</x:v>
      </x:c>
      <x:c r="J209" s="99" t="str">
        <x:v>Melanesia</x:v>
      </x:c>
      <x:c r="K209" s="99" t="str">
        <x:v>National/territorial customs framework—local validation required</x:v>
      </x:c>
      <x:c r="L209" s="99" t="str">
        <x:v>UPU/operator contract, bilateral rules, EAD/message versions and serviceability must be validated</x:v>
      </x:c>
      <x:c r="M209" s="99" t="str">
        <x:v>ICAO state rules, PLACI regime, security status, carrier routing and serviceability must be validated</x:v>
      </x:c>
      <x:c r="N209" s="99" t="str">
        <x:v>Country-pack privacy law and transfer mechanism required</x:v>
      </x:c>
      <x:c r="O209" s="99" t="str">
        <x:v>Screen live lists for every applicable nexus; resolve ownership, sectoral, end-use and licence controls</x:v>
      </x:c>
      <x:c r="P209" s="99" t="str">
        <x:v>No static legal conclusion. Validate current national/territorial customs, tax, licensing, product, privacy and carrier sources before activation.</x:v>
      </x:c>
      <x:c r="Q209" s="99" t="str">
        <x:v>BLOCKED until tariff, prohibitions, documents and carrier services approved</x:v>
      </x:c>
      <x:c r="R209" s="99" t="str">
        <x:v>BLOCKED until ICAO/state/operator variations and certified review path approved</x:v>
      </x:c>
      <x:c r="S209" s="99" t="str">
        <x:v>BLOCKED until SPS/agency/temperature rules and external filing path approved</x:v>
      </x:c>
      <x:c r="T209" s="99" t="str">
        <x:v>BLOCKED until product/site/importer authorizations and quality path approved</x:v>
      </x:c>
      <x:c r="U209" s="99" t="str">
        <x:v>BLOCKED until excise/licences/age/carrier contract approved</x:v>
      </x:c>
      <x:c r="V209" s="99" t="str">
        <x:v>BLOCKED until classification/end-use/licensing and sanctions path approved</x:v>
      </x:c>
      <x:c r="W209" s="99" t="str">
        <x:v>BLOCKED until provenance/security/insurance/carrier limits approved</x:v>
      </x:c>
      <x:c r="X209" s="99" t="str">
        <x:v>BLOCKED until purpose, values, relief evidence and restrictions approved</x:v>
      </x:c>
      <x:c r="Y209" s="103" t="b">
        <x:v>0</x:v>
      </x:c>
      <x:c r="Z209" s="103" t="b">
        <x:v>0</x:v>
      </x:c>
      <x:c r="AA209" s="103" t="b">
        <x:v>0</x:v>
      </x:c>
      <x:c r="AB209" s="103" t="b">
        <x:v>0</x:v>
      </x:c>
      <x:c r="AC209" s="103" t="b">
        <x:v>0</x:v>
      </x:c>
      <x:c r="AD209" s="106" t="str">
        <x:v>BLOCKED_PENDING_VALIDATION</x:v>
      </x:c>
      <x:c r="AE209" s="99" t="str">
        <x:v>NOT_STARTED</x:v>
      </x:c>
      <x:c r="AF209" s="99" t="str">
        <x:v>Unassigned country-pack owner</x:v>
      </x:c>
      <x:c r="AG209" s="99" t="str">
        <x:v>SRC-CUS-001, SRC-CUS-005, SRC-CUS-007, SRC-DAT-001, SRC-POST-001, SRC-PRV-001</x:v>
      </x:c>
      <x:c r="AH209" s="99" t="str">
        <x:v>2026-07-25</x:v>
      </x:c>
      <x:c r="AI209" s="99" t="str">
        <x:v>2026-08-25</x:v>
      </x:c>
      <x:c r="AJ209" s="99" t="str">
        <x:v>Registry coverage only. Production readiness is capability-specific and requires the release checklist.</x:v>
      </x:c>
    </x:row>
    <x:row r="210" ht="54" customHeight="1">
      <x:c r="A210" s="97" t="str">
        <x:v>CP-SO</x:v>
      </x:c>
      <x:c r="B210" s="97" t="str">
        <x:v>Somalia</x:v>
      </x:c>
      <x:c r="C210" s="97" t="str">
        <x:v>SO</x:v>
      </x:c>
      <x:c r="D210" s="97" t="str">
        <x:v>SOM</x:v>
      </x:c>
      <x:c r="E210" s="97" t="str">
        <x:v>706</x:v>
      </x:c>
      <x:c r="F210" s="97" t="str">
        <x:v>ISO 3166-1 assigned</x:v>
      </x:c>
      <x:c r="G210" s="97" t="str">
        <x:v>Independent state</x:v>
      </x:c>
      <x:c r="H210" s="97" t="str">
        <x:v>Self-administered for pack indexing; legal status follows authoritative sources</x:v>
      </x:c>
      <x:c r="I210" s="97" t="str">
        <x:v>Africa</x:v>
      </x:c>
      <x:c r="J210" s="97" t="str">
        <x:v>Eastern Africa</x:v>
      </x:c>
      <x:c r="K210" s="97" t="str">
        <x:v>EAC member; national implementation required</x:v>
      </x:c>
      <x:c r="L210" s="97" t="str">
        <x:v>UPU/operator contract, bilateral rules, EAD/message versions and serviceability must be validated</x:v>
      </x:c>
      <x:c r="M210" s="97" t="str">
        <x:v>ICAO state rules, PLACI regime, security status, carrier routing and serviceability must be validated</x:v>
      </x:c>
      <x:c r="N210" s="97" t="str">
        <x:v>Country-pack privacy law and transfer mechanism required</x:v>
      </x:c>
      <x:c r="O210" s="97" t="str">
        <x:v>Screen live lists for every applicable nexus; resolve ownership, sectoral, end-use and licence controls</x:v>
      </x:c>
      <x:c r="P210" s="97" t="str">
        <x:v>No static legal conclusion. Validate current national/territorial customs, tax, licensing, product, privacy and carrier sources before activation.</x:v>
      </x:c>
      <x:c r="Q210" s="97" t="str">
        <x:v>BLOCKED until tariff, prohibitions, documents and carrier services approved</x:v>
      </x:c>
      <x:c r="R210" s="97" t="str">
        <x:v>BLOCKED until ICAO/state/operator variations and certified review path approved</x:v>
      </x:c>
      <x:c r="S210" s="97" t="str">
        <x:v>BLOCKED until SPS/agency/temperature rules and external filing path approved</x:v>
      </x:c>
      <x:c r="T210" s="97" t="str">
        <x:v>BLOCKED until product/site/importer authorizations and quality path approved</x:v>
      </x:c>
      <x:c r="U210" s="97" t="str">
        <x:v>BLOCKED until excise/licences/age/carrier contract approved</x:v>
      </x:c>
      <x:c r="V210" s="97" t="str">
        <x:v>BLOCKED until classification/end-use/licensing and sanctions path approved</x:v>
      </x:c>
      <x:c r="W210" s="97" t="str">
        <x:v>BLOCKED until provenance/security/insurance/carrier limits approved</x:v>
      </x:c>
      <x:c r="X210" s="97" t="str">
        <x:v>BLOCKED until purpose, values, relief evidence and restrictions approved</x:v>
      </x:c>
      <x:c r="Y210" s="104" t="b">
        <x:v>0</x:v>
      </x:c>
      <x:c r="Z210" s="104" t="b">
        <x:v>0</x:v>
      </x:c>
      <x:c r="AA210" s="104" t="b">
        <x:v>0</x:v>
      </x:c>
      <x:c r="AB210" s="104" t="b">
        <x:v>0</x:v>
      </x:c>
      <x:c r="AC210" s="104" t="b">
        <x:v>0</x:v>
      </x:c>
      <x:c r="AD210" s="106" t="str">
        <x:v>BLOCKED_PENDING_VALIDATION</x:v>
      </x:c>
      <x:c r="AE210" s="97" t="str">
        <x:v>NOT_STARTED</x:v>
      </x:c>
      <x:c r="AF210" s="97" t="str">
        <x:v>Unassigned country-pack owner</x:v>
      </x:c>
      <x:c r="AG210" s="97" t="str">
        <x:v>SRC-CUS-001, SRC-CUS-005, SRC-CUS-007, SRC-DAT-001, SRC-POST-001, SRC-PRV-001</x:v>
      </x:c>
      <x:c r="AH210" s="97" t="str">
        <x:v>2026-07-25</x:v>
      </x:c>
      <x:c r="AI210" s="97" t="str">
        <x:v>2026-08-25</x:v>
      </x:c>
      <x:c r="AJ210" s="97" t="str">
        <x:v>Registry coverage only. Production readiness is capability-specific and requires the release checklist.</x:v>
      </x:c>
    </x:row>
    <x:row r="211" ht="54" customHeight="1">
      <x:c r="A211" s="99" t="str">
        <x:v>CP-ZA</x:v>
      </x:c>
      <x:c r="B211" s="99" t="str">
        <x:v>South Africa</x:v>
      </x:c>
      <x:c r="C211" s="99" t="str">
        <x:v>ZA</x:v>
      </x:c>
      <x:c r="D211" s="99" t="str">
        <x:v>ZAF</x:v>
      </x:c>
      <x:c r="E211" s="99" t="str">
        <x:v>710</x:v>
      </x:c>
      <x:c r="F211" s="99" t="str">
        <x:v>ISO 3166-1 assigned</x:v>
      </x:c>
      <x:c r="G211" s="99" t="str">
        <x:v>Independent state</x:v>
      </x:c>
      <x:c r="H211" s="99" t="str">
        <x:v>Self-administered for pack indexing; legal status follows authoritative sources</x:v>
      </x:c>
      <x:c r="I211" s="99" t="str">
        <x:v>Africa</x:v>
      </x:c>
      <x:c r="J211" s="99" t="str">
        <x:v>Southern Africa</x:v>
      </x:c>
      <x:c r="K211" s="99" t="str">
        <x:v>SACU member; national VAT/import controls required</x:v>
      </x:c>
      <x:c r="L211" s="99" t="str">
        <x:v>UPU/operator contract, bilateral rules, EAD/message versions and serviceability must be validated</x:v>
      </x:c>
      <x:c r="M211" s="99" t="str">
        <x:v>ICAO state rules, PLACI regime, security status, carrier routing and serviceability must be validated</x:v>
      </x:c>
      <x:c r="N211" s="99" t="str">
        <x:v>POPIA</x:v>
      </x:c>
      <x:c r="O211" s="99" t="str">
        <x:v>Screen live lists for every applicable nexus; resolve ownership, sectoral, end-use and licence controls</x:v>
      </x:c>
      <x:c r="P211" s="99" t="str">
        <x:v>No static legal conclusion. Validate current national/territorial customs, tax, licensing, product, privacy and carrier sources before activation.</x:v>
      </x:c>
      <x:c r="Q211" s="99" t="str">
        <x:v>BLOCKED until tariff, prohibitions, documents and carrier services approved</x:v>
      </x:c>
      <x:c r="R211" s="99" t="str">
        <x:v>BLOCKED until ICAO/state/operator variations and certified review path approved</x:v>
      </x:c>
      <x:c r="S211" s="99" t="str">
        <x:v>BLOCKED until SPS/agency/temperature rules and external filing path approved</x:v>
      </x:c>
      <x:c r="T211" s="99" t="str">
        <x:v>BLOCKED until product/site/importer authorizations and quality path approved</x:v>
      </x:c>
      <x:c r="U211" s="99" t="str">
        <x:v>BLOCKED until excise/licences/age/carrier contract approved</x:v>
      </x:c>
      <x:c r="V211" s="99" t="str">
        <x:v>BLOCKED until classification/end-use/licensing and sanctions path approved</x:v>
      </x:c>
      <x:c r="W211" s="99" t="str">
        <x:v>BLOCKED until provenance/security/insurance/carrier limits approved</x:v>
      </x:c>
      <x:c r="X211" s="99" t="str">
        <x:v>BLOCKED until purpose, values, relief evidence and restrictions approved</x:v>
      </x:c>
      <x:c r="Y211" s="103" t="b">
        <x:v>0</x:v>
      </x:c>
      <x:c r="Z211" s="103" t="b">
        <x:v>0</x:v>
      </x:c>
      <x:c r="AA211" s="103" t="b">
        <x:v>0</x:v>
      </x:c>
      <x:c r="AB211" s="103" t="b">
        <x:v>0</x:v>
      </x:c>
      <x:c r="AC211" s="103" t="b">
        <x:v>0</x:v>
      </x:c>
      <x:c r="AD211" s="106" t="str">
        <x:v>BLOCKED_PENDING_VALIDATION</x:v>
      </x:c>
      <x:c r="AE211" s="99" t="str">
        <x:v>NOT_STARTED</x:v>
      </x:c>
      <x:c r="AF211" s="99" t="str">
        <x:v>Unassigned country-pack owner</x:v>
      </x:c>
      <x:c r="AG211" s="99" t="str">
        <x:v>SRC-CUS-001, SRC-CUS-005, SRC-CUS-007, SRC-DAT-001, SRC-POST-001, SRC-PRV-001, SRC-PRV-013</x:v>
      </x:c>
      <x:c r="AH211" s="99" t="str">
        <x:v>2026-07-25</x:v>
      </x:c>
      <x:c r="AI211" s="99" t="str">
        <x:v>2026-08-25</x:v>
      </x:c>
      <x:c r="AJ211" s="99" t="str">
        <x:v>Registry coverage only. Production readiness is capability-specific and requires the release checklist.</x:v>
      </x:c>
    </x:row>
    <x:row r="212" ht="54" customHeight="1">
      <x:c r="A212" s="97" t="str">
        <x:v>CP-GS</x:v>
      </x:c>
      <x:c r="B212" s="97" t="str">
        <x:v>South Georgia</x:v>
      </x:c>
      <x:c r="C212" s="97" t="str">
        <x:v>GS</x:v>
      </x:c>
      <x:c r="D212" s="97" t="str">
        <x:v>SGS</x:v>
      </x:c>
      <x:c r="E212" s="97" t="str">
        <x:v>239</x:v>
      </x:c>
      <x:c r="F212" s="97" t="str">
        <x:v>ISO 3166-1 assigned</x:v>
      </x:c>
      <x:c r="G212" s="97" t="str">
        <x:v>Territory, dependency or special-area record</x:v>
      </x:c>
      <x:c r="H212" s="97" t="str">
        <x:v>United Kingdom</x:v>
      </x:c>
      <x:c r="I212" s="97" t="str">
        <x:v>Antarctic</x:v>
      </x:c>
      <x:c r="J212" s="97" t="str">
        <x:v>Other</x:v>
      </x:c>
      <x:c r="K212" s="97" t="str">
        <x:v>National/territorial customs framework—local validation required</x:v>
      </x:c>
      <x:c r="L212" s="97" t="str">
        <x:v>UPU/operator contract, bilateral rules, EAD/message versions and serviceability must be validated</x:v>
      </x:c>
      <x:c r="M212" s="97" t="str">
        <x:v>ICAO state rules, PLACI regime, security status, carrier routing and serviceability must be validated</x:v>
      </x:c>
      <x:c r="N212" s="97" t="str">
        <x:v>Country-pack privacy law and transfer mechanism required</x:v>
      </x:c>
      <x:c r="O212" s="97" t="str">
        <x:v>Screen live lists for every applicable nexus; resolve ownership, sectoral, end-use and licence controls</x:v>
      </x:c>
      <x:c r="P212" s="97" t="str">
        <x:v>No static legal conclusion. Validate current national/territorial customs, tax, licensing, product, privacy and carrier sources before activation.</x:v>
      </x:c>
      <x:c r="Q212" s="97" t="str">
        <x:v>BLOCKED until tariff, prohibitions, documents and carrier services approved</x:v>
      </x:c>
      <x:c r="R212" s="97" t="str">
        <x:v>BLOCKED until ICAO/state/operator variations and certified review path approved</x:v>
      </x:c>
      <x:c r="S212" s="97" t="str">
        <x:v>BLOCKED until SPS/agency/temperature rules and external filing path approved</x:v>
      </x:c>
      <x:c r="T212" s="97" t="str">
        <x:v>BLOCKED until product/site/importer authorizations and quality path approved</x:v>
      </x:c>
      <x:c r="U212" s="97" t="str">
        <x:v>BLOCKED until excise/licences/age/carrier contract approved</x:v>
      </x:c>
      <x:c r="V212" s="97" t="str">
        <x:v>BLOCKED until classification/end-use/licensing and sanctions path approved</x:v>
      </x:c>
      <x:c r="W212" s="97" t="str">
        <x:v>BLOCKED until provenance/security/insurance/carrier limits approved</x:v>
      </x:c>
      <x:c r="X212" s="97" t="str">
        <x:v>BLOCKED until purpose, values, relief evidence and restrictions approved</x:v>
      </x:c>
      <x:c r="Y212" s="104" t="b">
        <x:v>0</x:v>
      </x:c>
      <x:c r="Z212" s="104" t="b">
        <x:v>0</x:v>
      </x:c>
      <x:c r="AA212" s="104" t="b">
        <x:v>0</x:v>
      </x:c>
      <x:c r="AB212" s="104" t="b">
        <x:v>0</x:v>
      </x:c>
      <x:c r="AC212" s="104" t="b">
        <x:v>0</x:v>
      </x:c>
      <x:c r="AD212" s="106" t="str">
        <x:v>BLOCKED_PENDING_VALIDATION</x:v>
      </x:c>
      <x:c r="AE212" s="97" t="str">
        <x:v>NOT_STARTED</x:v>
      </x:c>
      <x:c r="AF212" s="97" t="str">
        <x:v>Unassigned country-pack owner</x:v>
      </x:c>
      <x:c r="AG212" s="97" t="str">
        <x:v>SRC-CUS-001, SRC-CUS-005, SRC-CUS-007, SRC-DAT-001, SRC-POST-001, SRC-PRV-001</x:v>
      </x:c>
      <x:c r="AH212" s="97" t="str">
        <x:v>2026-07-25</x:v>
      </x:c>
      <x:c r="AI212" s="97" t="str">
        <x:v>2026-08-25</x:v>
      </x:c>
      <x:c r="AJ212" s="97" t="str">
        <x:v>Registry coverage only. Production readiness is capability-specific and requires the release checklist.</x:v>
      </x:c>
    </x:row>
    <x:row r="213" ht="54" customHeight="1">
      <x:c r="A213" s="99" t="str">
        <x:v>CP-KR</x:v>
      </x:c>
      <x:c r="B213" s="99" t="str">
        <x:v>South Korea</x:v>
      </x:c>
      <x:c r="C213" s="99" t="str">
        <x:v>KR</x:v>
      </x:c>
      <x:c r="D213" s="99" t="str">
        <x:v>KOR</x:v>
      </x:c>
      <x:c r="E213" s="99" t="str">
        <x:v>410</x:v>
      </x:c>
      <x:c r="F213" s="99" t="str">
        <x:v>ISO 3166-1 assigned</x:v>
      </x:c>
      <x:c r="G213" s="99" t="str">
        <x:v>Independent state</x:v>
      </x:c>
      <x:c r="H213" s="99" t="str">
        <x:v>Self-administered for pack indexing; legal status follows authoritative sources</x:v>
      </x:c>
      <x:c r="I213" s="99" t="str">
        <x:v>Asia</x:v>
      </x:c>
      <x:c r="J213" s="99" t="str">
        <x:v>Eastern Asia</x:v>
      </x:c>
      <x:c r="K213" s="99" t="str">
        <x:v>National/territorial customs framework—local validation required</x:v>
      </x:c>
      <x:c r="L213" s="99" t="str">
        <x:v>UPU/operator contract, bilateral rules, EAD/message versions and serviceability must be validated</x:v>
      </x:c>
      <x:c r="M213" s="99" t="str">
        <x:v>ICAO state rules, PLACI regime, security status, carrier routing and serviceability must be validated</x:v>
      </x:c>
      <x:c r="N213" s="99" t="str">
        <x:v>PIPA</x:v>
      </x:c>
      <x:c r="O213" s="99" t="str">
        <x:v>Screen live lists for every applicable nexus; resolve ownership, sectoral, end-use and licence controls</x:v>
      </x:c>
      <x:c r="P213" s="99" t="str">
        <x:v>No static legal conclusion. Validate current national/territorial customs, tax, licensing, product, privacy and carrier sources before activation.</x:v>
      </x:c>
      <x:c r="Q213" s="99" t="str">
        <x:v>BLOCKED until tariff, prohibitions, documents and carrier services approved</x:v>
      </x:c>
      <x:c r="R213" s="99" t="str">
        <x:v>BLOCKED until ICAO/state/operator variations and certified review path approved</x:v>
      </x:c>
      <x:c r="S213" s="99" t="str">
        <x:v>BLOCKED until SPS/agency/temperature rules and external filing path approved</x:v>
      </x:c>
      <x:c r="T213" s="99" t="str">
        <x:v>BLOCKED until product/site/importer authorizations and quality path approved</x:v>
      </x:c>
      <x:c r="U213" s="99" t="str">
        <x:v>BLOCKED until excise/licences/age/carrier contract approved</x:v>
      </x:c>
      <x:c r="V213" s="99" t="str">
        <x:v>BLOCKED until classification/end-use/licensing and sanctions path approved</x:v>
      </x:c>
      <x:c r="W213" s="99" t="str">
        <x:v>BLOCKED until provenance/security/insurance/carrier limits approved</x:v>
      </x:c>
      <x:c r="X213" s="99" t="str">
        <x:v>BLOCKED until purpose, values, relief evidence and restrictions approved</x:v>
      </x:c>
      <x:c r="Y213" s="103" t="b">
        <x:v>0</x:v>
      </x:c>
      <x:c r="Z213" s="103" t="b">
        <x:v>0</x:v>
      </x:c>
      <x:c r="AA213" s="103" t="b">
        <x:v>0</x:v>
      </x:c>
      <x:c r="AB213" s="103" t="b">
        <x:v>0</x:v>
      </x:c>
      <x:c r="AC213" s="103" t="b">
        <x:v>0</x:v>
      </x:c>
      <x:c r="AD213" s="106" t="str">
        <x:v>BLOCKED_PENDING_VALIDATION</x:v>
      </x:c>
      <x:c r="AE213" s="99" t="str">
        <x:v>NOT_STARTED</x:v>
      </x:c>
      <x:c r="AF213" s="99" t="str">
        <x:v>Unassigned country-pack owner</x:v>
      </x:c>
      <x:c r="AG213" s="99" t="str">
        <x:v>SRC-CUS-001, SRC-CUS-005, SRC-CUS-007, SRC-DAT-001, SRC-POST-001, SRC-PRV-001</x:v>
      </x:c>
      <x:c r="AH213" s="99" t="str">
        <x:v>2026-07-25</x:v>
      </x:c>
      <x:c r="AI213" s="99" t="str">
        <x:v>2026-08-25</x:v>
      </x:c>
      <x:c r="AJ213" s="99" t="str">
        <x:v>Registry coverage only. Production readiness is capability-specific and requires the release checklist.</x:v>
      </x:c>
    </x:row>
    <x:row r="214" ht="54" customHeight="1">
      <x:c r="A214" s="97" t="str">
        <x:v>CP-SS</x:v>
      </x:c>
      <x:c r="B214" s="97" t="str">
        <x:v>South Sudan</x:v>
      </x:c>
      <x:c r="C214" s="97" t="str">
        <x:v>SS</x:v>
      </x:c>
      <x:c r="D214" s="97" t="str">
        <x:v>SSD</x:v>
      </x:c>
      <x:c r="E214" s="97" t="str">
        <x:v>728</x:v>
      </x:c>
      <x:c r="F214" s="97" t="str">
        <x:v>ISO 3166-1 assigned</x:v>
      </x:c>
      <x:c r="G214" s="97" t="str">
        <x:v>Independent state</x:v>
      </x:c>
      <x:c r="H214" s="97" t="str">
        <x:v>Self-administered for pack indexing; legal status follows authoritative sources</x:v>
      </x:c>
      <x:c r="I214" s="97" t="str">
        <x:v>Africa</x:v>
      </x:c>
      <x:c r="J214" s="97" t="str">
        <x:v>Middle Africa</x:v>
      </x:c>
      <x:c r="K214" s="97" t="str">
        <x:v>EAC member; national implementation required</x:v>
      </x:c>
      <x:c r="L214" s="97" t="str">
        <x:v>UPU/operator contract, bilateral rules, EAD/message versions and serviceability must be validated</x:v>
      </x:c>
      <x:c r="M214" s="97" t="str">
        <x:v>ICAO state rules, PLACI regime, security status, carrier routing and serviceability must be validated</x:v>
      </x:c>
      <x:c r="N214" s="97" t="str">
        <x:v>Country-pack privacy law and transfer mechanism required</x:v>
      </x:c>
      <x:c r="O214" s="97" t="str">
        <x:v>Screen live lists for every applicable nexus; resolve ownership, sectoral, end-use and licence controls</x:v>
      </x:c>
      <x:c r="P214" s="97" t="str">
        <x:v>No static legal conclusion. Validate current national/territorial customs, tax, licensing, product, privacy and carrier sources before activation.</x:v>
      </x:c>
      <x:c r="Q214" s="97" t="str">
        <x:v>BLOCKED until tariff, prohibitions, documents and carrier services approved</x:v>
      </x:c>
      <x:c r="R214" s="97" t="str">
        <x:v>BLOCKED until ICAO/state/operator variations and certified review path approved</x:v>
      </x:c>
      <x:c r="S214" s="97" t="str">
        <x:v>BLOCKED until SPS/agency/temperature rules and external filing path approved</x:v>
      </x:c>
      <x:c r="T214" s="97" t="str">
        <x:v>BLOCKED until product/site/importer authorizations and quality path approved</x:v>
      </x:c>
      <x:c r="U214" s="97" t="str">
        <x:v>BLOCKED until excise/licences/age/carrier contract approved</x:v>
      </x:c>
      <x:c r="V214" s="97" t="str">
        <x:v>BLOCKED until classification/end-use/licensing and sanctions path approved</x:v>
      </x:c>
      <x:c r="W214" s="97" t="str">
        <x:v>BLOCKED until provenance/security/insurance/carrier limits approved</x:v>
      </x:c>
      <x:c r="X214" s="97" t="str">
        <x:v>BLOCKED until purpose, values, relief evidence and restrictions approved</x:v>
      </x:c>
      <x:c r="Y214" s="104" t="b">
        <x:v>0</x:v>
      </x:c>
      <x:c r="Z214" s="104" t="b">
        <x:v>0</x:v>
      </x:c>
      <x:c r="AA214" s="104" t="b">
        <x:v>0</x:v>
      </x:c>
      <x:c r="AB214" s="104" t="b">
        <x:v>0</x:v>
      </x:c>
      <x:c r="AC214" s="104" t="b">
        <x:v>0</x:v>
      </x:c>
      <x:c r="AD214" s="106" t="str">
        <x:v>BLOCKED_PENDING_VALIDATION</x:v>
      </x:c>
      <x:c r="AE214" s="97" t="str">
        <x:v>NOT_STARTED</x:v>
      </x:c>
      <x:c r="AF214" s="97" t="str">
        <x:v>Unassigned country-pack owner</x:v>
      </x:c>
      <x:c r="AG214" s="97" t="str">
        <x:v>SRC-CUS-001, SRC-CUS-005, SRC-CUS-007, SRC-DAT-001, SRC-POST-001, SRC-PRV-001</x:v>
      </x:c>
      <x:c r="AH214" s="97" t="str">
        <x:v>2026-07-25</x:v>
      </x:c>
      <x:c r="AI214" s="97" t="str">
        <x:v>2026-08-25</x:v>
      </x:c>
      <x:c r="AJ214" s="97" t="str">
        <x:v>Registry coverage only. Production readiness is capability-specific and requires the release checklist.</x:v>
      </x:c>
    </x:row>
    <x:row r="215" ht="54" customHeight="1">
      <x:c r="A215" s="99" t="str">
        <x:v>CP-ES</x:v>
      </x:c>
      <x:c r="B215" s="99" t="str">
        <x:v>Spain</x:v>
      </x:c>
      <x:c r="C215" s="99" t="str">
        <x:v>ES</x:v>
      </x:c>
      <x:c r="D215" s="99" t="str">
        <x:v>ESP</x:v>
      </x:c>
      <x:c r="E215" s="99" t="str">
        <x:v>724</x:v>
      </x:c>
      <x:c r="F215" s="99" t="str">
        <x:v>ISO 3166-1 assigned</x:v>
      </x:c>
      <x:c r="G215" s="99" t="str">
        <x:v>Independent state</x:v>
      </x:c>
      <x:c r="H215" s="99" t="str">
        <x:v>Self-administered for pack indexing; legal status follows authoritative sources</x:v>
      </x:c>
      <x:c r="I215" s="99" t="str">
        <x:v>Europe</x:v>
      </x:c>
      <x:c r="J215" s="99" t="str">
        <x:v>Southern Europe</x:v>
      </x:c>
      <x:c r="K215" s="99" t="str">
        <x:v>EU customs framework; validate special fiscal/customs territory</x:v>
      </x:c>
      <x:c r="L215" s="99" t="str">
        <x:v>UPU/operator contract, bilateral rules, EAD/message versions and serviceability must be validated</x:v>
      </x:c>
      <x:c r="M215" s="99" t="str">
        <x:v>ICAO state rules, PLACI regime, security status, carrier routing and serviceability must be validated</x:v>
      </x:c>
      <x:c r="N215" s="99" t="str">
        <x:v>GDPR/EEA transfer controls; local supplements</x:v>
      </x:c>
      <x:c r="O215" s="99" t="str">
        <x:v>Screen live lists for every applicable nexus; resolve ownership, sectoral, end-use and licence controls</x:v>
      </x:c>
      <x:c r="P215" s="99" t="str">
        <x:v>EU baseline: ICS2/ENS and current low-value/VAT rules; member and special-territory validation still required.</x:v>
      </x:c>
      <x:c r="Q215" s="99" t="str">
        <x:v>BLOCKED until tariff, prohibitions, documents and carrier services approved</x:v>
      </x:c>
      <x:c r="R215" s="99" t="str">
        <x:v>BLOCKED until ICAO/state/operator variations and certified review path approved</x:v>
      </x:c>
      <x:c r="S215" s="99" t="str">
        <x:v>BLOCKED until SPS/agency/temperature rules and external filing path approved</x:v>
      </x:c>
      <x:c r="T215" s="99" t="str">
        <x:v>BLOCKED until product/site/importer authorizations and quality path approved</x:v>
      </x:c>
      <x:c r="U215" s="99" t="str">
        <x:v>BLOCKED until excise/licences/age/carrier contract approved</x:v>
      </x:c>
      <x:c r="V215" s="99" t="str">
        <x:v>BLOCKED until classification/end-use/licensing and sanctions path approved</x:v>
      </x:c>
      <x:c r="W215" s="99" t="str">
        <x:v>BLOCKED until provenance/security/insurance/carrier limits approved</x:v>
      </x:c>
      <x:c r="X215" s="99" t="str">
        <x:v>BLOCKED until purpose, values, relief evidence and restrictions approved</x:v>
      </x:c>
      <x:c r="Y215" s="103" t="b">
        <x:v>0</x:v>
      </x:c>
      <x:c r="Z215" s="103" t="b">
        <x:v>0</x:v>
      </x:c>
      <x:c r="AA215" s="103" t="b">
        <x:v>0</x:v>
      </x:c>
      <x:c r="AB215" s="103" t="b">
        <x:v>0</x:v>
      </x:c>
      <x:c r="AC215" s="103" t="b">
        <x:v>0</x:v>
      </x:c>
      <x:c r="AD215" s="106" t="str">
        <x:v>BLOCKED_PENDING_VALIDATION</x:v>
      </x:c>
      <x:c r="AE215" s="99" t="str">
        <x:v>NOT_STARTED</x:v>
      </x:c>
      <x:c r="AF215" s="99" t="str">
        <x:v>Unassigned country-pack owner</x:v>
      </x:c>
      <x:c r="AG215" s="99" t="str">
        <x:v>SRC-CUS-001, SRC-CUS-005, SRC-CUS-007, SRC-DAT-001, SRC-POST-001, SRC-PRV-001, SRC-EU-001, SRC-EU-002, SRC-EU-003, SRC-EU-004, SRC-PRV-002</x:v>
      </x:c>
      <x:c r="AH215" s="99" t="str">
        <x:v>2026-07-25</x:v>
      </x:c>
      <x:c r="AI215" s="99" t="str">
        <x:v>2026-08-25</x:v>
      </x:c>
      <x:c r="AJ215" s="99" t="str">
        <x:v>Registry coverage only. Production readiness is capability-specific and requires the release checklist.</x:v>
      </x:c>
    </x:row>
    <x:row r="216" ht="54" customHeight="1">
      <x:c r="A216" s="97" t="str">
        <x:v>CP-LK</x:v>
      </x:c>
      <x:c r="B216" s="97" t="str">
        <x:v>Sri Lanka</x:v>
      </x:c>
      <x:c r="C216" s="97" t="str">
        <x:v>LK</x:v>
      </x:c>
      <x:c r="D216" s="97" t="str">
        <x:v>LKA</x:v>
      </x:c>
      <x:c r="E216" s="97" t="str">
        <x:v>144</x:v>
      </x:c>
      <x:c r="F216" s="97" t="str">
        <x:v>ISO 3166-1 assigned</x:v>
      </x:c>
      <x:c r="G216" s="97" t="str">
        <x:v>Independent state</x:v>
      </x:c>
      <x:c r="H216" s="97" t="str">
        <x:v>Self-administered for pack indexing; legal status follows authoritative sources</x:v>
      </x:c>
      <x:c r="I216" s="97" t="str">
        <x:v>Asia</x:v>
      </x:c>
      <x:c r="J216" s="97" t="str">
        <x:v>Southern Asia</x:v>
      </x:c>
      <x:c r="K216" s="97" t="str">
        <x:v>National/territorial customs framework—local validation required</x:v>
      </x:c>
      <x:c r="L216" s="97" t="str">
        <x:v>UPU/operator contract, bilateral rules, EAD/message versions and serviceability must be validated</x:v>
      </x:c>
      <x:c r="M216" s="97" t="str">
        <x:v>ICAO state rules, PLACI regime, security status, carrier routing and serviceability must be validated</x:v>
      </x:c>
      <x:c r="N216" s="97" t="str">
        <x:v>Country-pack privacy law and transfer mechanism required</x:v>
      </x:c>
      <x:c r="O216" s="97" t="str">
        <x:v>Screen live lists for every applicable nexus; resolve ownership, sectoral, end-use and licence controls</x:v>
      </x:c>
      <x:c r="P216" s="97" t="str">
        <x:v>No static legal conclusion. Validate current national/territorial customs, tax, licensing, product, privacy and carrier sources before activation.</x:v>
      </x:c>
      <x:c r="Q216" s="97" t="str">
        <x:v>BLOCKED until tariff, prohibitions, documents and carrier services approved</x:v>
      </x:c>
      <x:c r="R216" s="97" t="str">
        <x:v>BLOCKED until ICAO/state/operator variations and certified review path approved</x:v>
      </x:c>
      <x:c r="S216" s="97" t="str">
        <x:v>BLOCKED until SPS/agency/temperature rules and external filing path approved</x:v>
      </x:c>
      <x:c r="T216" s="97" t="str">
        <x:v>BLOCKED until product/site/importer authorizations and quality path approved</x:v>
      </x:c>
      <x:c r="U216" s="97" t="str">
        <x:v>BLOCKED until excise/licences/age/carrier contract approved</x:v>
      </x:c>
      <x:c r="V216" s="97" t="str">
        <x:v>BLOCKED until classification/end-use/licensing and sanctions path approved</x:v>
      </x:c>
      <x:c r="W216" s="97" t="str">
        <x:v>BLOCKED until provenance/security/insurance/carrier limits approved</x:v>
      </x:c>
      <x:c r="X216" s="97" t="str">
        <x:v>BLOCKED until purpose, values, relief evidence and restrictions approved</x:v>
      </x:c>
      <x:c r="Y216" s="104" t="b">
        <x:v>0</x:v>
      </x:c>
      <x:c r="Z216" s="104" t="b">
        <x:v>0</x:v>
      </x:c>
      <x:c r="AA216" s="104" t="b">
        <x:v>0</x:v>
      </x:c>
      <x:c r="AB216" s="104" t="b">
        <x:v>0</x:v>
      </x:c>
      <x:c r="AC216" s="104" t="b">
        <x:v>0</x:v>
      </x:c>
      <x:c r="AD216" s="106" t="str">
        <x:v>BLOCKED_PENDING_VALIDATION</x:v>
      </x:c>
      <x:c r="AE216" s="97" t="str">
        <x:v>NOT_STARTED</x:v>
      </x:c>
      <x:c r="AF216" s="97" t="str">
        <x:v>Unassigned country-pack owner</x:v>
      </x:c>
      <x:c r="AG216" s="97" t="str">
        <x:v>SRC-CUS-001, SRC-CUS-005, SRC-CUS-007, SRC-DAT-001, SRC-POST-001, SRC-PRV-001</x:v>
      </x:c>
      <x:c r="AH216" s="97" t="str">
        <x:v>2026-07-25</x:v>
      </x:c>
      <x:c r="AI216" s="97" t="str">
        <x:v>2026-08-25</x:v>
      </x:c>
      <x:c r="AJ216" s="97" t="str">
        <x:v>Registry coverage only. Production readiness is capability-specific and requires the release checklist.</x:v>
      </x:c>
    </x:row>
    <x:row r="217" ht="54" customHeight="1">
      <x:c r="A217" s="99" t="str">
        <x:v>CP-SD</x:v>
      </x:c>
      <x:c r="B217" s="99" t="str">
        <x:v>Sudan</x:v>
      </x:c>
      <x:c r="C217" s="99" t="str">
        <x:v>SD</x:v>
      </x:c>
      <x:c r="D217" s="99" t="str">
        <x:v>SDN</x:v>
      </x:c>
      <x:c r="E217" s="99" t="str">
        <x:v>729</x:v>
      </x:c>
      <x:c r="F217" s="99" t="str">
        <x:v>ISO 3166-1 assigned</x:v>
      </x:c>
      <x:c r="G217" s="99" t="str">
        <x:v>Independent state</x:v>
      </x:c>
      <x:c r="H217" s="99" t="str">
        <x:v>Self-administered for pack indexing; legal status follows authoritative sources</x:v>
      </x:c>
      <x:c r="I217" s="99" t="str">
        <x:v>Africa</x:v>
      </x:c>
      <x:c r="J217" s="99" t="str">
        <x:v>Northern Africa</x:v>
      </x:c>
      <x:c r="K217" s="99" t="str">
        <x:v>National/territorial customs framework—local validation required</x:v>
      </x:c>
      <x:c r="L217" s="99" t="str">
        <x:v>UPU/operator contract, bilateral rules, EAD/message versions and serviceability must be validated</x:v>
      </x:c>
      <x:c r="M217" s="99" t="str">
        <x:v>ICAO state rules, PLACI regime, security status, carrier routing and serviceability must be validated</x:v>
      </x:c>
      <x:c r="N217" s="99" t="str">
        <x:v>Country-pack privacy law and transfer mechanism required</x:v>
      </x:c>
      <x:c r="O217" s="99" t="str">
        <x:v>Screen live lists for every applicable nexus; resolve ownership, sectoral, end-use and licence controls</x:v>
      </x:c>
      <x:c r="P217" s="99" t="str">
        <x:v>No static legal conclusion. Validate current national/territorial customs, tax, licensing, product, privacy and carrier sources before activation.</x:v>
      </x:c>
      <x:c r="Q217" s="99" t="str">
        <x:v>BLOCKED until tariff, prohibitions, documents and carrier services approved</x:v>
      </x:c>
      <x:c r="R217" s="99" t="str">
        <x:v>BLOCKED until ICAO/state/operator variations and certified review path approved</x:v>
      </x:c>
      <x:c r="S217" s="99" t="str">
        <x:v>BLOCKED until SPS/agency/temperature rules and external filing path approved</x:v>
      </x:c>
      <x:c r="T217" s="99" t="str">
        <x:v>BLOCKED until product/site/importer authorizations and quality path approved</x:v>
      </x:c>
      <x:c r="U217" s="99" t="str">
        <x:v>BLOCKED until excise/licences/age/carrier contract approved</x:v>
      </x:c>
      <x:c r="V217" s="99" t="str">
        <x:v>BLOCKED until classification/end-use/licensing and sanctions path approved</x:v>
      </x:c>
      <x:c r="W217" s="99" t="str">
        <x:v>BLOCKED until provenance/security/insurance/carrier limits approved</x:v>
      </x:c>
      <x:c r="X217" s="99" t="str">
        <x:v>BLOCKED until purpose, values, relief evidence and restrictions approved</x:v>
      </x:c>
      <x:c r="Y217" s="103" t="b">
        <x:v>0</x:v>
      </x:c>
      <x:c r="Z217" s="103" t="b">
        <x:v>0</x:v>
      </x:c>
      <x:c r="AA217" s="103" t="b">
        <x:v>0</x:v>
      </x:c>
      <x:c r="AB217" s="103" t="b">
        <x:v>0</x:v>
      </x:c>
      <x:c r="AC217" s="103" t="b">
        <x:v>0</x:v>
      </x:c>
      <x:c r="AD217" s="106" t="str">
        <x:v>BLOCKED_PENDING_VALIDATION</x:v>
      </x:c>
      <x:c r="AE217" s="99" t="str">
        <x:v>NOT_STARTED</x:v>
      </x:c>
      <x:c r="AF217" s="99" t="str">
        <x:v>Unassigned country-pack owner</x:v>
      </x:c>
      <x:c r="AG217" s="99" t="str">
        <x:v>SRC-CUS-001, SRC-CUS-005, SRC-CUS-007, SRC-DAT-001, SRC-POST-001, SRC-PRV-001</x:v>
      </x:c>
      <x:c r="AH217" s="99" t="str">
        <x:v>2026-07-25</x:v>
      </x:c>
      <x:c r="AI217" s="99" t="str">
        <x:v>2026-08-25</x:v>
      </x:c>
      <x:c r="AJ217" s="99" t="str">
        <x:v>Registry coverage only. Production readiness is capability-specific and requires the release checklist.</x:v>
      </x:c>
    </x:row>
    <x:row r="218" ht="54" customHeight="1">
      <x:c r="A218" s="97" t="str">
        <x:v>CP-SR</x:v>
      </x:c>
      <x:c r="B218" s="97" t="str">
        <x:v>Suriname</x:v>
      </x:c>
      <x:c r="C218" s="97" t="str">
        <x:v>SR</x:v>
      </x:c>
      <x:c r="D218" s="97" t="str">
        <x:v>SUR</x:v>
      </x:c>
      <x:c r="E218" s="97" t="str">
        <x:v>740</x:v>
      </x:c>
      <x:c r="F218" s="97" t="str">
        <x:v>ISO 3166-1 assigned</x:v>
      </x:c>
      <x:c r="G218" s="97" t="str">
        <x:v>Independent state</x:v>
      </x:c>
      <x:c r="H218" s="97" t="str">
        <x:v>Self-administered for pack indexing; legal status follows authoritative sources</x:v>
      </x:c>
      <x:c r="I218" s="97" t="str">
        <x:v>Americas</x:v>
      </x:c>
      <x:c r="J218" s="97" t="str">
        <x:v>South America</x:v>
      </x:c>
      <x:c r="K218" s="97" t="str">
        <x:v>National/territorial customs framework—local validation required</x:v>
      </x:c>
      <x:c r="L218" s="97" t="str">
        <x:v>UPU/operator contract, bilateral rules, EAD/message versions and serviceability must be validated</x:v>
      </x:c>
      <x:c r="M218" s="97" t="str">
        <x:v>ICAO state rules, PLACI regime, security status, carrier routing and serviceability must be validated</x:v>
      </x:c>
      <x:c r="N218" s="97" t="str">
        <x:v>Country-pack privacy law and transfer mechanism required</x:v>
      </x:c>
      <x:c r="O218" s="97" t="str">
        <x:v>Screen live lists for every applicable nexus; resolve ownership, sectoral, end-use and licence controls</x:v>
      </x:c>
      <x:c r="P218" s="97" t="str">
        <x:v>No static legal conclusion. Validate current national/territorial customs, tax, licensing, product, privacy and carrier sources before activation.</x:v>
      </x:c>
      <x:c r="Q218" s="97" t="str">
        <x:v>BLOCKED until tariff, prohibitions, documents and carrier services approved</x:v>
      </x:c>
      <x:c r="R218" s="97" t="str">
        <x:v>BLOCKED until ICAO/state/operator variations and certified review path approved</x:v>
      </x:c>
      <x:c r="S218" s="97" t="str">
        <x:v>BLOCKED until SPS/agency/temperature rules and external filing path approved</x:v>
      </x:c>
      <x:c r="T218" s="97" t="str">
        <x:v>BLOCKED until product/site/importer authorizations and quality path approved</x:v>
      </x:c>
      <x:c r="U218" s="97" t="str">
        <x:v>BLOCKED until excise/licences/age/carrier contract approved</x:v>
      </x:c>
      <x:c r="V218" s="97" t="str">
        <x:v>BLOCKED until classification/end-use/licensing and sanctions path approved</x:v>
      </x:c>
      <x:c r="W218" s="97" t="str">
        <x:v>BLOCKED until provenance/security/insurance/carrier limits approved</x:v>
      </x:c>
      <x:c r="X218" s="97" t="str">
        <x:v>BLOCKED until purpose, values, relief evidence and restrictions approved</x:v>
      </x:c>
      <x:c r="Y218" s="104" t="b">
        <x:v>0</x:v>
      </x:c>
      <x:c r="Z218" s="104" t="b">
        <x:v>0</x:v>
      </x:c>
      <x:c r="AA218" s="104" t="b">
        <x:v>0</x:v>
      </x:c>
      <x:c r="AB218" s="104" t="b">
        <x:v>0</x:v>
      </x:c>
      <x:c r="AC218" s="104" t="b">
        <x:v>0</x:v>
      </x:c>
      <x:c r="AD218" s="106" t="str">
        <x:v>BLOCKED_PENDING_VALIDATION</x:v>
      </x:c>
      <x:c r="AE218" s="97" t="str">
        <x:v>NOT_STARTED</x:v>
      </x:c>
      <x:c r="AF218" s="97" t="str">
        <x:v>Unassigned country-pack owner</x:v>
      </x:c>
      <x:c r="AG218" s="97" t="str">
        <x:v>SRC-CUS-001, SRC-CUS-005, SRC-CUS-007, SRC-DAT-001, SRC-POST-001, SRC-PRV-001</x:v>
      </x:c>
      <x:c r="AH218" s="97" t="str">
        <x:v>2026-07-25</x:v>
      </x:c>
      <x:c r="AI218" s="97" t="str">
        <x:v>2026-08-25</x:v>
      </x:c>
      <x:c r="AJ218" s="97" t="str">
        <x:v>Registry coverage only. Production readiness is capability-specific and requires the release checklist.</x:v>
      </x:c>
    </x:row>
    <x:row r="219" ht="54" customHeight="1">
      <x:c r="A219" s="99" t="str">
        <x:v>CP-SJ</x:v>
      </x:c>
      <x:c r="B219" s="99" t="str">
        <x:v>Svalbard and Jan Mayen</x:v>
      </x:c>
      <x:c r="C219" s="99" t="str">
        <x:v>SJ</x:v>
      </x:c>
      <x:c r="D219" s="99" t="str">
        <x:v>SJM</x:v>
      </x:c>
      <x:c r="E219" s="99" t="str">
        <x:v>744</x:v>
      </x:c>
      <x:c r="F219" s="99" t="str">
        <x:v>ISO 3166-1 assigned</x:v>
      </x:c>
      <x:c r="G219" s="99" t="str">
        <x:v>Territory, dependency or special-area record</x:v>
      </x:c>
      <x:c r="H219" s="99" t="str">
        <x:v>Norway</x:v>
      </x:c>
      <x:c r="I219" s="99" t="str">
        <x:v>Europe</x:v>
      </x:c>
      <x:c r="J219" s="99" t="str">
        <x:v>Northern Europe</x:v>
      </x:c>
      <x:c r="K219" s="99" t="str">
        <x:v>National/territorial customs framework—local validation required</x:v>
      </x:c>
      <x:c r="L219" s="99" t="str">
        <x:v>UPU/operator contract, bilateral rules, EAD/message versions and serviceability must be validated</x:v>
      </x:c>
      <x:c r="M219" s="99" t="str">
        <x:v>ICAO state rules, PLACI regime, security status, carrier routing and serviceability must be validated</x:v>
      </x:c>
      <x:c r="N219" s="99" t="str">
        <x:v>Country-pack privacy law and transfer mechanism required</x:v>
      </x:c>
      <x:c r="O219" s="99" t="str">
        <x:v>Screen live lists for every applicable nexus; resolve ownership, sectoral, end-use and licence controls</x:v>
      </x:c>
      <x:c r="P219" s="99" t="str">
        <x:v>No static legal conclusion. Validate current national/territorial customs, tax, licensing, product, privacy and carrier sources before activation.</x:v>
      </x:c>
      <x:c r="Q219" s="99" t="str">
        <x:v>BLOCKED until tariff, prohibitions, documents and carrier services approved</x:v>
      </x:c>
      <x:c r="R219" s="99" t="str">
        <x:v>BLOCKED until ICAO/state/operator variations and certified review path approved</x:v>
      </x:c>
      <x:c r="S219" s="99" t="str">
        <x:v>BLOCKED until SPS/agency/temperature rules and external filing path approved</x:v>
      </x:c>
      <x:c r="T219" s="99" t="str">
        <x:v>BLOCKED until product/site/importer authorizations and quality path approved</x:v>
      </x:c>
      <x:c r="U219" s="99" t="str">
        <x:v>BLOCKED until excise/licences/age/carrier contract approved</x:v>
      </x:c>
      <x:c r="V219" s="99" t="str">
        <x:v>BLOCKED until classification/end-use/licensing and sanctions path approved</x:v>
      </x:c>
      <x:c r="W219" s="99" t="str">
        <x:v>BLOCKED until provenance/security/insurance/carrier limits approved</x:v>
      </x:c>
      <x:c r="X219" s="99" t="str">
        <x:v>BLOCKED until purpose, values, relief evidence and restrictions approved</x:v>
      </x:c>
      <x:c r="Y219" s="103" t="b">
        <x:v>0</x:v>
      </x:c>
      <x:c r="Z219" s="103" t="b">
        <x:v>0</x:v>
      </x:c>
      <x:c r="AA219" s="103" t="b">
        <x:v>0</x:v>
      </x:c>
      <x:c r="AB219" s="103" t="b">
        <x:v>0</x:v>
      </x:c>
      <x:c r="AC219" s="103" t="b">
        <x:v>0</x:v>
      </x:c>
      <x:c r="AD219" s="106" t="str">
        <x:v>BLOCKED_PENDING_VALIDATION</x:v>
      </x:c>
      <x:c r="AE219" s="99" t="str">
        <x:v>NOT_STARTED</x:v>
      </x:c>
      <x:c r="AF219" s="99" t="str">
        <x:v>Unassigned country-pack owner</x:v>
      </x:c>
      <x:c r="AG219" s="99" t="str">
        <x:v>SRC-CUS-001, SRC-CUS-005, SRC-CUS-007, SRC-DAT-001, SRC-POST-001, SRC-PRV-001</x:v>
      </x:c>
      <x:c r="AH219" s="99" t="str">
        <x:v>2026-07-25</x:v>
      </x:c>
      <x:c r="AI219" s="99" t="str">
        <x:v>2026-08-25</x:v>
      </x:c>
      <x:c r="AJ219" s="99" t="str">
        <x:v>Registry coverage only. Production readiness is capability-specific and requires the release checklist.</x:v>
      </x:c>
    </x:row>
    <x:row r="220" ht="54" customHeight="1">
      <x:c r="A220" s="97" t="str">
        <x:v>CP-SE</x:v>
      </x:c>
      <x:c r="B220" s="97" t="str">
        <x:v>Sweden</x:v>
      </x:c>
      <x:c r="C220" s="97" t="str">
        <x:v>SE</x:v>
      </x:c>
      <x:c r="D220" s="97" t="str">
        <x:v>SWE</x:v>
      </x:c>
      <x:c r="E220" s="97" t="str">
        <x:v>752</x:v>
      </x:c>
      <x:c r="F220" s="97" t="str">
        <x:v>ISO 3166-1 assigned</x:v>
      </x:c>
      <x:c r="G220" s="97" t="str">
        <x:v>Independent state</x:v>
      </x:c>
      <x:c r="H220" s="97" t="str">
        <x:v>Self-administered for pack indexing; legal status follows authoritative sources</x:v>
      </x:c>
      <x:c r="I220" s="97" t="str">
        <x:v>Europe</x:v>
      </x:c>
      <x:c r="J220" s="97" t="str">
        <x:v>Northern Europe</x:v>
      </x:c>
      <x:c r="K220" s="97" t="str">
        <x:v>EU customs framework; validate special fiscal/customs territory</x:v>
      </x:c>
      <x:c r="L220" s="97" t="str">
        <x:v>UPU/operator contract, bilateral rules, EAD/message versions and serviceability must be validated</x:v>
      </x:c>
      <x:c r="M220" s="97" t="str">
        <x:v>ICAO state rules, PLACI regime, security status, carrier routing and serviceability must be validated</x:v>
      </x:c>
      <x:c r="N220" s="97" t="str">
        <x:v>GDPR/EEA transfer controls; local supplements</x:v>
      </x:c>
      <x:c r="O220" s="97" t="str">
        <x:v>Screen live lists for every applicable nexus; resolve ownership, sectoral, end-use and licence controls</x:v>
      </x:c>
      <x:c r="P220" s="97" t="str">
        <x:v>EU baseline: ICS2/ENS and current low-value/VAT rules; member and special-territory validation still required.</x:v>
      </x:c>
      <x:c r="Q220" s="97" t="str">
        <x:v>BLOCKED until tariff, prohibitions, documents and carrier services approved</x:v>
      </x:c>
      <x:c r="R220" s="97" t="str">
        <x:v>BLOCKED until ICAO/state/operator variations and certified review path approved</x:v>
      </x:c>
      <x:c r="S220" s="97" t="str">
        <x:v>BLOCKED until SPS/agency/temperature rules and external filing path approved</x:v>
      </x:c>
      <x:c r="T220" s="97" t="str">
        <x:v>BLOCKED until product/site/importer authorizations and quality path approved</x:v>
      </x:c>
      <x:c r="U220" s="97" t="str">
        <x:v>BLOCKED until excise/licences/age/carrier contract approved</x:v>
      </x:c>
      <x:c r="V220" s="97" t="str">
        <x:v>BLOCKED until classification/end-use/licensing and sanctions path approved</x:v>
      </x:c>
      <x:c r="W220" s="97" t="str">
        <x:v>BLOCKED until provenance/security/insurance/carrier limits approved</x:v>
      </x:c>
      <x:c r="X220" s="97" t="str">
        <x:v>BLOCKED until purpose, values, relief evidence and restrictions approved</x:v>
      </x:c>
      <x:c r="Y220" s="104" t="b">
        <x:v>0</x:v>
      </x:c>
      <x:c r="Z220" s="104" t="b">
        <x:v>0</x:v>
      </x:c>
      <x:c r="AA220" s="104" t="b">
        <x:v>0</x:v>
      </x:c>
      <x:c r="AB220" s="104" t="b">
        <x:v>0</x:v>
      </x:c>
      <x:c r="AC220" s="104" t="b">
        <x:v>0</x:v>
      </x:c>
      <x:c r="AD220" s="106" t="str">
        <x:v>BLOCKED_PENDING_VALIDATION</x:v>
      </x:c>
      <x:c r="AE220" s="97" t="str">
        <x:v>NOT_STARTED</x:v>
      </x:c>
      <x:c r="AF220" s="97" t="str">
        <x:v>Unassigned country-pack owner</x:v>
      </x:c>
      <x:c r="AG220" s="97" t="str">
        <x:v>SRC-CUS-001, SRC-CUS-005, SRC-CUS-007, SRC-DAT-001, SRC-POST-001, SRC-PRV-001, SRC-EU-001, SRC-EU-002, SRC-EU-003, SRC-EU-004, SRC-PRV-002</x:v>
      </x:c>
      <x:c r="AH220" s="97" t="str">
        <x:v>2026-07-25</x:v>
      </x:c>
      <x:c r="AI220" s="97" t="str">
        <x:v>2026-08-25</x:v>
      </x:c>
      <x:c r="AJ220" s="97" t="str">
        <x:v>Registry coverage only. Production readiness is capability-specific and requires the release checklist.</x:v>
      </x:c>
    </x:row>
    <x:row r="221" ht="54" customHeight="1">
      <x:c r="A221" s="99" t="str">
        <x:v>CP-CH</x:v>
      </x:c>
      <x:c r="B221" s="99" t="str">
        <x:v>Switzerland</x:v>
      </x:c>
      <x:c r="C221" s="99" t="str">
        <x:v>CH</x:v>
      </x:c>
      <x:c r="D221" s="99" t="str">
        <x:v>CHE</x:v>
      </x:c>
      <x:c r="E221" s="99" t="str">
        <x:v>756</x:v>
      </x:c>
      <x:c r="F221" s="99" t="str">
        <x:v>ISO 3166-1 assigned</x:v>
      </x:c>
      <x:c r="G221" s="99" t="str">
        <x:v>Independent state</x:v>
      </x:c>
      <x:c r="H221" s="99" t="str">
        <x:v>Self-administered for pack indexing; legal status follows authoritative sources</x:v>
      </x:c>
      <x:c r="I221" s="99" t="str">
        <x:v>Europe</x:v>
      </x:c>
      <x:c r="J221" s="99" t="str">
        <x:v>Western Europe</x:v>
      </x:c>
      <x:c r="K221" s="99" t="str">
        <x:v>National/territorial customs framework—local validation required</x:v>
      </x:c>
      <x:c r="L221" s="99" t="str">
        <x:v>UPU/operator contract, bilateral rules, EAD/message versions and serviceability must be validated</x:v>
      </x:c>
      <x:c r="M221" s="99" t="str">
        <x:v>ICAO state rules, PLACI regime, security status, carrier routing and serviceability must be validated</x:v>
      </x:c>
      <x:c r="N221" s="99" t="str">
        <x:v>Swiss FADP</x:v>
      </x:c>
      <x:c r="O221" s="99" t="str">
        <x:v>Screen live lists for every applicable nexus; resolve ownership, sectoral, end-use and licence controls</x:v>
      </x:c>
      <x:c r="P221" s="99" t="str">
        <x:v>No static legal conclusion. Validate current national/territorial customs, tax, licensing, product, privacy and carrier sources before activation.</x:v>
      </x:c>
      <x:c r="Q221" s="99" t="str">
        <x:v>BLOCKED until tariff, prohibitions, documents and carrier services approved</x:v>
      </x:c>
      <x:c r="R221" s="99" t="str">
        <x:v>BLOCKED until ICAO/state/operator variations and certified review path approved</x:v>
      </x:c>
      <x:c r="S221" s="99" t="str">
        <x:v>BLOCKED until SPS/agency/temperature rules and external filing path approved</x:v>
      </x:c>
      <x:c r="T221" s="99" t="str">
        <x:v>BLOCKED until product/site/importer authorizations and quality path approved</x:v>
      </x:c>
      <x:c r="U221" s="99" t="str">
        <x:v>BLOCKED until excise/licences/age/carrier contract approved</x:v>
      </x:c>
      <x:c r="V221" s="99" t="str">
        <x:v>BLOCKED until classification/end-use/licensing and sanctions path approved</x:v>
      </x:c>
      <x:c r="W221" s="99" t="str">
        <x:v>BLOCKED until provenance/security/insurance/carrier limits approved</x:v>
      </x:c>
      <x:c r="X221" s="99" t="str">
        <x:v>BLOCKED until purpose, values, relief evidence and restrictions approved</x:v>
      </x:c>
      <x:c r="Y221" s="103" t="b">
        <x:v>0</x:v>
      </x:c>
      <x:c r="Z221" s="103" t="b">
        <x:v>0</x:v>
      </x:c>
      <x:c r="AA221" s="103" t="b">
        <x:v>0</x:v>
      </x:c>
      <x:c r="AB221" s="103" t="b">
        <x:v>0</x:v>
      </x:c>
      <x:c r="AC221" s="103" t="b">
        <x:v>0</x:v>
      </x:c>
      <x:c r="AD221" s="106" t="str">
        <x:v>BLOCKED_PENDING_VALIDATION</x:v>
      </x:c>
      <x:c r="AE221" s="99" t="str">
        <x:v>NOT_STARTED</x:v>
      </x:c>
      <x:c r="AF221" s="99" t="str">
        <x:v>Unassigned country-pack owner</x:v>
      </x:c>
      <x:c r="AG221" s="99" t="str">
        <x:v>SRC-CUS-001, SRC-CUS-005, SRC-CUS-007, SRC-DAT-001, SRC-POST-001, SRC-PRV-001</x:v>
      </x:c>
      <x:c r="AH221" s="99" t="str">
        <x:v>2026-07-25</x:v>
      </x:c>
      <x:c r="AI221" s="99" t="str">
        <x:v>2026-08-25</x:v>
      </x:c>
      <x:c r="AJ221" s="99" t="str">
        <x:v>Registry coverage only. Production readiness is capability-specific and requires the release checklist.</x:v>
      </x:c>
    </x:row>
    <x:row r="222" ht="54" customHeight="1">
      <x:c r="A222" s="97" t="str">
        <x:v>CP-SY</x:v>
      </x:c>
      <x:c r="B222" s="97" t="str">
        <x:v>Syria</x:v>
      </x:c>
      <x:c r="C222" s="97" t="str">
        <x:v>SY</x:v>
      </x:c>
      <x:c r="D222" s="97" t="str">
        <x:v>SYR</x:v>
      </x:c>
      <x:c r="E222" s="97" t="str">
        <x:v>760</x:v>
      </x:c>
      <x:c r="F222" s="97" t="str">
        <x:v>ISO 3166-1 assigned</x:v>
      </x:c>
      <x:c r="G222" s="97" t="str">
        <x:v>Independent state</x:v>
      </x:c>
      <x:c r="H222" s="97" t="str">
        <x:v>Self-administered for pack indexing; legal status follows authoritative sources</x:v>
      </x:c>
      <x:c r="I222" s="97" t="str">
        <x:v>Asia</x:v>
      </x:c>
      <x:c r="J222" s="97" t="str">
        <x:v>Western Asia</x:v>
      </x:c>
      <x:c r="K222" s="97" t="str">
        <x:v>National/territorial customs framework—local validation required</x:v>
      </x:c>
      <x:c r="L222" s="97" t="str">
        <x:v>UPU/operator contract, bilateral rules, EAD/message versions and serviceability must be validated</x:v>
      </x:c>
      <x:c r="M222" s="97" t="str">
        <x:v>ICAO state rules, PLACI regime, security status, carrier routing and serviceability must be validated</x:v>
      </x:c>
      <x:c r="N222" s="97" t="str">
        <x:v>Country-pack privacy law and transfer mechanism required</x:v>
      </x:c>
      <x:c r="O222" s="97" t="str">
        <x:v>Screen live lists for every applicable nexus; resolve ownership, sectoral, end-use and licence controls</x:v>
      </x:c>
      <x:c r="P222" s="97" t="str">
        <x:v>No static legal conclusion. Validate current national/territorial customs, tax, licensing, product, privacy and carrier sources before activation.</x:v>
      </x:c>
      <x:c r="Q222" s="97" t="str">
        <x:v>BLOCKED until tariff, prohibitions, documents and carrier services approved</x:v>
      </x:c>
      <x:c r="R222" s="97" t="str">
        <x:v>BLOCKED until ICAO/state/operator variations and certified review path approved</x:v>
      </x:c>
      <x:c r="S222" s="97" t="str">
        <x:v>BLOCKED until SPS/agency/temperature rules and external filing path approved</x:v>
      </x:c>
      <x:c r="T222" s="97" t="str">
        <x:v>BLOCKED until product/site/importer authorizations and quality path approved</x:v>
      </x:c>
      <x:c r="U222" s="97" t="str">
        <x:v>BLOCKED until excise/licences/age/carrier contract approved</x:v>
      </x:c>
      <x:c r="V222" s="97" t="str">
        <x:v>BLOCKED until classification/end-use/licensing and sanctions path approved</x:v>
      </x:c>
      <x:c r="W222" s="97" t="str">
        <x:v>BLOCKED until provenance/security/insurance/carrier limits approved</x:v>
      </x:c>
      <x:c r="X222" s="97" t="str">
        <x:v>BLOCKED until purpose, values, relief evidence and restrictions approved</x:v>
      </x:c>
      <x:c r="Y222" s="104" t="b">
        <x:v>0</x:v>
      </x:c>
      <x:c r="Z222" s="104" t="b">
        <x:v>0</x:v>
      </x:c>
      <x:c r="AA222" s="104" t="b">
        <x:v>0</x:v>
      </x:c>
      <x:c r="AB222" s="104" t="b">
        <x:v>0</x:v>
      </x:c>
      <x:c r="AC222" s="104" t="b">
        <x:v>0</x:v>
      </x:c>
      <x:c r="AD222" s="106" t="str">
        <x:v>BLOCKED_PENDING_VALIDATION</x:v>
      </x:c>
      <x:c r="AE222" s="97" t="str">
        <x:v>NOT_STARTED</x:v>
      </x:c>
      <x:c r="AF222" s="97" t="str">
        <x:v>Unassigned country-pack owner</x:v>
      </x:c>
      <x:c r="AG222" s="97" t="str">
        <x:v>SRC-CUS-001, SRC-CUS-005, SRC-CUS-007, SRC-DAT-001, SRC-POST-001, SRC-PRV-001</x:v>
      </x:c>
      <x:c r="AH222" s="97" t="str">
        <x:v>2026-07-25</x:v>
      </x:c>
      <x:c r="AI222" s="97" t="str">
        <x:v>2026-08-25</x:v>
      </x:c>
      <x:c r="AJ222" s="97" t="str">
        <x:v>Registry coverage only. Production readiness is capability-specific and requires the release checklist.</x:v>
      </x:c>
    </x:row>
    <x:row r="223" ht="54" customHeight="1">
      <x:c r="A223" s="99" t="str">
        <x:v>CP-TW</x:v>
      </x:c>
      <x:c r="B223" s="99" t="str">
        <x:v>Taiwan</x:v>
      </x:c>
      <x:c r="C223" s="99" t="str">
        <x:v>TW</x:v>
      </x:c>
      <x:c r="D223" s="99" t="str">
        <x:v>TWN</x:v>
      </x:c>
      <x:c r="E223" s="99" t="str">
        <x:v>158</x:v>
      </x:c>
      <x:c r="F223" s="99" t="str">
        <x:v>ISO 3166-1 assigned</x:v>
      </x:c>
      <x:c r="G223" s="99" t="str">
        <x:v>Territory, dependency or special-area record</x:v>
      </x:c>
      <x:c r="H223" s="99" t="str">
        <x:v>Administrative relationship to validate</x:v>
      </x:c>
      <x:c r="I223" s="99" t="str">
        <x:v>Asia</x:v>
      </x:c>
      <x:c r="J223" s="99" t="str">
        <x:v>Eastern Asia</x:v>
      </x:c>
      <x:c r="K223" s="99" t="str">
        <x:v>National/territorial customs framework—local validation required</x:v>
      </x:c>
      <x:c r="L223" s="99" t="str">
        <x:v>UPU/operator contract, bilateral rules, EAD/message versions and serviceability must be validated</x:v>
      </x:c>
      <x:c r="M223" s="99" t="str">
        <x:v>ICAO state rules, PLACI regime, security status, carrier routing and serviceability must be validated</x:v>
      </x:c>
      <x:c r="N223" s="99" t="str">
        <x:v>Country-pack privacy law and transfer mechanism required</x:v>
      </x:c>
      <x:c r="O223" s="99" t="str">
        <x:v>Screen live lists for every applicable nexus; resolve ownership, sectoral, end-use and licence controls</x:v>
      </x:c>
      <x:c r="P223" s="99" t="str">
        <x:v>No static legal conclusion. Validate current national/territorial customs, tax, licensing, product, privacy and carrier sources before activation.</x:v>
      </x:c>
      <x:c r="Q223" s="99" t="str">
        <x:v>BLOCKED until tariff, prohibitions, documents and carrier services approved</x:v>
      </x:c>
      <x:c r="R223" s="99" t="str">
        <x:v>BLOCKED until ICAO/state/operator variations and certified review path approved</x:v>
      </x:c>
      <x:c r="S223" s="99" t="str">
        <x:v>BLOCKED until SPS/agency/temperature rules and external filing path approved</x:v>
      </x:c>
      <x:c r="T223" s="99" t="str">
        <x:v>BLOCKED until product/site/importer authorizations and quality path approved</x:v>
      </x:c>
      <x:c r="U223" s="99" t="str">
        <x:v>BLOCKED until excise/licences/age/carrier contract approved</x:v>
      </x:c>
      <x:c r="V223" s="99" t="str">
        <x:v>BLOCKED until classification/end-use/licensing and sanctions path approved</x:v>
      </x:c>
      <x:c r="W223" s="99" t="str">
        <x:v>BLOCKED until provenance/security/insurance/carrier limits approved</x:v>
      </x:c>
      <x:c r="X223" s="99" t="str">
        <x:v>BLOCKED until purpose, values, relief evidence and restrictions approved</x:v>
      </x:c>
      <x:c r="Y223" s="103" t="b">
        <x:v>0</x:v>
      </x:c>
      <x:c r="Z223" s="103" t="b">
        <x:v>0</x:v>
      </x:c>
      <x:c r="AA223" s="103" t="b">
        <x:v>0</x:v>
      </x:c>
      <x:c r="AB223" s="103" t="b">
        <x:v>0</x:v>
      </x:c>
      <x:c r="AC223" s="103" t="b">
        <x:v>0</x:v>
      </x:c>
      <x:c r="AD223" s="106" t="str">
        <x:v>BLOCKED_PENDING_VALIDATION</x:v>
      </x:c>
      <x:c r="AE223" s="99" t="str">
        <x:v>NOT_STARTED</x:v>
      </x:c>
      <x:c r="AF223" s="99" t="str">
        <x:v>Unassigned country-pack owner</x:v>
      </x:c>
      <x:c r="AG223" s="99" t="str">
        <x:v>SRC-CUS-001, SRC-CUS-005, SRC-CUS-007, SRC-DAT-001, SRC-POST-001, SRC-PRV-001</x:v>
      </x:c>
      <x:c r="AH223" s="99" t="str">
        <x:v>2026-07-25</x:v>
      </x:c>
      <x:c r="AI223" s="99" t="str">
        <x:v>2026-08-25</x:v>
      </x:c>
      <x:c r="AJ223" s="99" t="str">
        <x:v>Registry coverage only. Production readiness is capability-specific and requires the release checklist.</x:v>
      </x:c>
    </x:row>
    <x:row r="224" ht="54" customHeight="1">
      <x:c r="A224" s="97" t="str">
        <x:v>CP-TJ</x:v>
      </x:c>
      <x:c r="B224" s="97" t="str">
        <x:v>Tajikistan</x:v>
      </x:c>
      <x:c r="C224" s="97" t="str">
        <x:v>TJ</x:v>
      </x:c>
      <x:c r="D224" s="97" t="str">
        <x:v>TJK</x:v>
      </x:c>
      <x:c r="E224" s="97" t="str">
        <x:v>762</x:v>
      </x:c>
      <x:c r="F224" s="97" t="str">
        <x:v>ISO 3166-1 assigned</x:v>
      </x:c>
      <x:c r="G224" s="97" t="str">
        <x:v>Independent state</x:v>
      </x:c>
      <x:c r="H224" s="97" t="str">
        <x:v>Self-administered for pack indexing; legal status follows authoritative sources</x:v>
      </x:c>
      <x:c r="I224" s="97" t="str">
        <x:v>Asia</x:v>
      </x:c>
      <x:c r="J224" s="97" t="str">
        <x:v>Central Asia</x:v>
      </x:c>
      <x:c r="K224" s="97" t="str">
        <x:v>National/territorial customs framework—local validation required</x:v>
      </x:c>
      <x:c r="L224" s="97" t="str">
        <x:v>UPU/operator contract, bilateral rules, EAD/message versions and serviceability must be validated</x:v>
      </x:c>
      <x:c r="M224" s="97" t="str">
        <x:v>ICAO state rules, PLACI regime, security status, carrier routing and serviceability must be validated</x:v>
      </x:c>
      <x:c r="N224" s="97" t="str">
        <x:v>Country-pack privacy law and transfer mechanism required</x:v>
      </x:c>
      <x:c r="O224" s="97" t="str">
        <x:v>Screen live lists for every applicable nexus; resolve ownership, sectoral, end-use and licence controls</x:v>
      </x:c>
      <x:c r="P224" s="97" t="str">
        <x:v>No static legal conclusion. Validate current national/territorial customs, tax, licensing, product, privacy and carrier sources before activation.</x:v>
      </x:c>
      <x:c r="Q224" s="97" t="str">
        <x:v>BLOCKED until tariff, prohibitions, documents and carrier services approved</x:v>
      </x:c>
      <x:c r="R224" s="97" t="str">
        <x:v>BLOCKED until ICAO/state/operator variations and certified review path approved</x:v>
      </x:c>
      <x:c r="S224" s="97" t="str">
        <x:v>BLOCKED until SPS/agency/temperature rules and external filing path approved</x:v>
      </x:c>
      <x:c r="T224" s="97" t="str">
        <x:v>BLOCKED until product/site/importer authorizations and quality path approved</x:v>
      </x:c>
      <x:c r="U224" s="97" t="str">
        <x:v>BLOCKED until excise/licences/age/carrier contract approved</x:v>
      </x:c>
      <x:c r="V224" s="97" t="str">
        <x:v>BLOCKED until classification/end-use/licensing and sanctions path approved</x:v>
      </x:c>
      <x:c r="W224" s="97" t="str">
        <x:v>BLOCKED until provenance/security/insurance/carrier limits approved</x:v>
      </x:c>
      <x:c r="X224" s="97" t="str">
        <x:v>BLOCKED until purpose, values, relief evidence and restrictions approved</x:v>
      </x:c>
      <x:c r="Y224" s="104" t="b">
        <x:v>0</x:v>
      </x:c>
      <x:c r="Z224" s="104" t="b">
        <x:v>0</x:v>
      </x:c>
      <x:c r="AA224" s="104" t="b">
        <x:v>0</x:v>
      </x:c>
      <x:c r="AB224" s="104" t="b">
        <x:v>0</x:v>
      </x:c>
      <x:c r="AC224" s="104" t="b">
        <x:v>0</x:v>
      </x:c>
      <x:c r="AD224" s="106" t="str">
        <x:v>BLOCKED_PENDING_VALIDATION</x:v>
      </x:c>
      <x:c r="AE224" s="97" t="str">
        <x:v>NOT_STARTED</x:v>
      </x:c>
      <x:c r="AF224" s="97" t="str">
        <x:v>Unassigned country-pack owner</x:v>
      </x:c>
      <x:c r="AG224" s="97" t="str">
        <x:v>SRC-CUS-001, SRC-CUS-005, SRC-CUS-007, SRC-DAT-001, SRC-POST-001, SRC-PRV-001</x:v>
      </x:c>
      <x:c r="AH224" s="97" t="str">
        <x:v>2026-07-25</x:v>
      </x:c>
      <x:c r="AI224" s="97" t="str">
        <x:v>2026-08-25</x:v>
      </x:c>
      <x:c r="AJ224" s="97" t="str">
        <x:v>Registry coverage only. Production readiness is capability-specific and requires the release checklist.</x:v>
      </x:c>
    </x:row>
    <x:row r="225" ht="54" customHeight="1">
      <x:c r="A225" s="99" t="str">
        <x:v>CP-TZ</x:v>
      </x:c>
      <x:c r="B225" s="99" t="str">
        <x:v>Tanzania</x:v>
      </x:c>
      <x:c r="C225" s="99" t="str">
        <x:v>TZ</x:v>
      </x:c>
      <x:c r="D225" s="99" t="str">
        <x:v>TZA</x:v>
      </x:c>
      <x:c r="E225" s="99" t="str">
        <x:v>834</x:v>
      </x:c>
      <x:c r="F225" s="99" t="str">
        <x:v>ISO 3166-1 assigned</x:v>
      </x:c>
      <x:c r="G225" s="99" t="str">
        <x:v>Independent state</x:v>
      </x:c>
      <x:c r="H225" s="99" t="str">
        <x:v>Self-administered for pack indexing; legal status follows authoritative sources</x:v>
      </x:c>
      <x:c r="I225" s="99" t="str">
        <x:v>Africa</x:v>
      </x:c>
      <x:c r="J225" s="99" t="str">
        <x:v>Eastern Africa</x:v>
      </x:c>
      <x:c r="K225" s="99" t="str">
        <x:v>EAC member; national implementation required</x:v>
      </x:c>
      <x:c r="L225" s="99" t="str">
        <x:v>UPU/operator contract, bilateral rules, EAD/message versions and serviceability must be validated</x:v>
      </x:c>
      <x:c r="M225" s="99" t="str">
        <x:v>ICAO state rules, PLACI regime, security status, carrier routing and serviceability must be validated</x:v>
      </x:c>
      <x:c r="N225" s="99" t="str">
        <x:v>Country-pack privacy law and transfer mechanism required</x:v>
      </x:c>
      <x:c r="O225" s="99" t="str">
        <x:v>Screen live lists for every applicable nexus; resolve ownership, sectoral, end-use and licence controls</x:v>
      </x:c>
      <x:c r="P225" s="99" t="str">
        <x:v>No static legal conclusion. Validate current national/territorial customs, tax, licensing, product, privacy and carrier sources before activation.</x:v>
      </x:c>
      <x:c r="Q225" s="99" t="str">
        <x:v>BLOCKED until tariff, prohibitions, documents and carrier services approved</x:v>
      </x:c>
      <x:c r="R225" s="99" t="str">
        <x:v>BLOCKED until ICAO/state/operator variations and certified review path approved</x:v>
      </x:c>
      <x:c r="S225" s="99" t="str">
        <x:v>BLOCKED until SPS/agency/temperature rules and external filing path approved</x:v>
      </x:c>
      <x:c r="T225" s="99" t="str">
        <x:v>BLOCKED until product/site/importer authorizations and quality path approved</x:v>
      </x:c>
      <x:c r="U225" s="99" t="str">
        <x:v>BLOCKED until excise/licences/age/carrier contract approved</x:v>
      </x:c>
      <x:c r="V225" s="99" t="str">
        <x:v>BLOCKED until classification/end-use/licensing and sanctions path approved</x:v>
      </x:c>
      <x:c r="W225" s="99" t="str">
        <x:v>BLOCKED until provenance/security/insurance/carrier limits approved</x:v>
      </x:c>
      <x:c r="X225" s="99" t="str">
        <x:v>BLOCKED until purpose, values, relief evidence and restrictions approved</x:v>
      </x:c>
      <x:c r="Y225" s="103" t="b">
        <x:v>0</x:v>
      </x:c>
      <x:c r="Z225" s="103" t="b">
        <x:v>0</x:v>
      </x:c>
      <x:c r="AA225" s="103" t="b">
        <x:v>0</x:v>
      </x:c>
      <x:c r="AB225" s="103" t="b">
        <x:v>0</x:v>
      </x:c>
      <x:c r="AC225" s="103" t="b">
        <x:v>0</x:v>
      </x:c>
      <x:c r="AD225" s="106" t="str">
        <x:v>BLOCKED_PENDING_VALIDATION</x:v>
      </x:c>
      <x:c r="AE225" s="99" t="str">
        <x:v>NOT_STARTED</x:v>
      </x:c>
      <x:c r="AF225" s="99" t="str">
        <x:v>Unassigned country-pack owner</x:v>
      </x:c>
      <x:c r="AG225" s="99" t="str">
        <x:v>SRC-CUS-001, SRC-CUS-005, SRC-CUS-007, SRC-DAT-001, SRC-POST-001, SRC-PRV-001</x:v>
      </x:c>
      <x:c r="AH225" s="99" t="str">
        <x:v>2026-07-25</x:v>
      </x:c>
      <x:c r="AI225" s="99" t="str">
        <x:v>2026-08-25</x:v>
      </x:c>
      <x:c r="AJ225" s="99" t="str">
        <x:v>Registry coverage only. Production readiness is capability-specific and requires the release checklist.</x:v>
      </x:c>
    </x:row>
    <x:row r="226" ht="54" customHeight="1">
      <x:c r="A226" s="97" t="str">
        <x:v>CP-TH</x:v>
      </x:c>
      <x:c r="B226" s="97" t="str">
        <x:v>Thailand</x:v>
      </x:c>
      <x:c r="C226" s="97" t="str">
        <x:v>TH</x:v>
      </x:c>
      <x:c r="D226" s="97" t="str">
        <x:v>THA</x:v>
      </x:c>
      <x:c r="E226" s="97" t="str">
        <x:v>764</x:v>
      </x:c>
      <x:c r="F226" s="97" t="str">
        <x:v>ISO 3166-1 assigned</x:v>
      </x:c>
      <x:c r="G226" s="97" t="str">
        <x:v>Independent state</x:v>
      </x:c>
      <x:c r="H226" s="97" t="str">
        <x:v>Self-administered for pack indexing; legal status follows authoritative sources</x:v>
      </x:c>
      <x:c r="I226" s="97" t="str">
        <x:v>Asia</x:v>
      </x:c>
      <x:c r="J226" s="97" t="str">
        <x:v>South-Eastern Asia</x:v>
      </x:c>
      <x:c r="K226" s="97" t="str">
        <x:v>National/territorial customs framework—local validation required</x:v>
      </x:c>
      <x:c r="L226" s="97" t="str">
        <x:v>UPU/operator contract, bilateral rules, EAD/message versions and serviceability must be validated</x:v>
      </x:c>
      <x:c r="M226" s="97" t="str">
        <x:v>ICAO state rules, PLACI regime, security status, carrier routing and serviceability must be validated</x:v>
      </x:c>
      <x:c r="N226" s="97" t="str">
        <x:v>Country-pack privacy law and transfer mechanism required</x:v>
      </x:c>
      <x:c r="O226" s="97" t="str">
        <x:v>Screen live lists for every applicable nexus; resolve ownership, sectoral, end-use and licence controls</x:v>
      </x:c>
      <x:c r="P226" s="97" t="str">
        <x:v>No static legal conclusion. Validate current national/territorial customs, tax, licensing, product, privacy and carrier sources before activation.</x:v>
      </x:c>
      <x:c r="Q226" s="97" t="str">
        <x:v>BLOCKED until tariff, prohibitions, documents and carrier services approved</x:v>
      </x:c>
      <x:c r="R226" s="97" t="str">
        <x:v>BLOCKED until ICAO/state/operator variations and certified review path approved</x:v>
      </x:c>
      <x:c r="S226" s="97" t="str">
        <x:v>BLOCKED until SPS/agency/temperature rules and external filing path approved</x:v>
      </x:c>
      <x:c r="T226" s="97" t="str">
        <x:v>BLOCKED until product/site/importer authorizations and quality path approved</x:v>
      </x:c>
      <x:c r="U226" s="97" t="str">
        <x:v>BLOCKED until excise/licences/age/carrier contract approved</x:v>
      </x:c>
      <x:c r="V226" s="97" t="str">
        <x:v>BLOCKED until classification/end-use/licensing and sanctions path approved</x:v>
      </x:c>
      <x:c r="W226" s="97" t="str">
        <x:v>BLOCKED until provenance/security/insurance/carrier limits approved</x:v>
      </x:c>
      <x:c r="X226" s="97" t="str">
        <x:v>BLOCKED until purpose, values, relief evidence and restrictions approved</x:v>
      </x:c>
      <x:c r="Y226" s="104" t="b">
        <x:v>0</x:v>
      </x:c>
      <x:c r="Z226" s="104" t="b">
        <x:v>0</x:v>
      </x:c>
      <x:c r="AA226" s="104" t="b">
        <x:v>0</x:v>
      </x:c>
      <x:c r="AB226" s="104" t="b">
        <x:v>0</x:v>
      </x:c>
      <x:c r="AC226" s="104" t="b">
        <x:v>0</x:v>
      </x:c>
      <x:c r="AD226" s="106" t="str">
        <x:v>BLOCKED_PENDING_VALIDATION</x:v>
      </x:c>
      <x:c r="AE226" s="97" t="str">
        <x:v>NOT_STARTED</x:v>
      </x:c>
      <x:c r="AF226" s="97" t="str">
        <x:v>Unassigned country-pack owner</x:v>
      </x:c>
      <x:c r="AG226" s="97" t="str">
        <x:v>SRC-CUS-001, SRC-CUS-005, SRC-CUS-007, SRC-DAT-001, SRC-POST-001, SRC-PRV-001</x:v>
      </x:c>
      <x:c r="AH226" s="97" t="str">
        <x:v>2026-07-25</x:v>
      </x:c>
      <x:c r="AI226" s="97" t="str">
        <x:v>2026-08-25</x:v>
      </x:c>
      <x:c r="AJ226" s="97" t="str">
        <x:v>Registry coverage only. Production readiness is capability-specific and requires the release checklist.</x:v>
      </x:c>
    </x:row>
    <x:row r="227" ht="54" customHeight="1">
      <x:c r="A227" s="99" t="str">
        <x:v>CP-TL</x:v>
      </x:c>
      <x:c r="B227" s="99" t="str">
        <x:v>Timor-Leste</x:v>
      </x:c>
      <x:c r="C227" s="99" t="str">
        <x:v>TL</x:v>
      </x:c>
      <x:c r="D227" s="99" t="str">
        <x:v>TLS</x:v>
      </x:c>
      <x:c r="E227" s="99" t="str">
        <x:v>626</x:v>
      </x:c>
      <x:c r="F227" s="99" t="str">
        <x:v>ISO 3166-1 assigned</x:v>
      </x:c>
      <x:c r="G227" s="99" t="str">
        <x:v>Independent state</x:v>
      </x:c>
      <x:c r="H227" s="99" t="str">
        <x:v>Self-administered for pack indexing; legal status follows authoritative sources</x:v>
      </x:c>
      <x:c r="I227" s="99" t="str">
        <x:v>Asia</x:v>
      </x:c>
      <x:c r="J227" s="99" t="str">
        <x:v>South-Eastern Asia</x:v>
      </x:c>
      <x:c r="K227" s="99" t="str">
        <x:v>National/territorial customs framework—local validation required</x:v>
      </x:c>
      <x:c r="L227" s="99" t="str">
        <x:v>UPU/operator contract, bilateral rules, EAD/message versions and serviceability must be validated</x:v>
      </x:c>
      <x:c r="M227" s="99" t="str">
        <x:v>ICAO state rules, PLACI regime, security status, carrier routing and serviceability must be validated</x:v>
      </x:c>
      <x:c r="N227" s="99" t="str">
        <x:v>Country-pack privacy law and transfer mechanism required</x:v>
      </x:c>
      <x:c r="O227" s="99" t="str">
        <x:v>Screen live lists for every applicable nexus; resolve ownership, sectoral, end-use and licence controls</x:v>
      </x:c>
      <x:c r="P227" s="99" t="str">
        <x:v>No static legal conclusion. Validate current national/territorial customs, tax, licensing, product, privacy and carrier sources before activation.</x:v>
      </x:c>
      <x:c r="Q227" s="99" t="str">
        <x:v>BLOCKED until tariff, prohibitions, documents and carrier services approved</x:v>
      </x:c>
      <x:c r="R227" s="99" t="str">
        <x:v>BLOCKED until ICAO/state/operator variations and certified review path approved</x:v>
      </x:c>
      <x:c r="S227" s="99" t="str">
        <x:v>BLOCKED until SPS/agency/temperature rules and external filing path approved</x:v>
      </x:c>
      <x:c r="T227" s="99" t="str">
        <x:v>BLOCKED until product/site/importer authorizations and quality path approved</x:v>
      </x:c>
      <x:c r="U227" s="99" t="str">
        <x:v>BLOCKED until excise/licences/age/carrier contract approved</x:v>
      </x:c>
      <x:c r="V227" s="99" t="str">
        <x:v>BLOCKED until classification/end-use/licensing and sanctions path approved</x:v>
      </x:c>
      <x:c r="W227" s="99" t="str">
        <x:v>BLOCKED until provenance/security/insurance/carrier limits approved</x:v>
      </x:c>
      <x:c r="X227" s="99" t="str">
        <x:v>BLOCKED until purpose, values, relief evidence and restrictions approved</x:v>
      </x:c>
      <x:c r="Y227" s="103" t="b">
        <x:v>0</x:v>
      </x:c>
      <x:c r="Z227" s="103" t="b">
        <x:v>0</x:v>
      </x:c>
      <x:c r="AA227" s="103" t="b">
        <x:v>0</x:v>
      </x:c>
      <x:c r="AB227" s="103" t="b">
        <x:v>0</x:v>
      </x:c>
      <x:c r="AC227" s="103" t="b">
        <x:v>0</x:v>
      </x:c>
      <x:c r="AD227" s="106" t="str">
        <x:v>BLOCKED_PENDING_VALIDATION</x:v>
      </x:c>
      <x:c r="AE227" s="99" t="str">
        <x:v>NOT_STARTED</x:v>
      </x:c>
      <x:c r="AF227" s="99" t="str">
        <x:v>Unassigned country-pack owner</x:v>
      </x:c>
      <x:c r="AG227" s="99" t="str">
        <x:v>SRC-CUS-001, SRC-CUS-005, SRC-CUS-007, SRC-DAT-001, SRC-POST-001, SRC-PRV-001</x:v>
      </x:c>
      <x:c r="AH227" s="99" t="str">
        <x:v>2026-07-25</x:v>
      </x:c>
      <x:c r="AI227" s="99" t="str">
        <x:v>2026-08-25</x:v>
      </x:c>
      <x:c r="AJ227" s="99" t="str">
        <x:v>Registry coverage only. Production readiness is capability-specific and requires the release checklist.</x:v>
      </x:c>
    </x:row>
    <x:row r="228" ht="54" customHeight="1">
      <x:c r="A228" s="97" t="str">
        <x:v>CP-TG</x:v>
      </x:c>
      <x:c r="B228" s="97" t="str">
        <x:v>Togo</x:v>
      </x:c>
      <x:c r="C228" s="97" t="str">
        <x:v>TG</x:v>
      </x:c>
      <x:c r="D228" s="97" t="str">
        <x:v>TGO</x:v>
      </x:c>
      <x:c r="E228" s="97" t="str">
        <x:v>768</x:v>
      </x:c>
      <x:c r="F228" s="97" t="str">
        <x:v>ISO 3166-1 assigned</x:v>
      </x:c>
      <x:c r="G228" s="97" t="str">
        <x:v>Independent state</x:v>
      </x:c>
      <x:c r="H228" s="97" t="str">
        <x:v>Self-administered for pack indexing; legal status follows authoritative sources</x:v>
      </x:c>
      <x:c r="I228" s="97" t="str">
        <x:v>Africa</x:v>
      </x:c>
      <x:c r="J228" s="97" t="str">
        <x:v>Western Africa</x:v>
      </x:c>
      <x:c r="K228" s="97" t="str">
        <x:v>National/territorial customs framework—local validation required</x:v>
      </x:c>
      <x:c r="L228" s="97" t="str">
        <x:v>UPU/operator contract, bilateral rules, EAD/message versions and serviceability must be validated</x:v>
      </x:c>
      <x:c r="M228" s="97" t="str">
        <x:v>ICAO state rules, PLACI regime, security status, carrier routing and serviceability must be validated</x:v>
      </x:c>
      <x:c r="N228" s="97" t="str">
        <x:v>Country-pack privacy law and transfer mechanism required</x:v>
      </x:c>
      <x:c r="O228" s="97" t="str">
        <x:v>Screen live lists for every applicable nexus; resolve ownership, sectoral, end-use and licence controls</x:v>
      </x:c>
      <x:c r="P228" s="97" t="str">
        <x:v>No static legal conclusion. Validate current national/territorial customs, tax, licensing, product, privacy and carrier sources before activation.</x:v>
      </x:c>
      <x:c r="Q228" s="97" t="str">
        <x:v>BLOCKED until tariff, prohibitions, documents and carrier services approved</x:v>
      </x:c>
      <x:c r="R228" s="97" t="str">
        <x:v>BLOCKED until ICAO/state/operator variations and certified review path approved</x:v>
      </x:c>
      <x:c r="S228" s="97" t="str">
        <x:v>BLOCKED until SPS/agency/temperature rules and external filing path approved</x:v>
      </x:c>
      <x:c r="T228" s="97" t="str">
        <x:v>BLOCKED until product/site/importer authorizations and quality path approved</x:v>
      </x:c>
      <x:c r="U228" s="97" t="str">
        <x:v>BLOCKED until excise/licences/age/carrier contract approved</x:v>
      </x:c>
      <x:c r="V228" s="97" t="str">
        <x:v>BLOCKED until classification/end-use/licensing and sanctions path approved</x:v>
      </x:c>
      <x:c r="W228" s="97" t="str">
        <x:v>BLOCKED until provenance/security/insurance/carrier limits approved</x:v>
      </x:c>
      <x:c r="X228" s="97" t="str">
        <x:v>BLOCKED until purpose, values, relief evidence and restrictions approved</x:v>
      </x:c>
      <x:c r="Y228" s="104" t="b">
        <x:v>0</x:v>
      </x:c>
      <x:c r="Z228" s="104" t="b">
        <x:v>0</x:v>
      </x:c>
      <x:c r="AA228" s="104" t="b">
        <x:v>0</x:v>
      </x:c>
      <x:c r="AB228" s="104" t="b">
        <x:v>0</x:v>
      </x:c>
      <x:c r="AC228" s="104" t="b">
        <x:v>0</x:v>
      </x:c>
      <x:c r="AD228" s="106" t="str">
        <x:v>BLOCKED_PENDING_VALIDATION</x:v>
      </x:c>
      <x:c r="AE228" s="97" t="str">
        <x:v>NOT_STARTED</x:v>
      </x:c>
      <x:c r="AF228" s="97" t="str">
        <x:v>Unassigned country-pack owner</x:v>
      </x:c>
      <x:c r="AG228" s="97" t="str">
        <x:v>SRC-CUS-001, SRC-CUS-005, SRC-CUS-007, SRC-DAT-001, SRC-POST-001, SRC-PRV-001</x:v>
      </x:c>
      <x:c r="AH228" s="97" t="str">
        <x:v>2026-07-25</x:v>
      </x:c>
      <x:c r="AI228" s="97" t="str">
        <x:v>2026-08-25</x:v>
      </x:c>
      <x:c r="AJ228" s="97" t="str">
        <x:v>Registry coverage only. Production readiness is capability-specific and requires the release checklist.</x:v>
      </x:c>
    </x:row>
    <x:row r="229" ht="54" customHeight="1">
      <x:c r="A229" s="99" t="str">
        <x:v>CP-TK</x:v>
      </x:c>
      <x:c r="B229" s="99" t="str">
        <x:v>Tokelau</x:v>
      </x:c>
      <x:c r="C229" s="99" t="str">
        <x:v>TK</x:v>
      </x:c>
      <x:c r="D229" s="99" t="str">
        <x:v>TKL</x:v>
      </x:c>
      <x:c r="E229" s="99" t="str">
        <x:v>772</x:v>
      </x:c>
      <x:c r="F229" s="99" t="str">
        <x:v>ISO 3166-1 assigned</x:v>
      </x:c>
      <x:c r="G229" s="99" t="str">
        <x:v>Territory, dependency or special-area record</x:v>
      </x:c>
      <x:c r="H229" s="99" t="str">
        <x:v>New Zealand</x:v>
      </x:c>
      <x:c r="I229" s="99" t="str">
        <x:v>Oceania</x:v>
      </x:c>
      <x:c r="J229" s="99" t="str">
        <x:v>Polynesia</x:v>
      </x:c>
      <x:c r="K229" s="99" t="str">
        <x:v>National/territorial customs framework—local validation required</x:v>
      </x:c>
      <x:c r="L229" s="99" t="str">
        <x:v>UPU/operator contract, bilateral rules, EAD/message versions and serviceability must be validated</x:v>
      </x:c>
      <x:c r="M229" s="99" t="str">
        <x:v>ICAO state rules, PLACI regime, security status, carrier routing and serviceability must be validated</x:v>
      </x:c>
      <x:c r="N229" s="99" t="str">
        <x:v>Country-pack privacy law and transfer mechanism required</x:v>
      </x:c>
      <x:c r="O229" s="99" t="str">
        <x:v>Screen live lists for every applicable nexus; resolve ownership, sectoral, end-use and licence controls</x:v>
      </x:c>
      <x:c r="P229" s="99" t="str">
        <x:v>No static legal conclusion. Validate current national/territorial customs, tax, licensing, product, privacy and carrier sources before activation.</x:v>
      </x:c>
      <x:c r="Q229" s="99" t="str">
        <x:v>BLOCKED until tariff, prohibitions, documents and carrier services approved</x:v>
      </x:c>
      <x:c r="R229" s="99" t="str">
        <x:v>BLOCKED until ICAO/state/operator variations and certified review path approved</x:v>
      </x:c>
      <x:c r="S229" s="99" t="str">
        <x:v>BLOCKED until SPS/agency/temperature rules and external filing path approved</x:v>
      </x:c>
      <x:c r="T229" s="99" t="str">
        <x:v>BLOCKED until product/site/importer authorizations and quality path approved</x:v>
      </x:c>
      <x:c r="U229" s="99" t="str">
        <x:v>BLOCKED until excise/licences/age/carrier contract approved</x:v>
      </x:c>
      <x:c r="V229" s="99" t="str">
        <x:v>BLOCKED until classification/end-use/licensing and sanctions path approved</x:v>
      </x:c>
      <x:c r="W229" s="99" t="str">
        <x:v>BLOCKED until provenance/security/insurance/carrier limits approved</x:v>
      </x:c>
      <x:c r="X229" s="99" t="str">
        <x:v>BLOCKED until purpose, values, relief evidence and restrictions approved</x:v>
      </x:c>
      <x:c r="Y229" s="103" t="b">
        <x:v>0</x:v>
      </x:c>
      <x:c r="Z229" s="103" t="b">
        <x:v>0</x:v>
      </x:c>
      <x:c r="AA229" s="103" t="b">
        <x:v>0</x:v>
      </x:c>
      <x:c r="AB229" s="103" t="b">
        <x:v>0</x:v>
      </x:c>
      <x:c r="AC229" s="103" t="b">
        <x:v>0</x:v>
      </x:c>
      <x:c r="AD229" s="106" t="str">
        <x:v>BLOCKED_PENDING_VALIDATION</x:v>
      </x:c>
      <x:c r="AE229" s="99" t="str">
        <x:v>NOT_STARTED</x:v>
      </x:c>
      <x:c r="AF229" s="99" t="str">
        <x:v>Unassigned country-pack owner</x:v>
      </x:c>
      <x:c r="AG229" s="99" t="str">
        <x:v>SRC-CUS-001, SRC-CUS-005, SRC-CUS-007, SRC-DAT-001, SRC-POST-001, SRC-PRV-001</x:v>
      </x:c>
      <x:c r="AH229" s="99" t="str">
        <x:v>2026-07-25</x:v>
      </x:c>
      <x:c r="AI229" s="99" t="str">
        <x:v>2026-08-25</x:v>
      </x:c>
      <x:c r="AJ229" s="99" t="str">
        <x:v>Registry coverage only. Production readiness is capability-specific and requires the release checklist.</x:v>
      </x:c>
    </x:row>
    <x:row r="230" ht="54" customHeight="1">
      <x:c r="A230" s="97" t="str">
        <x:v>CP-TO</x:v>
      </x:c>
      <x:c r="B230" s="97" t="str">
        <x:v>Tonga</x:v>
      </x:c>
      <x:c r="C230" s="97" t="str">
        <x:v>TO</x:v>
      </x:c>
      <x:c r="D230" s="97" t="str">
        <x:v>TON</x:v>
      </x:c>
      <x:c r="E230" s="97" t="str">
        <x:v>776</x:v>
      </x:c>
      <x:c r="F230" s="97" t="str">
        <x:v>ISO 3166-1 assigned</x:v>
      </x:c>
      <x:c r="G230" s="97" t="str">
        <x:v>Independent state</x:v>
      </x:c>
      <x:c r="H230" s="97" t="str">
        <x:v>Self-administered for pack indexing; legal status follows authoritative sources</x:v>
      </x:c>
      <x:c r="I230" s="97" t="str">
        <x:v>Oceania</x:v>
      </x:c>
      <x:c r="J230" s="97" t="str">
        <x:v>Polynesia</x:v>
      </x:c>
      <x:c r="K230" s="97" t="str">
        <x:v>National/territorial customs framework—local validation required</x:v>
      </x:c>
      <x:c r="L230" s="97" t="str">
        <x:v>UPU/operator contract, bilateral rules, EAD/message versions and serviceability must be validated</x:v>
      </x:c>
      <x:c r="M230" s="97" t="str">
        <x:v>ICAO state rules, PLACI regime, security status, carrier routing and serviceability must be validated</x:v>
      </x:c>
      <x:c r="N230" s="97" t="str">
        <x:v>Country-pack privacy law and transfer mechanism required</x:v>
      </x:c>
      <x:c r="O230" s="97" t="str">
        <x:v>Screen live lists for every applicable nexus; resolve ownership, sectoral, end-use and licence controls</x:v>
      </x:c>
      <x:c r="P230" s="97" t="str">
        <x:v>No static legal conclusion. Validate current national/territorial customs, tax, licensing, product, privacy and carrier sources before activation.</x:v>
      </x:c>
      <x:c r="Q230" s="97" t="str">
        <x:v>BLOCKED until tariff, prohibitions, documents and carrier services approved</x:v>
      </x:c>
      <x:c r="R230" s="97" t="str">
        <x:v>BLOCKED until ICAO/state/operator variations and certified review path approved</x:v>
      </x:c>
      <x:c r="S230" s="97" t="str">
        <x:v>BLOCKED until SPS/agency/temperature rules and external filing path approved</x:v>
      </x:c>
      <x:c r="T230" s="97" t="str">
        <x:v>BLOCKED until product/site/importer authorizations and quality path approved</x:v>
      </x:c>
      <x:c r="U230" s="97" t="str">
        <x:v>BLOCKED until excise/licences/age/carrier contract approved</x:v>
      </x:c>
      <x:c r="V230" s="97" t="str">
        <x:v>BLOCKED until classification/end-use/licensing and sanctions path approved</x:v>
      </x:c>
      <x:c r="W230" s="97" t="str">
        <x:v>BLOCKED until provenance/security/insurance/carrier limits approved</x:v>
      </x:c>
      <x:c r="X230" s="97" t="str">
        <x:v>BLOCKED until purpose, values, relief evidence and restrictions approved</x:v>
      </x:c>
      <x:c r="Y230" s="104" t="b">
        <x:v>0</x:v>
      </x:c>
      <x:c r="Z230" s="104" t="b">
        <x:v>0</x:v>
      </x:c>
      <x:c r="AA230" s="104" t="b">
        <x:v>0</x:v>
      </x:c>
      <x:c r="AB230" s="104" t="b">
        <x:v>0</x:v>
      </x:c>
      <x:c r="AC230" s="104" t="b">
        <x:v>0</x:v>
      </x:c>
      <x:c r="AD230" s="106" t="str">
        <x:v>BLOCKED_PENDING_VALIDATION</x:v>
      </x:c>
      <x:c r="AE230" s="97" t="str">
        <x:v>NOT_STARTED</x:v>
      </x:c>
      <x:c r="AF230" s="97" t="str">
        <x:v>Unassigned country-pack owner</x:v>
      </x:c>
      <x:c r="AG230" s="97" t="str">
        <x:v>SRC-CUS-001, SRC-CUS-005, SRC-CUS-007, SRC-DAT-001, SRC-POST-001, SRC-PRV-001</x:v>
      </x:c>
      <x:c r="AH230" s="97" t="str">
        <x:v>2026-07-25</x:v>
      </x:c>
      <x:c r="AI230" s="97" t="str">
        <x:v>2026-08-25</x:v>
      </x:c>
      <x:c r="AJ230" s="97" t="str">
        <x:v>Registry coverage only. Production readiness is capability-specific and requires the release checklist.</x:v>
      </x:c>
    </x:row>
    <x:row r="231" ht="54" customHeight="1">
      <x:c r="A231" s="99" t="str">
        <x:v>CP-TT</x:v>
      </x:c>
      <x:c r="B231" s="99" t="str">
        <x:v>Trinidad and Tobago</x:v>
      </x:c>
      <x:c r="C231" s="99" t="str">
        <x:v>TT</x:v>
      </x:c>
      <x:c r="D231" s="99" t="str">
        <x:v>TTO</x:v>
      </x:c>
      <x:c r="E231" s="99" t="str">
        <x:v>780</x:v>
      </x:c>
      <x:c r="F231" s="99" t="str">
        <x:v>ISO 3166-1 assigned</x:v>
      </x:c>
      <x:c r="G231" s="99" t="str">
        <x:v>Independent state</x:v>
      </x:c>
      <x:c r="H231" s="99" t="str">
        <x:v>Self-administered for pack indexing; legal status follows authoritative sources</x:v>
      </x:c>
      <x:c r="I231" s="99" t="str">
        <x:v>Americas</x:v>
      </x:c>
      <x:c r="J231" s="99" t="str">
        <x:v>Caribbean</x:v>
      </x:c>
      <x:c r="K231" s="99" t="str">
        <x:v>National/territorial customs framework—local validation required</x:v>
      </x:c>
      <x:c r="L231" s="99" t="str">
        <x:v>UPU/operator contract, bilateral rules, EAD/message versions and serviceability must be validated</x:v>
      </x:c>
      <x:c r="M231" s="99" t="str">
        <x:v>ICAO state rules, PLACI regime, security status, carrier routing and serviceability must be validated</x:v>
      </x:c>
      <x:c r="N231" s="99" t="str">
        <x:v>Country-pack privacy law and transfer mechanism required</x:v>
      </x:c>
      <x:c r="O231" s="99" t="str">
        <x:v>Screen live lists for every applicable nexus; resolve ownership, sectoral, end-use and licence controls</x:v>
      </x:c>
      <x:c r="P231" s="99" t="str">
        <x:v>No static legal conclusion. Validate current national/territorial customs, tax, licensing, product, privacy and carrier sources before activation.</x:v>
      </x:c>
      <x:c r="Q231" s="99" t="str">
        <x:v>BLOCKED until tariff, prohibitions, documents and carrier services approved</x:v>
      </x:c>
      <x:c r="R231" s="99" t="str">
        <x:v>BLOCKED until ICAO/state/operator variations and certified review path approved</x:v>
      </x:c>
      <x:c r="S231" s="99" t="str">
        <x:v>BLOCKED until SPS/agency/temperature rules and external filing path approved</x:v>
      </x:c>
      <x:c r="T231" s="99" t="str">
        <x:v>BLOCKED until product/site/importer authorizations and quality path approved</x:v>
      </x:c>
      <x:c r="U231" s="99" t="str">
        <x:v>BLOCKED until excise/licences/age/carrier contract approved</x:v>
      </x:c>
      <x:c r="V231" s="99" t="str">
        <x:v>BLOCKED until classification/end-use/licensing and sanctions path approved</x:v>
      </x:c>
      <x:c r="W231" s="99" t="str">
        <x:v>BLOCKED until provenance/security/insurance/carrier limits approved</x:v>
      </x:c>
      <x:c r="X231" s="99" t="str">
        <x:v>BLOCKED until purpose, values, relief evidence and restrictions approved</x:v>
      </x:c>
      <x:c r="Y231" s="103" t="b">
        <x:v>0</x:v>
      </x:c>
      <x:c r="Z231" s="103" t="b">
        <x:v>0</x:v>
      </x:c>
      <x:c r="AA231" s="103" t="b">
        <x:v>0</x:v>
      </x:c>
      <x:c r="AB231" s="103" t="b">
        <x:v>0</x:v>
      </x:c>
      <x:c r="AC231" s="103" t="b">
        <x:v>0</x:v>
      </x:c>
      <x:c r="AD231" s="106" t="str">
        <x:v>BLOCKED_PENDING_VALIDATION</x:v>
      </x:c>
      <x:c r="AE231" s="99" t="str">
        <x:v>NOT_STARTED</x:v>
      </x:c>
      <x:c r="AF231" s="99" t="str">
        <x:v>Unassigned country-pack owner</x:v>
      </x:c>
      <x:c r="AG231" s="99" t="str">
        <x:v>SRC-CUS-001, SRC-CUS-005, SRC-CUS-007, SRC-DAT-001, SRC-POST-001, SRC-PRV-001</x:v>
      </x:c>
      <x:c r="AH231" s="99" t="str">
        <x:v>2026-07-25</x:v>
      </x:c>
      <x:c r="AI231" s="99" t="str">
        <x:v>2026-08-25</x:v>
      </x:c>
      <x:c r="AJ231" s="99" t="str">
        <x:v>Registry coverage only. Production readiness is capability-specific and requires the release checklist.</x:v>
      </x:c>
    </x:row>
    <x:row r="232" ht="54" customHeight="1">
      <x:c r="A232" s="97" t="str">
        <x:v>CP-TN</x:v>
      </x:c>
      <x:c r="B232" s="97" t="str">
        <x:v>Tunisia</x:v>
      </x:c>
      <x:c r="C232" s="97" t="str">
        <x:v>TN</x:v>
      </x:c>
      <x:c r="D232" s="97" t="str">
        <x:v>TUN</x:v>
      </x:c>
      <x:c r="E232" s="97" t="str">
        <x:v>788</x:v>
      </x:c>
      <x:c r="F232" s="97" t="str">
        <x:v>ISO 3166-1 assigned</x:v>
      </x:c>
      <x:c r="G232" s="97" t="str">
        <x:v>Independent state</x:v>
      </x:c>
      <x:c r="H232" s="97" t="str">
        <x:v>Self-administered for pack indexing; legal status follows authoritative sources</x:v>
      </x:c>
      <x:c r="I232" s="97" t="str">
        <x:v>Africa</x:v>
      </x:c>
      <x:c r="J232" s="97" t="str">
        <x:v>Northern Africa</x:v>
      </x:c>
      <x:c r="K232" s="97" t="str">
        <x:v>National/territorial customs framework—local validation required</x:v>
      </x:c>
      <x:c r="L232" s="97" t="str">
        <x:v>UPU/operator contract, bilateral rules, EAD/message versions and serviceability must be validated</x:v>
      </x:c>
      <x:c r="M232" s="97" t="str">
        <x:v>ICAO state rules, PLACI regime, security status, carrier routing and serviceability must be validated</x:v>
      </x:c>
      <x:c r="N232" s="97" t="str">
        <x:v>Country-pack privacy law and transfer mechanism required</x:v>
      </x:c>
      <x:c r="O232" s="97" t="str">
        <x:v>Screen live lists for every applicable nexus; resolve ownership, sectoral, end-use and licence controls</x:v>
      </x:c>
      <x:c r="P232" s="97" t="str">
        <x:v>No static legal conclusion. Validate current national/territorial customs, tax, licensing, product, privacy and carrier sources before activation.</x:v>
      </x:c>
      <x:c r="Q232" s="97" t="str">
        <x:v>BLOCKED until tariff, prohibitions, documents and carrier services approved</x:v>
      </x:c>
      <x:c r="R232" s="97" t="str">
        <x:v>BLOCKED until ICAO/state/operator variations and certified review path approved</x:v>
      </x:c>
      <x:c r="S232" s="97" t="str">
        <x:v>BLOCKED until SPS/agency/temperature rules and external filing path approved</x:v>
      </x:c>
      <x:c r="T232" s="97" t="str">
        <x:v>BLOCKED until product/site/importer authorizations and quality path approved</x:v>
      </x:c>
      <x:c r="U232" s="97" t="str">
        <x:v>BLOCKED until excise/licences/age/carrier contract approved</x:v>
      </x:c>
      <x:c r="V232" s="97" t="str">
        <x:v>BLOCKED until classification/end-use/licensing and sanctions path approved</x:v>
      </x:c>
      <x:c r="W232" s="97" t="str">
        <x:v>BLOCKED until provenance/security/insurance/carrier limits approved</x:v>
      </x:c>
      <x:c r="X232" s="97" t="str">
        <x:v>BLOCKED until purpose, values, relief evidence and restrictions approved</x:v>
      </x:c>
      <x:c r="Y232" s="104" t="b">
        <x:v>0</x:v>
      </x:c>
      <x:c r="Z232" s="104" t="b">
        <x:v>0</x:v>
      </x:c>
      <x:c r="AA232" s="104" t="b">
        <x:v>0</x:v>
      </x:c>
      <x:c r="AB232" s="104" t="b">
        <x:v>0</x:v>
      </x:c>
      <x:c r="AC232" s="104" t="b">
        <x:v>0</x:v>
      </x:c>
      <x:c r="AD232" s="106" t="str">
        <x:v>BLOCKED_PENDING_VALIDATION</x:v>
      </x:c>
      <x:c r="AE232" s="97" t="str">
        <x:v>NOT_STARTED</x:v>
      </x:c>
      <x:c r="AF232" s="97" t="str">
        <x:v>Unassigned country-pack owner</x:v>
      </x:c>
      <x:c r="AG232" s="97" t="str">
        <x:v>SRC-CUS-001, SRC-CUS-005, SRC-CUS-007, SRC-DAT-001, SRC-POST-001, SRC-PRV-001</x:v>
      </x:c>
      <x:c r="AH232" s="97" t="str">
        <x:v>2026-07-25</x:v>
      </x:c>
      <x:c r="AI232" s="97" t="str">
        <x:v>2026-08-25</x:v>
      </x:c>
      <x:c r="AJ232" s="97" t="str">
        <x:v>Registry coverage only. Production readiness is capability-specific and requires the release checklist.</x:v>
      </x:c>
    </x:row>
    <x:row r="233" ht="54" customHeight="1">
      <x:c r="A233" s="99" t="str">
        <x:v>CP-TR</x:v>
      </x:c>
      <x:c r="B233" s="99" t="str">
        <x:v>Türkiye</x:v>
      </x:c>
      <x:c r="C233" s="99" t="str">
        <x:v>TR</x:v>
      </x:c>
      <x:c r="D233" s="99" t="str">
        <x:v>TUR</x:v>
      </x:c>
      <x:c r="E233" s="99" t="str">
        <x:v>792</x:v>
      </x:c>
      <x:c r="F233" s="99" t="str">
        <x:v>ISO 3166-1 assigned</x:v>
      </x:c>
      <x:c r="G233" s="99" t="str">
        <x:v>Independent state</x:v>
      </x:c>
      <x:c r="H233" s="99" t="str">
        <x:v>Self-administered for pack indexing; legal status follows authoritative sources</x:v>
      </x:c>
      <x:c r="I233" s="99" t="str">
        <x:v>Asia</x:v>
      </x:c>
      <x:c r="J233" s="99" t="str">
        <x:v>Western Asia</x:v>
      </x:c>
      <x:c r="K233" s="99" t="str">
        <x:v>National/territorial customs framework—local validation required</x:v>
      </x:c>
      <x:c r="L233" s="99" t="str">
        <x:v>UPU/operator contract, bilateral rules, EAD/message versions and serviceability must be validated</x:v>
      </x:c>
      <x:c r="M233" s="99" t="str">
        <x:v>ICAO state rules, PLACI regime, security status, carrier routing and serviceability must be validated</x:v>
      </x:c>
      <x:c r="N233" s="99" t="str">
        <x:v>Country-pack privacy law and transfer mechanism required</x:v>
      </x:c>
      <x:c r="O233" s="99" t="str">
        <x:v>Screen live lists for every applicable nexus; resolve ownership, sectoral, end-use and licence controls</x:v>
      </x:c>
      <x:c r="P233" s="99" t="str">
        <x:v>No static legal conclusion. Validate current national/territorial customs, tax, licensing, product, privacy and carrier sources before activation.</x:v>
      </x:c>
      <x:c r="Q233" s="99" t="str">
        <x:v>BLOCKED until tariff, prohibitions, documents and carrier services approved</x:v>
      </x:c>
      <x:c r="R233" s="99" t="str">
        <x:v>BLOCKED until ICAO/state/operator variations and certified review path approved</x:v>
      </x:c>
      <x:c r="S233" s="99" t="str">
        <x:v>BLOCKED until SPS/agency/temperature rules and external filing path approved</x:v>
      </x:c>
      <x:c r="T233" s="99" t="str">
        <x:v>BLOCKED until product/site/importer authorizations and quality path approved</x:v>
      </x:c>
      <x:c r="U233" s="99" t="str">
        <x:v>BLOCKED until excise/licences/age/carrier contract approved</x:v>
      </x:c>
      <x:c r="V233" s="99" t="str">
        <x:v>BLOCKED until classification/end-use/licensing and sanctions path approved</x:v>
      </x:c>
      <x:c r="W233" s="99" t="str">
        <x:v>BLOCKED until provenance/security/insurance/carrier limits approved</x:v>
      </x:c>
      <x:c r="X233" s="99" t="str">
        <x:v>BLOCKED until purpose, values, relief evidence and restrictions approved</x:v>
      </x:c>
      <x:c r="Y233" s="103" t="b">
        <x:v>0</x:v>
      </x:c>
      <x:c r="Z233" s="103" t="b">
        <x:v>0</x:v>
      </x:c>
      <x:c r="AA233" s="103" t="b">
        <x:v>0</x:v>
      </x:c>
      <x:c r="AB233" s="103" t="b">
        <x:v>0</x:v>
      </x:c>
      <x:c r="AC233" s="103" t="b">
        <x:v>0</x:v>
      </x:c>
      <x:c r="AD233" s="106" t="str">
        <x:v>BLOCKED_PENDING_VALIDATION</x:v>
      </x:c>
      <x:c r="AE233" s="99" t="str">
        <x:v>NOT_STARTED</x:v>
      </x:c>
      <x:c r="AF233" s="99" t="str">
        <x:v>Unassigned country-pack owner</x:v>
      </x:c>
      <x:c r="AG233" s="99" t="str">
        <x:v>SRC-CUS-001, SRC-CUS-005, SRC-CUS-007, SRC-DAT-001, SRC-POST-001, SRC-PRV-001</x:v>
      </x:c>
      <x:c r="AH233" s="99" t="str">
        <x:v>2026-07-25</x:v>
      </x:c>
      <x:c r="AI233" s="99" t="str">
        <x:v>2026-08-25</x:v>
      </x:c>
      <x:c r="AJ233" s="99" t="str">
        <x:v>Registry coverage only. Production readiness is capability-specific and requires the release checklist.</x:v>
      </x:c>
    </x:row>
    <x:row r="234" ht="54" customHeight="1">
      <x:c r="A234" s="97" t="str">
        <x:v>CP-TM</x:v>
      </x:c>
      <x:c r="B234" s="97" t="str">
        <x:v>Turkmenistan</x:v>
      </x:c>
      <x:c r="C234" s="97" t="str">
        <x:v>TM</x:v>
      </x:c>
      <x:c r="D234" s="97" t="str">
        <x:v>TKM</x:v>
      </x:c>
      <x:c r="E234" s="97" t="str">
        <x:v>795</x:v>
      </x:c>
      <x:c r="F234" s="97" t="str">
        <x:v>ISO 3166-1 assigned</x:v>
      </x:c>
      <x:c r="G234" s="97" t="str">
        <x:v>Independent state</x:v>
      </x:c>
      <x:c r="H234" s="97" t="str">
        <x:v>Self-administered for pack indexing; legal status follows authoritative sources</x:v>
      </x:c>
      <x:c r="I234" s="97" t="str">
        <x:v>Asia</x:v>
      </x:c>
      <x:c r="J234" s="97" t="str">
        <x:v>Central Asia</x:v>
      </x:c>
      <x:c r="K234" s="97" t="str">
        <x:v>National/territorial customs framework—local validation required</x:v>
      </x:c>
      <x:c r="L234" s="97" t="str">
        <x:v>UPU/operator contract, bilateral rules, EAD/message versions and serviceability must be validated</x:v>
      </x:c>
      <x:c r="M234" s="97" t="str">
        <x:v>ICAO state rules, PLACI regime, security status, carrier routing and serviceability must be validated</x:v>
      </x:c>
      <x:c r="N234" s="97" t="str">
        <x:v>Country-pack privacy law and transfer mechanism required</x:v>
      </x:c>
      <x:c r="O234" s="97" t="str">
        <x:v>Screen live lists for every applicable nexus; resolve ownership, sectoral, end-use and licence controls</x:v>
      </x:c>
      <x:c r="P234" s="97" t="str">
        <x:v>No static legal conclusion. Validate current national/territorial customs, tax, licensing, product, privacy and carrier sources before activation.</x:v>
      </x:c>
      <x:c r="Q234" s="97" t="str">
        <x:v>BLOCKED until tariff, prohibitions, documents and carrier services approved</x:v>
      </x:c>
      <x:c r="R234" s="97" t="str">
        <x:v>BLOCKED until ICAO/state/operator variations and certified review path approved</x:v>
      </x:c>
      <x:c r="S234" s="97" t="str">
        <x:v>BLOCKED until SPS/agency/temperature rules and external filing path approved</x:v>
      </x:c>
      <x:c r="T234" s="97" t="str">
        <x:v>BLOCKED until product/site/importer authorizations and quality path approved</x:v>
      </x:c>
      <x:c r="U234" s="97" t="str">
        <x:v>BLOCKED until excise/licences/age/carrier contract approved</x:v>
      </x:c>
      <x:c r="V234" s="97" t="str">
        <x:v>BLOCKED until classification/end-use/licensing and sanctions path approved</x:v>
      </x:c>
      <x:c r="W234" s="97" t="str">
        <x:v>BLOCKED until provenance/security/insurance/carrier limits approved</x:v>
      </x:c>
      <x:c r="X234" s="97" t="str">
        <x:v>BLOCKED until purpose, values, relief evidence and restrictions approved</x:v>
      </x:c>
      <x:c r="Y234" s="104" t="b">
        <x:v>0</x:v>
      </x:c>
      <x:c r="Z234" s="104" t="b">
        <x:v>0</x:v>
      </x:c>
      <x:c r="AA234" s="104" t="b">
        <x:v>0</x:v>
      </x:c>
      <x:c r="AB234" s="104" t="b">
        <x:v>0</x:v>
      </x:c>
      <x:c r="AC234" s="104" t="b">
        <x:v>0</x:v>
      </x:c>
      <x:c r="AD234" s="106" t="str">
        <x:v>BLOCKED_PENDING_VALIDATION</x:v>
      </x:c>
      <x:c r="AE234" s="97" t="str">
        <x:v>NOT_STARTED</x:v>
      </x:c>
      <x:c r="AF234" s="97" t="str">
        <x:v>Unassigned country-pack owner</x:v>
      </x:c>
      <x:c r="AG234" s="97" t="str">
        <x:v>SRC-CUS-001, SRC-CUS-005, SRC-CUS-007, SRC-DAT-001, SRC-POST-001, SRC-PRV-001</x:v>
      </x:c>
      <x:c r="AH234" s="97" t="str">
        <x:v>2026-07-25</x:v>
      </x:c>
      <x:c r="AI234" s="97" t="str">
        <x:v>2026-08-25</x:v>
      </x:c>
      <x:c r="AJ234" s="97" t="str">
        <x:v>Registry coverage only. Production readiness is capability-specific and requires the release checklist.</x:v>
      </x:c>
    </x:row>
    <x:row r="235" ht="54" customHeight="1">
      <x:c r="A235" s="99" t="str">
        <x:v>CP-TC</x:v>
      </x:c>
      <x:c r="B235" s="99" t="str">
        <x:v>Turks and Caicos Islands</x:v>
      </x:c>
      <x:c r="C235" s="99" t="str">
        <x:v>TC</x:v>
      </x:c>
      <x:c r="D235" s="99" t="str">
        <x:v>TCA</x:v>
      </x:c>
      <x:c r="E235" s="99" t="str">
        <x:v>796</x:v>
      </x:c>
      <x:c r="F235" s="99" t="str">
        <x:v>ISO 3166-1 assigned</x:v>
      </x:c>
      <x:c r="G235" s="99" t="str">
        <x:v>Territory, dependency or special-area record</x:v>
      </x:c>
      <x:c r="H235" s="99" t="str">
        <x:v>United Kingdom</x:v>
      </x:c>
      <x:c r="I235" s="99" t="str">
        <x:v>Americas</x:v>
      </x:c>
      <x:c r="J235" s="99" t="str">
        <x:v>Caribbean</x:v>
      </x:c>
      <x:c r="K235" s="99" t="str">
        <x:v>National/territorial customs framework—local validation required</x:v>
      </x:c>
      <x:c r="L235" s="99" t="str">
        <x:v>UPU/operator contract, bilateral rules, EAD/message versions and serviceability must be validated</x:v>
      </x:c>
      <x:c r="M235" s="99" t="str">
        <x:v>ICAO state rules, PLACI regime, security status, carrier routing and serviceability must be validated</x:v>
      </x:c>
      <x:c r="N235" s="99" t="str">
        <x:v>Country-pack privacy law and transfer mechanism required</x:v>
      </x:c>
      <x:c r="O235" s="99" t="str">
        <x:v>Screen live lists for every applicable nexus; resolve ownership, sectoral, end-use and licence controls</x:v>
      </x:c>
      <x:c r="P235" s="99" t="str">
        <x:v>No static legal conclusion. Validate current national/territorial customs, tax, licensing, product, privacy and carrier sources before activation.</x:v>
      </x:c>
      <x:c r="Q235" s="99" t="str">
        <x:v>BLOCKED until tariff, prohibitions, documents and carrier services approved</x:v>
      </x:c>
      <x:c r="R235" s="99" t="str">
        <x:v>BLOCKED until ICAO/state/operator variations and certified review path approved</x:v>
      </x:c>
      <x:c r="S235" s="99" t="str">
        <x:v>BLOCKED until SPS/agency/temperature rules and external filing path approved</x:v>
      </x:c>
      <x:c r="T235" s="99" t="str">
        <x:v>BLOCKED until product/site/importer authorizations and quality path approved</x:v>
      </x:c>
      <x:c r="U235" s="99" t="str">
        <x:v>BLOCKED until excise/licences/age/carrier contract approved</x:v>
      </x:c>
      <x:c r="V235" s="99" t="str">
        <x:v>BLOCKED until classification/end-use/licensing and sanctions path approved</x:v>
      </x:c>
      <x:c r="W235" s="99" t="str">
        <x:v>BLOCKED until provenance/security/insurance/carrier limits approved</x:v>
      </x:c>
      <x:c r="X235" s="99" t="str">
        <x:v>BLOCKED until purpose, values, relief evidence and restrictions approved</x:v>
      </x:c>
      <x:c r="Y235" s="103" t="b">
        <x:v>0</x:v>
      </x:c>
      <x:c r="Z235" s="103" t="b">
        <x:v>0</x:v>
      </x:c>
      <x:c r="AA235" s="103" t="b">
        <x:v>0</x:v>
      </x:c>
      <x:c r="AB235" s="103" t="b">
        <x:v>0</x:v>
      </x:c>
      <x:c r="AC235" s="103" t="b">
        <x:v>0</x:v>
      </x:c>
      <x:c r="AD235" s="106" t="str">
        <x:v>BLOCKED_PENDING_VALIDATION</x:v>
      </x:c>
      <x:c r="AE235" s="99" t="str">
        <x:v>NOT_STARTED</x:v>
      </x:c>
      <x:c r="AF235" s="99" t="str">
        <x:v>Unassigned country-pack owner</x:v>
      </x:c>
      <x:c r="AG235" s="99" t="str">
        <x:v>SRC-CUS-001, SRC-CUS-005, SRC-CUS-007, SRC-DAT-001, SRC-POST-001, SRC-PRV-001</x:v>
      </x:c>
      <x:c r="AH235" s="99" t="str">
        <x:v>2026-07-25</x:v>
      </x:c>
      <x:c r="AI235" s="99" t="str">
        <x:v>2026-08-25</x:v>
      </x:c>
      <x:c r="AJ235" s="99" t="str">
        <x:v>Registry coverage only. Production readiness is capability-specific and requires the release checklist.</x:v>
      </x:c>
    </x:row>
    <x:row r="236" ht="54" customHeight="1">
      <x:c r="A236" s="97" t="str">
        <x:v>CP-TV</x:v>
      </x:c>
      <x:c r="B236" s="97" t="str">
        <x:v>Tuvalu</x:v>
      </x:c>
      <x:c r="C236" s="97" t="str">
        <x:v>TV</x:v>
      </x:c>
      <x:c r="D236" s="97" t="str">
        <x:v>TUV</x:v>
      </x:c>
      <x:c r="E236" s="97" t="str">
        <x:v>798</x:v>
      </x:c>
      <x:c r="F236" s="97" t="str">
        <x:v>ISO 3166-1 assigned</x:v>
      </x:c>
      <x:c r="G236" s="97" t="str">
        <x:v>Independent state</x:v>
      </x:c>
      <x:c r="H236" s="97" t="str">
        <x:v>Self-administered for pack indexing; legal status follows authoritative sources</x:v>
      </x:c>
      <x:c r="I236" s="97" t="str">
        <x:v>Oceania</x:v>
      </x:c>
      <x:c r="J236" s="97" t="str">
        <x:v>Polynesia</x:v>
      </x:c>
      <x:c r="K236" s="97" t="str">
        <x:v>National/territorial customs framework—local validation required</x:v>
      </x:c>
      <x:c r="L236" s="97" t="str">
        <x:v>UPU/operator contract, bilateral rules, EAD/message versions and serviceability must be validated</x:v>
      </x:c>
      <x:c r="M236" s="97" t="str">
        <x:v>ICAO state rules, PLACI regime, security status, carrier routing and serviceability must be validated</x:v>
      </x:c>
      <x:c r="N236" s="97" t="str">
        <x:v>Country-pack privacy law and transfer mechanism required</x:v>
      </x:c>
      <x:c r="O236" s="97" t="str">
        <x:v>Screen live lists for every applicable nexus; resolve ownership, sectoral, end-use and licence controls</x:v>
      </x:c>
      <x:c r="P236" s="97" t="str">
        <x:v>No static legal conclusion. Validate current national/territorial customs, tax, licensing, product, privacy and carrier sources before activation.</x:v>
      </x:c>
      <x:c r="Q236" s="97" t="str">
        <x:v>BLOCKED until tariff, prohibitions, documents and carrier services approved</x:v>
      </x:c>
      <x:c r="R236" s="97" t="str">
        <x:v>BLOCKED until ICAO/state/operator variations and certified review path approved</x:v>
      </x:c>
      <x:c r="S236" s="97" t="str">
        <x:v>BLOCKED until SPS/agency/temperature rules and external filing path approved</x:v>
      </x:c>
      <x:c r="T236" s="97" t="str">
        <x:v>BLOCKED until product/site/importer authorizations and quality path approved</x:v>
      </x:c>
      <x:c r="U236" s="97" t="str">
        <x:v>BLOCKED until excise/licences/age/carrier contract approved</x:v>
      </x:c>
      <x:c r="V236" s="97" t="str">
        <x:v>BLOCKED until classification/end-use/licensing and sanctions path approved</x:v>
      </x:c>
      <x:c r="W236" s="97" t="str">
        <x:v>BLOCKED until provenance/security/insurance/carrier limits approved</x:v>
      </x:c>
      <x:c r="X236" s="97" t="str">
        <x:v>BLOCKED until purpose, values, relief evidence and restrictions approved</x:v>
      </x:c>
      <x:c r="Y236" s="104" t="b">
        <x:v>0</x:v>
      </x:c>
      <x:c r="Z236" s="104" t="b">
        <x:v>0</x:v>
      </x:c>
      <x:c r="AA236" s="104" t="b">
        <x:v>0</x:v>
      </x:c>
      <x:c r="AB236" s="104" t="b">
        <x:v>0</x:v>
      </x:c>
      <x:c r="AC236" s="104" t="b">
        <x:v>0</x:v>
      </x:c>
      <x:c r="AD236" s="106" t="str">
        <x:v>BLOCKED_PENDING_VALIDATION</x:v>
      </x:c>
      <x:c r="AE236" s="97" t="str">
        <x:v>NOT_STARTED</x:v>
      </x:c>
      <x:c r="AF236" s="97" t="str">
        <x:v>Unassigned country-pack owner</x:v>
      </x:c>
      <x:c r="AG236" s="97" t="str">
        <x:v>SRC-CUS-001, SRC-CUS-005, SRC-CUS-007, SRC-DAT-001, SRC-POST-001, SRC-PRV-001</x:v>
      </x:c>
      <x:c r="AH236" s="97" t="str">
        <x:v>2026-07-25</x:v>
      </x:c>
      <x:c r="AI236" s="97" t="str">
        <x:v>2026-08-25</x:v>
      </x:c>
      <x:c r="AJ236" s="97" t="str">
        <x:v>Registry coverage only. Production readiness is capability-specific and requires the release checklist.</x:v>
      </x:c>
    </x:row>
    <x:row r="237" ht="54" customHeight="1">
      <x:c r="A237" s="99" t="str">
        <x:v>CP-UG</x:v>
      </x:c>
      <x:c r="B237" s="99" t="str">
        <x:v>Uganda</x:v>
      </x:c>
      <x:c r="C237" s="99" t="str">
        <x:v>UG</x:v>
      </x:c>
      <x:c r="D237" s="99" t="str">
        <x:v>UGA</x:v>
      </x:c>
      <x:c r="E237" s="99" t="str">
        <x:v>800</x:v>
      </x:c>
      <x:c r="F237" s="99" t="str">
        <x:v>ISO 3166-1 assigned</x:v>
      </x:c>
      <x:c r="G237" s="99" t="str">
        <x:v>Independent state</x:v>
      </x:c>
      <x:c r="H237" s="99" t="str">
        <x:v>Self-administered for pack indexing; legal status follows authoritative sources</x:v>
      </x:c>
      <x:c r="I237" s="99" t="str">
        <x:v>Africa</x:v>
      </x:c>
      <x:c r="J237" s="99" t="str">
        <x:v>Eastern Africa</x:v>
      </x:c>
      <x:c r="K237" s="99" t="str">
        <x:v>EAC member; national implementation required</x:v>
      </x:c>
      <x:c r="L237" s="99" t="str">
        <x:v>UPU/operator contract, bilateral rules, EAD/message versions and serviceability must be validated</x:v>
      </x:c>
      <x:c r="M237" s="99" t="str">
        <x:v>ICAO state rules, PLACI regime, security status, carrier routing and serviceability must be validated</x:v>
      </x:c>
      <x:c r="N237" s="99" t="str">
        <x:v>Country-pack privacy law and transfer mechanism required</x:v>
      </x:c>
      <x:c r="O237" s="99" t="str">
        <x:v>Screen live lists for every applicable nexus; resolve ownership, sectoral, end-use and licence controls</x:v>
      </x:c>
      <x:c r="P237" s="99" t="str">
        <x:v>No static legal conclusion. Validate current national/territorial customs, tax, licensing, product, privacy and carrier sources before activation.</x:v>
      </x:c>
      <x:c r="Q237" s="99" t="str">
        <x:v>BLOCKED until tariff, prohibitions, documents and carrier services approved</x:v>
      </x:c>
      <x:c r="R237" s="99" t="str">
        <x:v>BLOCKED until ICAO/state/operator variations and certified review path approved</x:v>
      </x:c>
      <x:c r="S237" s="99" t="str">
        <x:v>BLOCKED until SPS/agency/temperature rules and external filing path approved</x:v>
      </x:c>
      <x:c r="T237" s="99" t="str">
        <x:v>BLOCKED until product/site/importer authorizations and quality path approved</x:v>
      </x:c>
      <x:c r="U237" s="99" t="str">
        <x:v>BLOCKED until excise/licences/age/carrier contract approved</x:v>
      </x:c>
      <x:c r="V237" s="99" t="str">
        <x:v>BLOCKED until classification/end-use/licensing and sanctions path approved</x:v>
      </x:c>
      <x:c r="W237" s="99" t="str">
        <x:v>BLOCKED until provenance/security/insurance/carrier limits approved</x:v>
      </x:c>
      <x:c r="X237" s="99" t="str">
        <x:v>BLOCKED until purpose, values, relief evidence and restrictions approved</x:v>
      </x:c>
      <x:c r="Y237" s="103" t="b">
        <x:v>0</x:v>
      </x:c>
      <x:c r="Z237" s="103" t="b">
        <x:v>0</x:v>
      </x:c>
      <x:c r="AA237" s="103" t="b">
        <x:v>0</x:v>
      </x:c>
      <x:c r="AB237" s="103" t="b">
        <x:v>0</x:v>
      </x:c>
      <x:c r="AC237" s="103" t="b">
        <x:v>0</x:v>
      </x:c>
      <x:c r="AD237" s="106" t="str">
        <x:v>BLOCKED_PENDING_VALIDATION</x:v>
      </x:c>
      <x:c r="AE237" s="99" t="str">
        <x:v>NOT_STARTED</x:v>
      </x:c>
      <x:c r="AF237" s="99" t="str">
        <x:v>Unassigned country-pack owner</x:v>
      </x:c>
      <x:c r="AG237" s="99" t="str">
        <x:v>SRC-CUS-001, SRC-CUS-005, SRC-CUS-007, SRC-DAT-001, SRC-POST-001, SRC-PRV-001</x:v>
      </x:c>
      <x:c r="AH237" s="99" t="str">
        <x:v>2026-07-25</x:v>
      </x:c>
      <x:c r="AI237" s="99" t="str">
        <x:v>2026-08-25</x:v>
      </x:c>
      <x:c r="AJ237" s="99" t="str">
        <x:v>Registry coverage only. Production readiness is capability-specific and requires the release checklist.</x:v>
      </x:c>
    </x:row>
    <x:row r="238" ht="54" customHeight="1">
      <x:c r="A238" s="97" t="str">
        <x:v>CP-UA</x:v>
      </x:c>
      <x:c r="B238" s="97" t="str">
        <x:v>Ukraine</x:v>
      </x:c>
      <x:c r="C238" s="97" t="str">
        <x:v>UA</x:v>
      </x:c>
      <x:c r="D238" s="97" t="str">
        <x:v>UKR</x:v>
      </x:c>
      <x:c r="E238" s="97" t="str">
        <x:v>804</x:v>
      </x:c>
      <x:c r="F238" s="97" t="str">
        <x:v>ISO 3166-1 assigned</x:v>
      </x:c>
      <x:c r="G238" s="97" t="str">
        <x:v>Independent state</x:v>
      </x:c>
      <x:c r="H238" s="97" t="str">
        <x:v>Self-administered for pack indexing; legal status follows authoritative sources</x:v>
      </x:c>
      <x:c r="I238" s="97" t="str">
        <x:v>Europe</x:v>
      </x:c>
      <x:c r="J238" s="97" t="str">
        <x:v>Eastern Europe</x:v>
      </x:c>
      <x:c r="K238" s="97" t="str">
        <x:v>National/territorial customs framework—local validation required</x:v>
      </x:c>
      <x:c r="L238" s="97" t="str">
        <x:v>UPU/operator contract, bilateral rules, EAD/message versions and serviceability must be validated</x:v>
      </x:c>
      <x:c r="M238" s="97" t="str">
        <x:v>ICAO state rules, PLACI regime, security status, carrier routing and serviceability must be validated</x:v>
      </x:c>
      <x:c r="N238" s="97" t="str">
        <x:v>Country-pack privacy law and transfer mechanism required</x:v>
      </x:c>
      <x:c r="O238" s="97" t="str">
        <x:v>Screen live lists for every applicable nexus; resolve ownership, sectoral, end-use and licence controls</x:v>
      </x:c>
      <x:c r="P238" s="97" t="str">
        <x:v>No static legal conclusion. Validate current national/territorial customs, tax, licensing, product, privacy and carrier sources before activation.</x:v>
      </x:c>
      <x:c r="Q238" s="97" t="str">
        <x:v>BLOCKED until tariff, prohibitions, documents and carrier services approved</x:v>
      </x:c>
      <x:c r="R238" s="97" t="str">
        <x:v>BLOCKED until ICAO/state/operator variations and certified review path approved</x:v>
      </x:c>
      <x:c r="S238" s="97" t="str">
        <x:v>BLOCKED until SPS/agency/temperature rules and external filing path approved</x:v>
      </x:c>
      <x:c r="T238" s="97" t="str">
        <x:v>BLOCKED until product/site/importer authorizations and quality path approved</x:v>
      </x:c>
      <x:c r="U238" s="97" t="str">
        <x:v>BLOCKED until excise/licences/age/carrier contract approved</x:v>
      </x:c>
      <x:c r="V238" s="97" t="str">
        <x:v>BLOCKED until classification/end-use/licensing and sanctions path approved</x:v>
      </x:c>
      <x:c r="W238" s="97" t="str">
        <x:v>BLOCKED until provenance/security/insurance/carrier limits approved</x:v>
      </x:c>
      <x:c r="X238" s="97" t="str">
        <x:v>BLOCKED until purpose, values, relief evidence and restrictions approved</x:v>
      </x:c>
      <x:c r="Y238" s="104" t="b">
        <x:v>0</x:v>
      </x:c>
      <x:c r="Z238" s="104" t="b">
        <x:v>0</x:v>
      </x:c>
      <x:c r="AA238" s="104" t="b">
        <x:v>0</x:v>
      </x:c>
      <x:c r="AB238" s="104" t="b">
        <x:v>0</x:v>
      </x:c>
      <x:c r="AC238" s="104" t="b">
        <x:v>0</x:v>
      </x:c>
      <x:c r="AD238" s="106" t="str">
        <x:v>BLOCKED_PENDING_VALIDATION</x:v>
      </x:c>
      <x:c r="AE238" s="97" t="str">
        <x:v>NOT_STARTED</x:v>
      </x:c>
      <x:c r="AF238" s="97" t="str">
        <x:v>Unassigned country-pack owner</x:v>
      </x:c>
      <x:c r="AG238" s="97" t="str">
        <x:v>SRC-CUS-001, SRC-CUS-005, SRC-CUS-007, SRC-DAT-001, SRC-POST-001, SRC-PRV-001</x:v>
      </x:c>
      <x:c r="AH238" s="97" t="str">
        <x:v>2026-07-25</x:v>
      </x:c>
      <x:c r="AI238" s="97" t="str">
        <x:v>2026-08-25</x:v>
      </x:c>
      <x:c r="AJ238" s="97" t="str">
        <x:v>Registry coverage only. Production readiness is capability-specific and requires the release checklist.</x:v>
      </x:c>
    </x:row>
    <x:row r="239" ht="54" customHeight="1">
      <x:c r="A239" s="99" t="str">
        <x:v>CP-AE</x:v>
      </x:c>
      <x:c r="B239" s="99" t="str">
        <x:v>United Arab Emirates</x:v>
      </x:c>
      <x:c r="C239" s="99" t="str">
        <x:v>AE</x:v>
      </x:c>
      <x:c r="D239" s="99" t="str">
        <x:v>ARE</x:v>
      </x:c>
      <x:c r="E239" s="99" t="str">
        <x:v>784</x:v>
      </x:c>
      <x:c r="F239" s="99" t="str">
        <x:v>ISO 3166-1 assigned</x:v>
      </x:c>
      <x:c r="G239" s="99" t="str">
        <x:v>Independent state</x:v>
      </x:c>
      <x:c r="H239" s="99" t="str">
        <x:v>Self-administered for pack indexing; legal status follows authoritative sources</x:v>
      </x:c>
      <x:c r="I239" s="99" t="str">
        <x:v>Asia</x:v>
      </x:c>
      <x:c r="J239" s="99" t="str">
        <x:v>Western Asia</x:v>
      </x:c>
      <x:c r="K239" s="99" t="str">
        <x:v>GCC member; national implementation required</x:v>
      </x:c>
      <x:c r="L239" s="99" t="str">
        <x:v>UPU/operator contract, bilateral rules, EAD/message versions and serviceability must be validated</x:v>
      </x:c>
      <x:c r="M239" s="99" t="str">
        <x:v>ICAO state rules, PLACI regime, security status, carrier routing and serviceability must be validated</x:v>
      </x:c>
      <x:c r="N239" s="99" t="str">
        <x:v>Federal/free-zone privacy routing</x:v>
      </x:c>
      <x:c r="O239" s="99" t="str">
        <x:v>Screen live lists for every applicable nexus; resolve ownership, sectoral, end-use and licence controls</x:v>
      </x:c>
      <x:c r="P239" s="99" t="str">
        <x:v>No static legal conclusion. Validate current national/territorial customs, tax, licensing, product, privacy and carrier sources before activation.</x:v>
      </x:c>
      <x:c r="Q239" s="99" t="str">
        <x:v>BLOCKED until tariff, prohibitions, documents and carrier services approved</x:v>
      </x:c>
      <x:c r="R239" s="99" t="str">
        <x:v>BLOCKED until ICAO/state/operator variations and certified review path approved</x:v>
      </x:c>
      <x:c r="S239" s="99" t="str">
        <x:v>BLOCKED until SPS/agency/temperature rules and external filing path approved</x:v>
      </x:c>
      <x:c r="T239" s="99" t="str">
        <x:v>BLOCKED until product/site/importer authorizations and quality path approved</x:v>
      </x:c>
      <x:c r="U239" s="99" t="str">
        <x:v>BLOCKED until excise/licences/age/carrier contract approved</x:v>
      </x:c>
      <x:c r="V239" s="99" t="str">
        <x:v>BLOCKED until classification/end-use/licensing and sanctions path approved</x:v>
      </x:c>
      <x:c r="W239" s="99" t="str">
        <x:v>BLOCKED until provenance/security/insurance/carrier limits approved</x:v>
      </x:c>
      <x:c r="X239" s="99" t="str">
        <x:v>BLOCKED until purpose, values, relief evidence and restrictions approved</x:v>
      </x:c>
      <x:c r="Y239" s="103" t="b">
        <x:v>0</x:v>
      </x:c>
      <x:c r="Z239" s="103" t="b">
        <x:v>0</x:v>
      </x:c>
      <x:c r="AA239" s="103" t="b">
        <x:v>0</x:v>
      </x:c>
      <x:c r="AB239" s="103" t="b">
        <x:v>0</x:v>
      </x:c>
      <x:c r="AC239" s="103" t="b">
        <x:v>0</x:v>
      </x:c>
      <x:c r="AD239" s="106" t="str">
        <x:v>BLOCKED_PENDING_VALIDATION</x:v>
      </x:c>
      <x:c r="AE239" s="99" t="str">
        <x:v>NOT_STARTED</x:v>
      </x:c>
      <x:c r="AF239" s="99" t="str">
        <x:v>Unassigned country-pack owner</x:v>
      </x:c>
      <x:c r="AG239" s="99" t="str">
        <x:v>SRC-CUS-001, SRC-CUS-005, SRC-CUS-007, SRC-DAT-001, SRC-POST-001, SRC-PRV-001, SRC-PRV-016</x:v>
      </x:c>
      <x:c r="AH239" s="99" t="str">
        <x:v>2026-07-25</x:v>
      </x:c>
      <x:c r="AI239" s="99" t="str">
        <x:v>2026-08-25</x:v>
      </x:c>
      <x:c r="AJ239" s="99" t="str">
        <x:v>Registry coverage only. Production readiness is capability-specific and requires the release checklist.</x:v>
      </x:c>
    </x:row>
    <x:row r="240" ht="54" customHeight="1">
      <x:c r="A240" s="97" t="str">
        <x:v>CP-GB</x:v>
      </x:c>
      <x:c r="B240" s="97" t="str">
        <x:v>United Kingdom</x:v>
      </x:c>
      <x:c r="C240" s="97" t="str">
        <x:v>GB</x:v>
      </x:c>
      <x:c r="D240" s="97" t="str">
        <x:v>GBR</x:v>
      </x:c>
      <x:c r="E240" s="97" t="str">
        <x:v>826</x:v>
      </x:c>
      <x:c r="F240" s="97" t="str">
        <x:v>ISO 3166-1 assigned</x:v>
      </x:c>
      <x:c r="G240" s="97" t="str">
        <x:v>Independent state</x:v>
      </x:c>
      <x:c r="H240" s="97" t="str">
        <x:v>Self-administered for pack indexing; legal status follows authoritative sources</x:v>
      </x:c>
      <x:c r="I240" s="97" t="str">
        <x:v>Europe</x:v>
      </x:c>
      <x:c r="J240" s="97" t="str">
        <x:v>Northern Europe</x:v>
      </x:c>
      <x:c r="K240" s="97" t="str">
        <x:v>United Kingdom customs territory; Northern Ireland override required</x:v>
      </x:c>
      <x:c r="L240" s="97" t="str">
        <x:v>UPU/operator contract, bilateral rules, EAD/message versions and serviceability must be validated</x:v>
      </x:c>
      <x:c r="M240" s="97" t="str">
        <x:v>ICAO state rules, PLACI regime, security status, carrier routing and serviceability must be validated</x:v>
      </x:c>
      <x:c r="N240" s="97" t="str">
        <x:v>UK GDPR/Data Protection Act; transfer safeguards</x:v>
      </x:c>
      <x:c r="O240" s="97" t="str">
        <x:v>Screen live lists for every applicable nexus; resolve ownership, sectoral, end-use and licence controls</x:v>
      </x:c>
      <x:c r="P240" s="97" t="str">
        <x:v>UK baseline: apply current HMRC rules; store 2026 reform as future policy until legal commencement. Northern Ireland override mandatory.</x:v>
      </x:c>
      <x:c r="Q240" s="97" t="str">
        <x:v>BLOCKED until tariff, prohibitions, documents and carrier services approved</x:v>
      </x:c>
      <x:c r="R240" s="97" t="str">
        <x:v>BLOCKED until ICAO/state/operator variations and certified review path approved</x:v>
      </x:c>
      <x:c r="S240" s="97" t="str">
        <x:v>BLOCKED until SPS/agency/temperature rules and external filing path approved</x:v>
      </x:c>
      <x:c r="T240" s="97" t="str">
        <x:v>BLOCKED until product/site/importer authorizations and quality path approved</x:v>
      </x:c>
      <x:c r="U240" s="97" t="str">
        <x:v>BLOCKED until excise/licences/age/carrier contract approved</x:v>
      </x:c>
      <x:c r="V240" s="97" t="str">
        <x:v>BLOCKED until classification/end-use/licensing and sanctions path approved</x:v>
      </x:c>
      <x:c r="W240" s="97" t="str">
        <x:v>BLOCKED until provenance/security/insurance/carrier limits approved</x:v>
      </x:c>
      <x:c r="X240" s="97" t="str">
        <x:v>BLOCKED until purpose, values, relief evidence and restrictions approved</x:v>
      </x:c>
      <x:c r="Y240" s="104" t="b">
        <x:v>0</x:v>
      </x:c>
      <x:c r="Z240" s="104" t="b">
        <x:v>0</x:v>
      </x:c>
      <x:c r="AA240" s="104" t="b">
        <x:v>0</x:v>
      </x:c>
      <x:c r="AB240" s="104" t="b">
        <x:v>0</x:v>
      </x:c>
      <x:c r="AC240" s="104" t="b">
        <x:v>0</x:v>
      </x:c>
      <x:c r="AD240" s="106" t="str">
        <x:v>BLOCKED_PENDING_VALIDATION</x:v>
      </x:c>
      <x:c r="AE240" s="97" t="str">
        <x:v>NOT_STARTED</x:v>
      </x:c>
      <x:c r="AF240" s="97" t="str">
        <x:v>Unassigned country-pack owner</x:v>
      </x:c>
      <x:c r="AG240" s="97" t="str">
        <x:v>SRC-CUS-001, SRC-CUS-005, SRC-CUS-007, SRC-DAT-001, SRC-POST-001, SRC-PRV-001, SRC-UK-001, SRC-UK-002, SRC-UK-003, SRC-UK-004, SRC-UK-005</x:v>
      </x:c>
      <x:c r="AH240" s="97" t="str">
        <x:v>2026-07-25</x:v>
      </x:c>
      <x:c r="AI240" s="97" t="str">
        <x:v>2026-08-25</x:v>
      </x:c>
      <x:c r="AJ240" s="97" t="str">
        <x:v>Registry coverage only. Production readiness is capability-specific and requires the release checklist.</x:v>
      </x:c>
    </x:row>
    <x:row r="241" ht="54" customHeight="1">
      <x:c r="A241" s="99" t="str">
        <x:v>CP-US</x:v>
      </x:c>
      <x:c r="B241" s="99" t="str">
        <x:v>United States</x:v>
      </x:c>
      <x:c r="C241" s="99" t="str">
        <x:v>US</x:v>
      </x:c>
      <x:c r="D241" s="99" t="str">
        <x:v>USA</x:v>
      </x:c>
      <x:c r="E241" s="99" t="str">
        <x:v>840</x:v>
      </x:c>
      <x:c r="F241" s="99" t="str">
        <x:v>ISO 3166-1 assigned</x:v>
      </x:c>
      <x:c r="G241" s="99" t="str">
        <x:v>Independent state</x:v>
      </x:c>
      <x:c r="H241" s="99" t="str">
        <x:v>Self-administered for pack indexing; legal status follows authoritative sources</x:v>
      </x:c>
      <x:c r="I241" s="99" t="str">
        <x:v>Americas</x:v>
      </x:c>
      <x:c r="J241" s="99" t="str">
        <x:v>North America</x:v>
      </x:c>
      <x:c r="K241" s="99" t="str">
        <x:v>United States customs territory; insular-area overrides required</x:v>
      </x:c>
      <x:c r="L241" s="99" t="str">
        <x:v>UPU/operator contract, bilateral rules, EAD/message versions and serviceability must be validated</x:v>
      </x:c>
      <x:c r="M241" s="99" t="str">
        <x:v>ICAO state rules, PLACI regime, security status, carrier routing and serviceability must be validated</x:v>
      </x:c>
      <x:c r="N241" s="99" t="str">
        <x:v>Federal/state sectoral privacy; CCPA and other state overlays</x:v>
      </x:c>
      <x:c r="O241" s="99" t="str">
        <x:v>Screen live lists for every applicable nexus; resolve ownership, sectoral, end-use and licence controls</x:v>
      </x:c>
      <x:c r="P241" s="99" t="str">
        <x:v>US baseline: apply current Federal Register postal-entry/de minimis rules by effective and compliance dates; PGA and nonpostal rules require exact validation.</x:v>
      </x:c>
      <x:c r="Q241" s="99" t="str">
        <x:v>BLOCKED until tariff, prohibitions, documents and carrier services approved</x:v>
      </x:c>
      <x:c r="R241" s="99" t="str">
        <x:v>BLOCKED until ICAO/state/operator variations and certified review path approved</x:v>
      </x:c>
      <x:c r="S241" s="99" t="str">
        <x:v>BLOCKED until SPS/agency/temperature rules and external filing path approved</x:v>
      </x:c>
      <x:c r="T241" s="99" t="str">
        <x:v>BLOCKED until product/site/importer authorizations and quality path approved</x:v>
      </x:c>
      <x:c r="U241" s="99" t="str">
        <x:v>BLOCKED until excise/licences/age/carrier contract approved</x:v>
      </x:c>
      <x:c r="V241" s="99" t="str">
        <x:v>BLOCKED until classification/end-use/licensing and sanctions path approved</x:v>
      </x:c>
      <x:c r="W241" s="99" t="str">
        <x:v>BLOCKED until provenance/security/insurance/carrier limits approved</x:v>
      </x:c>
      <x:c r="X241" s="99" t="str">
        <x:v>BLOCKED until purpose, values, relief evidence and restrictions approved</x:v>
      </x:c>
      <x:c r="Y241" s="103" t="b">
        <x:v>0</x:v>
      </x:c>
      <x:c r="Z241" s="103" t="b">
        <x:v>0</x:v>
      </x:c>
      <x:c r="AA241" s="103" t="b">
        <x:v>0</x:v>
      </x:c>
      <x:c r="AB241" s="103" t="b">
        <x:v>0</x:v>
      </x:c>
      <x:c r="AC241" s="103" t="b">
        <x:v>0</x:v>
      </x:c>
      <x:c r="AD241" s="106" t="str">
        <x:v>BLOCKED_PENDING_VALIDATION</x:v>
      </x:c>
      <x:c r="AE241" s="99" t="str">
        <x:v>NOT_STARTED</x:v>
      </x:c>
      <x:c r="AF241" s="99" t="str">
        <x:v>Unassigned country-pack owner</x:v>
      </x:c>
      <x:c r="AG241" s="99" t="str">
        <x:v>SRC-CUS-001, SRC-CUS-005, SRC-CUS-007, SRC-DAT-001, SRC-POST-001, SRC-PRV-001, SRC-USA-001, SRC-USA-002, SRC-PRV-012</x:v>
      </x:c>
      <x:c r="AH241" s="99" t="str">
        <x:v>2026-07-25</x:v>
      </x:c>
      <x:c r="AI241" s="99" t="str">
        <x:v>2026-08-25</x:v>
      </x:c>
      <x:c r="AJ241" s="99" t="str">
        <x:v>Registry coverage only. Production readiness is capability-specific and requires the release checklist.</x:v>
      </x:c>
    </x:row>
    <x:row r="242" ht="54" customHeight="1">
      <x:c r="A242" s="97" t="str">
        <x:v>CP-UM</x:v>
      </x:c>
      <x:c r="B242" s="97" t="str">
        <x:v>United States Minor Outlying Islands</x:v>
      </x:c>
      <x:c r="C242" s="97" t="str">
        <x:v>UM</x:v>
      </x:c>
      <x:c r="D242" s="97" t="str">
        <x:v>UMI</x:v>
      </x:c>
      <x:c r="E242" s="97" t="str">
        <x:v>581</x:v>
      </x:c>
      <x:c r="F242" s="97" t="str">
        <x:v>ISO 3166-1 assigned</x:v>
      </x:c>
      <x:c r="G242" s="97" t="str">
        <x:v>Territory, dependency or special-area record</x:v>
      </x:c>
      <x:c r="H242" s="97" t="str">
        <x:v>United States</x:v>
      </x:c>
      <x:c r="I242" s="97" t="str">
        <x:v>Americas</x:v>
      </x:c>
      <x:c r="J242" s="97" t="str">
        <x:v>North America</x:v>
      </x:c>
      <x:c r="K242" s="97" t="str">
        <x:v>Non-standard/limited commercial service; carrier confirmation mandatory</x:v>
      </x:c>
      <x:c r="L242" s="97" t="str">
        <x:v>UPU/operator contract, bilateral rules, EAD/message versions and serviceability must be validated</x:v>
      </x:c>
      <x:c r="M242" s="97" t="str">
        <x:v>ICAO state rules, PLACI regime, security status, carrier routing and serviceability must be validated</x:v>
      </x:c>
      <x:c r="N242" s="97" t="str">
        <x:v>Country-pack privacy law and transfer mechanism required</x:v>
      </x:c>
      <x:c r="O242" s="97" t="str">
        <x:v>Screen live lists for every applicable nexus; resolve ownership, sectoral, end-use and licence controls</x:v>
      </x:c>
      <x:c r="P242" s="97" t="str">
        <x:v>No static legal conclusion. Validate current national/territorial customs, tax, licensing, product, privacy and carrier sources before activation.</x:v>
      </x:c>
      <x:c r="Q242" s="97" t="str">
        <x:v>BLOCKED until tariff, prohibitions, documents and carrier services approved</x:v>
      </x:c>
      <x:c r="R242" s="97" t="str">
        <x:v>BLOCKED until ICAO/state/operator variations and certified review path approved</x:v>
      </x:c>
      <x:c r="S242" s="97" t="str">
        <x:v>BLOCKED until SPS/agency/temperature rules and external filing path approved</x:v>
      </x:c>
      <x:c r="T242" s="97" t="str">
        <x:v>BLOCKED until product/site/importer authorizations and quality path approved</x:v>
      </x:c>
      <x:c r="U242" s="97" t="str">
        <x:v>BLOCKED until excise/licences/age/carrier contract approved</x:v>
      </x:c>
      <x:c r="V242" s="97" t="str">
        <x:v>BLOCKED until classification/end-use/licensing and sanctions path approved</x:v>
      </x:c>
      <x:c r="W242" s="97" t="str">
        <x:v>BLOCKED until provenance/security/insurance/carrier limits approved</x:v>
      </x:c>
      <x:c r="X242" s="97" t="str">
        <x:v>BLOCKED until purpose, values, relief evidence and restrictions approved</x:v>
      </x:c>
      <x:c r="Y242" s="104" t="b">
        <x:v>0</x:v>
      </x:c>
      <x:c r="Z242" s="104" t="b">
        <x:v>0</x:v>
      </x:c>
      <x:c r="AA242" s="104" t="b">
        <x:v>0</x:v>
      </x:c>
      <x:c r="AB242" s="104" t="b">
        <x:v>0</x:v>
      </x:c>
      <x:c r="AC242" s="104" t="b">
        <x:v>0</x:v>
      </x:c>
      <x:c r="AD242" s="106" t="str">
        <x:v>BLOCKED_PENDING_VALIDATION</x:v>
      </x:c>
      <x:c r="AE242" s="97" t="str">
        <x:v>NOT_STARTED</x:v>
      </x:c>
      <x:c r="AF242" s="97" t="str">
        <x:v>Unassigned country-pack owner</x:v>
      </x:c>
      <x:c r="AG242" s="97" t="str">
        <x:v>SRC-CUS-001, SRC-CUS-005, SRC-CUS-007, SRC-DAT-001, SRC-POST-001, SRC-PRV-001, SRC-USA-001, SRC-USA-002, SRC-PRV-012</x:v>
      </x:c>
      <x:c r="AH242" s="97" t="str">
        <x:v>2026-07-25</x:v>
      </x:c>
      <x:c r="AI242" s="97" t="str">
        <x:v>2026-08-25</x:v>
      </x:c>
      <x:c r="AJ242" s="97" t="str">
        <x:v>Registry coverage only. Production readiness is capability-specific and requires the release checklist.</x:v>
      </x:c>
    </x:row>
    <x:row r="243" ht="54" customHeight="1">
      <x:c r="A243" s="99" t="str">
        <x:v>CP-VI</x:v>
      </x:c>
      <x:c r="B243" s="99" t="str">
        <x:v>United States Virgin Islands</x:v>
      </x:c>
      <x:c r="C243" s="99" t="str">
        <x:v>VI</x:v>
      </x:c>
      <x:c r="D243" s="99" t="str">
        <x:v>VIR</x:v>
      </x:c>
      <x:c r="E243" s="99" t="str">
        <x:v>850</x:v>
      </x:c>
      <x:c r="F243" s="99" t="str">
        <x:v>ISO 3166-1 assigned</x:v>
      </x:c>
      <x:c r="G243" s="99" t="str">
        <x:v>Territory, dependency or special-area record</x:v>
      </x:c>
      <x:c r="H243" s="99" t="str">
        <x:v>United States</x:v>
      </x:c>
      <x:c r="I243" s="99" t="str">
        <x:v>Americas</x:v>
      </x:c>
      <x:c r="J243" s="99" t="str">
        <x:v>Caribbean</x:v>
      </x:c>
      <x:c r="K243" s="99" t="str">
        <x:v>National/territorial customs framework—local validation required</x:v>
      </x:c>
      <x:c r="L243" s="99" t="str">
        <x:v>UPU/operator contract, bilateral rules, EAD/message versions and serviceability must be validated</x:v>
      </x:c>
      <x:c r="M243" s="99" t="str">
        <x:v>ICAO state rules, PLACI regime, security status, carrier routing and serviceability must be validated</x:v>
      </x:c>
      <x:c r="N243" s="99" t="str">
        <x:v>Country-pack privacy law and transfer mechanism required</x:v>
      </x:c>
      <x:c r="O243" s="99" t="str">
        <x:v>Screen live lists for every applicable nexus; resolve ownership, sectoral, end-use and licence controls</x:v>
      </x:c>
      <x:c r="P243" s="99" t="str">
        <x:v>No static legal conclusion. Validate current national/territorial customs, tax, licensing, product, privacy and carrier sources before activation.</x:v>
      </x:c>
      <x:c r="Q243" s="99" t="str">
        <x:v>BLOCKED until tariff, prohibitions, documents and carrier services approved</x:v>
      </x:c>
      <x:c r="R243" s="99" t="str">
        <x:v>BLOCKED until ICAO/state/operator variations and certified review path approved</x:v>
      </x:c>
      <x:c r="S243" s="99" t="str">
        <x:v>BLOCKED until SPS/agency/temperature rules and external filing path approved</x:v>
      </x:c>
      <x:c r="T243" s="99" t="str">
        <x:v>BLOCKED until product/site/importer authorizations and quality path approved</x:v>
      </x:c>
      <x:c r="U243" s="99" t="str">
        <x:v>BLOCKED until excise/licences/age/carrier contract approved</x:v>
      </x:c>
      <x:c r="V243" s="99" t="str">
        <x:v>BLOCKED until classification/end-use/licensing and sanctions path approved</x:v>
      </x:c>
      <x:c r="W243" s="99" t="str">
        <x:v>BLOCKED until provenance/security/insurance/carrier limits approved</x:v>
      </x:c>
      <x:c r="X243" s="99" t="str">
        <x:v>BLOCKED until purpose, values, relief evidence and restrictions approved</x:v>
      </x:c>
      <x:c r="Y243" s="103" t="b">
        <x:v>0</x:v>
      </x:c>
      <x:c r="Z243" s="103" t="b">
        <x:v>0</x:v>
      </x:c>
      <x:c r="AA243" s="103" t="b">
        <x:v>0</x:v>
      </x:c>
      <x:c r="AB243" s="103" t="b">
        <x:v>0</x:v>
      </x:c>
      <x:c r="AC243" s="103" t="b">
        <x:v>0</x:v>
      </x:c>
      <x:c r="AD243" s="106" t="str">
        <x:v>BLOCKED_PENDING_VALIDATION</x:v>
      </x:c>
      <x:c r="AE243" s="99" t="str">
        <x:v>NOT_STARTED</x:v>
      </x:c>
      <x:c r="AF243" s="99" t="str">
        <x:v>Unassigned country-pack owner</x:v>
      </x:c>
      <x:c r="AG243" s="99" t="str">
        <x:v>SRC-CUS-001, SRC-CUS-005, SRC-CUS-007, SRC-DAT-001, SRC-POST-001, SRC-PRV-001, SRC-USA-001, SRC-USA-002, SRC-PRV-012</x:v>
      </x:c>
      <x:c r="AH243" s="99" t="str">
        <x:v>2026-07-25</x:v>
      </x:c>
      <x:c r="AI243" s="99" t="str">
        <x:v>2026-08-25</x:v>
      </x:c>
      <x:c r="AJ243" s="99" t="str">
        <x:v>Registry coverage only. Production readiness is capability-specific and requires the release checklist.</x:v>
      </x:c>
    </x:row>
    <x:row r="244" ht="54" customHeight="1">
      <x:c r="A244" s="97" t="str">
        <x:v>CP-UY</x:v>
      </x:c>
      <x:c r="B244" s="97" t="str">
        <x:v>Uruguay</x:v>
      </x:c>
      <x:c r="C244" s="97" t="str">
        <x:v>UY</x:v>
      </x:c>
      <x:c r="D244" s="97" t="str">
        <x:v>URY</x:v>
      </x:c>
      <x:c r="E244" s="97" t="str">
        <x:v>858</x:v>
      </x:c>
      <x:c r="F244" s="97" t="str">
        <x:v>ISO 3166-1 assigned</x:v>
      </x:c>
      <x:c r="G244" s="97" t="str">
        <x:v>Independent state</x:v>
      </x:c>
      <x:c r="H244" s="97" t="str">
        <x:v>Self-administered for pack indexing; legal status follows authoritative sources</x:v>
      </x:c>
      <x:c r="I244" s="97" t="str">
        <x:v>Americas</x:v>
      </x:c>
      <x:c r="J244" s="97" t="str">
        <x:v>South America</x:v>
      </x:c>
      <x:c r="K244" s="97" t="str">
        <x:v>MERCOSUR member; national implementation required</x:v>
      </x:c>
      <x:c r="L244" s="97" t="str">
        <x:v>UPU/operator contract, bilateral rules, EAD/message versions and serviceability must be validated</x:v>
      </x:c>
      <x:c r="M244" s="97" t="str">
        <x:v>ICAO state rules, PLACI regime, security status, carrier routing and serviceability must be validated</x:v>
      </x:c>
      <x:c r="N244" s="97" t="str">
        <x:v>Country-pack privacy law and transfer mechanism required</x:v>
      </x:c>
      <x:c r="O244" s="97" t="str">
        <x:v>Screen live lists for every applicable nexus; resolve ownership, sectoral, end-use and licence controls</x:v>
      </x:c>
      <x:c r="P244" s="97" t="str">
        <x:v>No static legal conclusion. Validate current national/territorial customs, tax, licensing, product, privacy and carrier sources before activation.</x:v>
      </x:c>
      <x:c r="Q244" s="97" t="str">
        <x:v>BLOCKED until tariff, prohibitions, documents and carrier services approved</x:v>
      </x:c>
      <x:c r="R244" s="97" t="str">
        <x:v>BLOCKED until ICAO/state/operator variations and certified review path approved</x:v>
      </x:c>
      <x:c r="S244" s="97" t="str">
        <x:v>BLOCKED until SPS/agency/temperature rules and external filing path approved</x:v>
      </x:c>
      <x:c r="T244" s="97" t="str">
        <x:v>BLOCKED until product/site/importer authorizations and quality path approved</x:v>
      </x:c>
      <x:c r="U244" s="97" t="str">
        <x:v>BLOCKED until excise/licences/age/carrier contract approved</x:v>
      </x:c>
      <x:c r="V244" s="97" t="str">
        <x:v>BLOCKED until classification/end-use/licensing and sanctions path approved</x:v>
      </x:c>
      <x:c r="W244" s="97" t="str">
        <x:v>BLOCKED until provenance/security/insurance/carrier limits approved</x:v>
      </x:c>
      <x:c r="X244" s="97" t="str">
        <x:v>BLOCKED until purpose, values, relief evidence and restrictions approved</x:v>
      </x:c>
      <x:c r="Y244" s="104" t="b">
        <x:v>0</x:v>
      </x:c>
      <x:c r="Z244" s="104" t="b">
        <x:v>0</x:v>
      </x:c>
      <x:c r="AA244" s="104" t="b">
        <x:v>0</x:v>
      </x:c>
      <x:c r="AB244" s="104" t="b">
        <x:v>0</x:v>
      </x:c>
      <x:c r="AC244" s="104" t="b">
        <x:v>0</x:v>
      </x:c>
      <x:c r="AD244" s="106" t="str">
        <x:v>BLOCKED_PENDING_VALIDATION</x:v>
      </x:c>
      <x:c r="AE244" s="97" t="str">
        <x:v>NOT_STARTED</x:v>
      </x:c>
      <x:c r="AF244" s="97" t="str">
        <x:v>Unassigned country-pack owner</x:v>
      </x:c>
      <x:c r="AG244" s="97" t="str">
        <x:v>SRC-CUS-001, SRC-CUS-005, SRC-CUS-007, SRC-DAT-001, SRC-POST-001, SRC-PRV-001</x:v>
      </x:c>
      <x:c r="AH244" s="97" t="str">
        <x:v>2026-07-25</x:v>
      </x:c>
      <x:c r="AI244" s="97" t="str">
        <x:v>2026-08-25</x:v>
      </x:c>
      <x:c r="AJ244" s="97" t="str">
        <x:v>Registry coverage only. Production readiness is capability-specific and requires the release checklist.</x:v>
      </x:c>
    </x:row>
    <x:row r="245" ht="54" customHeight="1">
      <x:c r="A245" s="99" t="str">
        <x:v>CP-UZ</x:v>
      </x:c>
      <x:c r="B245" s="99" t="str">
        <x:v>Uzbekistan</x:v>
      </x:c>
      <x:c r="C245" s="99" t="str">
        <x:v>UZ</x:v>
      </x:c>
      <x:c r="D245" s="99" t="str">
        <x:v>UZB</x:v>
      </x:c>
      <x:c r="E245" s="99" t="str">
        <x:v>860</x:v>
      </x:c>
      <x:c r="F245" s="99" t="str">
        <x:v>ISO 3166-1 assigned</x:v>
      </x:c>
      <x:c r="G245" s="99" t="str">
        <x:v>Independent state</x:v>
      </x:c>
      <x:c r="H245" s="99" t="str">
        <x:v>Self-administered for pack indexing; legal status follows authoritative sources</x:v>
      </x:c>
      <x:c r="I245" s="99" t="str">
        <x:v>Asia</x:v>
      </x:c>
      <x:c r="J245" s="99" t="str">
        <x:v>Central Asia</x:v>
      </x:c>
      <x:c r="K245" s="99" t="str">
        <x:v>National/territorial customs framework—local validation required</x:v>
      </x:c>
      <x:c r="L245" s="99" t="str">
        <x:v>UPU/operator contract, bilateral rules, EAD/message versions and serviceability must be validated</x:v>
      </x:c>
      <x:c r="M245" s="99" t="str">
        <x:v>ICAO state rules, PLACI regime, security status, carrier routing and serviceability must be validated</x:v>
      </x:c>
      <x:c r="N245" s="99" t="str">
        <x:v>Country-pack privacy law and transfer mechanism required</x:v>
      </x:c>
      <x:c r="O245" s="99" t="str">
        <x:v>Screen live lists for every applicable nexus; resolve ownership, sectoral, end-use and licence controls</x:v>
      </x:c>
      <x:c r="P245" s="99" t="str">
        <x:v>No static legal conclusion. Validate current national/territorial customs, tax, licensing, product, privacy and carrier sources before activation.</x:v>
      </x:c>
      <x:c r="Q245" s="99" t="str">
        <x:v>BLOCKED until tariff, prohibitions, documents and carrier services approved</x:v>
      </x:c>
      <x:c r="R245" s="99" t="str">
        <x:v>BLOCKED until ICAO/state/operator variations and certified review path approved</x:v>
      </x:c>
      <x:c r="S245" s="99" t="str">
        <x:v>BLOCKED until SPS/agency/temperature rules and external filing path approved</x:v>
      </x:c>
      <x:c r="T245" s="99" t="str">
        <x:v>BLOCKED until product/site/importer authorizations and quality path approved</x:v>
      </x:c>
      <x:c r="U245" s="99" t="str">
        <x:v>BLOCKED until excise/licences/age/carrier contract approved</x:v>
      </x:c>
      <x:c r="V245" s="99" t="str">
        <x:v>BLOCKED until classification/end-use/licensing and sanctions path approved</x:v>
      </x:c>
      <x:c r="W245" s="99" t="str">
        <x:v>BLOCKED until provenance/security/insurance/carrier limits approved</x:v>
      </x:c>
      <x:c r="X245" s="99" t="str">
        <x:v>BLOCKED until purpose, values, relief evidence and restrictions approved</x:v>
      </x:c>
      <x:c r="Y245" s="103" t="b">
        <x:v>0</x:v>
      </x:c>
      <x:c r="Z245" s="103" t="b">
        <x:v>0</x:v>
      </x:c>
      <x:c r="AA245" s="103" t="b">
        <x:v>0</x:v>
      </x:c>
      <x:c r="AB245" s="103" t="b">
        <x:v>0</x:v>
      </x:c>
      <x:c r="AC245" s="103" t="b">
        <x:v>0</x:v>
      </x:c>
      <x:c r="AD245" s="106" t="str">
        <x:v>BLOCKED_PENDING_VALIDATION</x:v>
      </x:c>
      <x:c r="AE245" s="99" t="str">
        <x:v>NOT_STARTED</x:v>
      </x:c>
      <x:c r="AF245" s="99" t="str">
        <x:v>Unassigned country-pack owner</x:v>
      </x:c>
      <x:c r="AG245" s="99" t="str">
        <x:v>SRC-CUS-001, SRC-CUS-005, SRC-CUS-007, SRC-DAT-001, SRC-POST-001, SRC-PRV-001</x:v>
      </x:c>
      <x:c r="AH245" s="99" t="str">
        <x:v>2026-07-25</x:v>
      </x:c>
      <x:c r="AI245" s="99" t="str">
        <x:v>2026-08-25</x:v>
      </x:c>
      <x:c r="AJ245" s="99" t="str">
        <x:v>Registry coverage only. Production readiness is capability-specific and requires the release checklist.</x:v>
      </x:c>
    </x:row>
    <x:row r="246" ht="54" customHeight="1">
      <x:c r="A246" s="97" t="str">
        <x:v>CP-VU</x:v>
      </x:c>
      <x:c r="B246" s="97" t="str">
        <x:v>Vanuatu</x:v>
      </x:c>
      <x:c r="C246" s="97" t="str">
        <x:v>VU</x:v>
      </x:c>
      <x:c r="D246" s="97" t="str">
        <x:v>VUT</x:v>
      </x:c>
      <x:c r="E246" s="97" t="str">
        <x:v>548</x:v>
      </x:c>
      <x:c r="F246" s="97" t="str">
        <x:v>ISO 3166-1 assigned</x:v>
      </x:c>
      <x:c r="G246" s="97" t="str">
        <x:v>Independent state</x:v>
      </x:c>
      <x:c r="H246" s="97" t="str">
        <x:v>Self-administered for pack indexing; legal status follows authoritative sources</x:v>
      </x:c>
      <x:c r="I246" s="97" t="str">
        <x:v>Oceania</x:v>
      </x:c>
      <x:c r="J246" s="97" t="str">
        <x:v>Melanesia</x:v>
      </x:c>
      <x:c r="K246" s="97" t="str">
        <x:v>National/territorial customs framework—local validation required</x:v>
      </x:c>
      <x:c r="L246" s="97" t="str">
        <x:v>UPU/operator contract, bilateral rules, EAD/message versions and serviceability must be validated</x:v>
      </x:c>
      <x:c r="M246" s="97" t="str">
        <x:v>ICAO state rules, PLACI regime, security status, carrier routing and serviceability must be validated</x:v>
      </x:c>
      <x:c r="N246" s="97" t="str">
        <x:v>Country-pack privacy law and transfer mechanism required</x:v>
      </x:c>
      <x:c r="O246" s="97" t="str">
        <x:v>Screen live lists for every applicable nexus; resolve ownership, sectoral, end-use and licence controls</x:v>
      </x:c>
      <x:c r="P246" s="97" t="str">
        <x:v>No static legal conclusion. Validate current national/territorial customs, tax, licensing, product, privacy and carrier sources before activation.</x:v>
      </x:c>
      <x:c r="Q246" s="97" t="str">
        <x:v>BLOCKED until tariff, prohibitions, documents and carrier services approved</x:v>
      </x:c>
      <x:c r="R246" s="97" t="str">
        <x:v>BLOCKED until ICAO/state/operator variations and certified review path approved</x:v>
      </x:c>
      <x:c r="S246" s="97" t="str">
        <x:v>BLOCKED until SPS/agency/temperature rules and external filing path approved</x:v>
      </x:c>
      <x:c r="T246" s="97" t="str">
        <x:v>BLOCKED until product/site/importer authorizations and quality path approved</x:v>
      </x:c>
      <x:c r="U246" s="97" t="str">
        <x:v>BLOCKED until excise/licences/age/carrier contract approved</x:v>
      </x:c>
      <x:c r="V246" s="97" t="str">
        <x:v>BLOCKED until classification/end-use/licensing and sanctions path approved</x:v>
      </x:c>
      <x:c r="W246" s="97" t="str">
        <x:v>BLOCKED until provenance/security/insurance/carrier limits approved</x:v>
      </x:c>
      <x:c r="X246" s="97" t="str">
        <x:v>BLOCKED until purpose, values, relief evidence and restrictions approved</x:v>
      </x:c>
      <x:c r="Y246" s="104" t="b">
        <x:v>0</x:v>
      </x:c>
      <x:c r="Z246" s="104" t="b">
        <x:v>0</x:v>
      </x:c>
      <x:c r="AA246" s="104" t="b">
        <x:v>0</x:v>
      </x:c>
      <x:c r="AB246" s="104" t="b">
        <x:v>0</x:v>
      </x:c>
      <x:c r="AC246" s="104" t="b">
        <x:v>0</x:v>
      </x:c>
      <x:c r="AD246" s="106" t="str">
        <x:v>BLOCKED_PENDING_VALIDATION</x:v>
      </x:c>
      <x:c r="AE246" s="97" t="str">
        <x:v>NOT_STARTED</x:v>
      </x:c>
      <x:c r="AF246" s="97" t="str">
        <x:v>Unassigned country-pack owner</x:v>
      </x:c>
      <x:c r="AG246" s="97" t="str">
        <x:v>SRC-CUS-001, SRC-CUS-005, SRC-CUS-007, SRC-DAT-001, SRC-POST-001, SRC-PRV-001</x:v>
      </x:c>
      <x:c r="AH246" s="97" t="str">
        <x:v>2026-07-25</x:v>
      </x:c>
      <x:c r="AI246" s="97" t="str">
        <x:v>2026-08-25</x:v>
      </x:c>
      <x:c r="AJ246" s="97" t="str">
        <x:v>Registry coverage only. Production readiness is capability-specific and requires the release checklist.</x:v>
      </x:c>
    </x:row>
    <x:row r="247" ht="54" customHeight="1">
      <x:c r="A247" s="99" t="str">
        <x:v>CP-VA</x:v>
      </x:c>
      <x:c r="B247" s="99" t="str">
        <x:v>Vatican City</x:v>
      </x:c>
      <x:c r="C247" s="99" t="str">
        <x:v>VA</x:v>
      </x:c>
      <x:c r="D247" s="99" t="str">
        <x:v>VAT</x:v>
      </x:c>
      <x:c r="E247" s="99" t="str">
        <x:v>336</x:v>
      </x:c>
      <x:c r="F247" s="99" t="str">
        <x:v>ISO 3166-1 assigned</x:v>
      </x:c>
      <x:c r="G247" s="99" t="str">
        <x:v>Independent state</x:v>
      </x:c>
      <x:c r="H247" s="99" t="str">
        <x:v>Self-administered for pack indexing; legal status follows authoritative sources</x:v>
      </x:c>
      <x:c r="I247" s="99" t="str">
        <x:v>Europe</x:v>
      </x:c>
      <x:c r="J247" s="99" t="str">
        <x:v>Southern Europe</x:v>
      </x:c>
      <x:c r="K247" s="99" t="str">
        <x:v>National/territorial customs framework—local validation required</x:v>
      </x:c>
      <x:c r="L247" s="99" t="str">
        <x:v>UPU/operator contract, bilateral rules, EAD/message versions and serviceability must be validated</x:v>
      </x:c>
      <x:c r="M247" s="99" t="str">
        <x:v>ICAO state rules, PLACI regime, security status, carrier routing and serviceability must be validated</x:v>
      </x:c>
      <x:c r="N247" s="99" t="str">
        <x:v>Country-pack privacy law and transfer mechanism required</x:v>
      </x:c>
      <x:c r="O247" s="99" t="str">
        <x:v>Screen live lists for every applicable nexus; resolve ownership, sectoral, end-use and licence controls</x:v>
      </x:c>
      <x:c r="P247" s="99" t="str">
        <x:v>No static legal conclusion. Validate current national/territorial customs, tax, licensing, product, privacy and carrier sources before activation.</x:v>
      </x:c>
      <x:c r="Q247" s="99" t="str">
        <x:v>BLOCKED until tariff, prohibitions, documents and carrier services approved</x:v>
      </x:c>
      <x:c r="R247" s="99" t="str">
        <x:v>BLOCKED until ICAO/state/operator variations and certified review path approved</x:v>
      </x:c>
      <x:c r="S247" s="99" t="str">
        <x:v>BLOCKED until SPS/agency/temperature rules and external filing path approved</x:v>
      </x:c>
      <x:c r="T247" s="99" t="str">
        <x:v>BLOCKED until product/site/importer authorizations and quality path approved</x:v>
      </x:c>
      <x:c r="U247" s="99" t="str">
        <x:v>BLOCKED until excise/licences/age/carrier contract approved</x:v>
      </x:c>
      <x:c r="V247" s="99" t="str">
        <x:v>BLOCKED until classification/end-use/licensing and sanctions path approved</x:v>
      </x:c>
      <x:c r="W247" s="99" t="str">
        <x:v>BLOCKED until provenance/security/insurance/carrier limits approved</x:v>
      </x:c>
      <x:c r="X247" s="99" t="str">
        <x:v>BLOCKED until purpose, values, relief evidence and restrictions approved</x:v>
      </x:c>
      <x:c r="Y247" s="103" t="b">
        <x:v>0</x:v>
      </x:c>
      <x:c r="Z247" s="103" t="b">
        <x:v>0</x:v>
      </x:c>
      <x:c r="AA247" s="103" t="b">
        <x:v>0</x:v>
      </x:c>
      <x:c r="AB247" s="103" t="b">
        <x:v>0</x:v>
      </x:c>
      <x:c r="AC247" s="103" t="b">
        <x:v>0</x:v>
      </x:c>
      <x:c r="AD247" s="106" t="str">
        <x:v>BLOCKED_PENDING_VALIDATION</x:v>
      </x:c>
      <x:c r="AE247" s="99" t="str">
        <x:v>NOT_STARTED</x:v>
      </x:c>
      <x:c r="AF247" s="99" t="str">
        <x:v>Unassigned country-pack owner</x:v>
      </x:c>
      <x:c r="AG247" s="99" t="str">
        <x:v>SRC-CUS-001, SRC-CUS-005, SRC-CUS-007, SRC-DAT-001, SRC-POST-001, SRC-PRV-001</x:v>
      </x:c>
      <x:c r="AH247" s="99" t="str">
        <x:v>2026-07-25</x:v>
      </x:c>
      <x:c r="AI247" s="99" t="str">
        <x:v>2026-08-25</x:v>
      </x:c>
      <x:c r="AJ247" s="99" t="str">
        <x:v>Registry coverage only. Production readiness is capability-specific and requires the release checklist.</x:v>
      </x:c>
    </x:row>
    <x:row r="248" ht="54" customHeight="1">
      <x:c r="A248" s="97" t="str">
        <x:v>CP-VE</x:v>
      </x:c>
      <x:c r="B248" s="97" t="str">
        <x:v>Venezuela</x:v>
      </x:c>
      <x:c r="C248" s="97" t="str">
        <x:v>VE</x:v>
      </x:c>
      <x:c r="D248" s="97" t="str">
        <x:v>VEN</x:v>
      </x:c>
      <x:c r="E248" s="97" t="str">
        <x:v>862</x:v>
      </x:c>
      <x:c r="F248" s="97" t="str">
        <x:v>ISO 3166-1 assigned</x:v>
      </x:c>
      <x:c r="G248" s="97" t="str">
        <x:v>Independent state</x:v>
      </x:c>
      <x:c r="H248" s="97" t="str">
        <x:v>Self-administered for pack indexing; legal status follows authoritative sources</x:v>
      </x:c>
      <x:c r="I248" s="97" t="str">
        <x:v>Americas</x:v>
      </x:c>
      <x:c r="J248" s="97" t="str">
        <x:v>South America</x:v>
      </x:c>
      <x:c r="K248" s="97" t="str">
        <x:v>National/territorial customs framework—local validation required</x:v>
      </x:c>
      <x:c r="L248" s="97" t="str">
        <x:v>UPU/operator contract, bilateral rules, EAD/message versions and serviceability must be validated</x:v>
      </x:c>
      <x:c r="M248" s="97" t="str">
        <x:v>ICAO state rules, PLACI regime, security status, carrier routing and serviceability must be validated</x:v>
      </x:c>
      <x:c r="N248" s="97" t="str">
        <x:v>Country-pack privacy law and transfer mechanism required</x:v>
      </x:c>
      <x:c r="O248" s="97" t="str">
        <x:v>Screen live lists for every applicable nexus; resolve ownership, sectoral, end-use and licence controls</x:v>
      </x:c>
      <x:c r="P248" s="97" t="str">
        <x:v>No static legal conclusion. Validate current national/territorial customs, tax, licensing, product, privacy and carrier sources before activation.</x:v>
      </x:c>
      <x:c r="Q248" s="97" t="str">
        <x:v>BLOCKED until tariff, prohibitions, documents and carrier services approved</x:v>
      </x:c>
      <x:c r="R248" s="97" t="str">
        <x:v>BLOCKED until ICAO/state/operator variations and certified review path approved</x:v>
      </x:c>
      <x:c r="S248" s="97" t="str">
        <x:v>BLOCKED until SPS/agency/temperature rules and external filing path approved</x:v>
      </x:c>
      <x:c r="T248" s="97" t="str">
        <x:v>BLOCKED until product/site/importer authorizations and quality path approved</x:v>
      </x:c>
      <x:c r="U248" s="97" t="str">
        <x:v>BLOCKED until excise/licences/age/carrier contract approved</x:v>
      </x:c>
      <x:c r="V248" s="97" t="str">
        <x:v>BLOCKED until classification/end-use/licensing and sanctions path approved</x:v>
      </x:c>
      <x:c r="W248" s="97" t="str">
        <x:v>BLOCKED until provenance/security/insurance/carrier limits approved</x:v>
      </x:c>
      <x:c r="X248" s="97" t="str">
        <x:v>BLOCKED until purpose, values, relief evidence and restrictions approved</x:v>
      </x:c>
      <x:c r="Y248" s="104" t="b">
        <x:v>0</x:v>
      </x:c>
      <x:c r="Z248" s="104" t="b">
        <x:v>0</x:v>
      </x:c>
      <x:c r="AA248" s="104" t="b">
        <x:v>0</x:v>
      </x:c>
      <x:c r="AB248" s="104" t="b">
        <x:v>0</x:v>
      </x:c>
      <x:c r="AC248" s="104" t="b">
        <x:v>0</x:v>
      </x:c>
      <x:c r="AD248" s="106" t="str">
        <x:v>BLOCKED_PENDING_VALIDATION</x:v>
      </x:c>
      <x:c r="AE248" s="97" t="str">
        <x:v>NOT_STARTED</x:v>
      </x:c>
      <x:c r="AF248" s="97" t="str">
        <x:v>Unassigned country-pack owner</x:v>
      </x:c>
      <x:c r="AG248" s="97" t="str">
        <x:v>SRC-CUS-001, SRC-CUS-005, SRC-CUS-007, SRC-DAT-001, SRC-POST-001, SRC-PRV-001</x:v>
      </x:c>
      <x:c r="AH248" s="97" t="str">
        <x:v>2026-07-25</x:v>
      </x:c>
      <x:c r="AI248" s="97" t="str">
        <x:v>2026-08-25</x:v>
      </x:c>
      <x:c r="AJ248" s="97" t="str">
        <x:v>Registry coverage only. Production readiness is capability-specific and requires the release checklist.</x:v>
      </x:c>
    </x:row>
    <x:row r="249" ht="54" customHeight="1">
      <x:c r="A249" s="99" t="str">
        <x:v>CP-VN</x:v>
      </x:c>
      <x:c r="B249" s="99" t="str">
        <x:v>Vietnam</x:v>
      </x:c>
      <x:c r="C249" s="99" t="str">
        <x:v>VN</x:v>
      </x:c>
      <x:c r="D249" s="99" t="str">
        <x:v>VNM</x:v>
      </x:c>
      <x:c r="E249" s="99" t="str">
        <x:v>704</x:v>
      </x:c>
      <x:c r="F249" s="99" t="str">
        <x:v>ISO 3166-1 assigned</x:v>
      </x:c>
      <x:c r="G249" s="99" t="str">
        <x:v>Independent state</x:v>
      </x:c>
      <x:c r="H249" s="99" t="str">
        <x:v>Self-administered for pack indexing; legal status follows authoritative sources</x:v>
      </x:c>
      <x:c r="I249" s="99" t="str">
        <x:v>Asia</x:v>
      </x:c>
      <x:c r="J249" s="99" t="str">
        <x:v>South-Eastern Asia</x:v>
      </x:c>
      <x:c r="K249" s="99" t="str">
        <x:v>National/territorial customs framework—local validation required</x:v>
      </x:c>
      <x:c r="L249" s="99" t="str">
        <x:v>UPU/operator contract, bilateral rules, EAD/message versions and serviceability must be validated</x:v>
      </x:c>
      <x:c r="M249" s="99" t="str">
        <x:v>ICAO state rules, PLACI regime, security status, carrier routing and serviceability must be validated</x:v>
      </x:c>
      <x:c r="N249" s="99" t="str">
        <x:v>Country-pack privacy law and transfer mechanism required</x:v>
      </x:c>
      <x:c r="O249" s="99" t="str">
        <x:v>Screen live lists for every applicable nexus; resolve ownership, sectoral, end-use and licence controls</x:v>
      </x:c>
      <x:c r="P249" s="99" t="str">
        <x:v>No static legal conclusion. Validate current national/territorial customs, tax, licensing, product, privacy and carrier sources before activation.</x:v>
      </x:c>
      <x:c r="Q249" s="99" t="str">
        <x:v>BLOCKED until tariff, prohibitions, documents and carrier services approved</x:v>
      </x:c>
      <x:c r="R249" s="99" t="str">
        <x:v>BLOCKED until ICAO/state/operator variations and certified review path approved</x:v>
      </x:c>
      <x:c r="S249" s="99" t="str">
        <x:v>BLOCKED until SPS/agency/temperature rules and external filing path approved</x:v>
      </x:c>
      <x:c r="T249" s="99" t="str">
        <x:v>BLOCKED until product/site/importer authorizations and quality path approved</x:v>
      </x:c>
      <x:c r="U249" s="99" t="str">
        <x:v>BLOCKED until excise/licences/age/carrier contract approved</x:v>
      </x:c>
      <x:c r="V249" s="99" t="str">
        <x:v>BLOCKED until classification/end-use/licensing and sanctions path approved</x:v>
      </x:c>
      <x:c r="W249" s="99" t="str">
        <x:v>BLOCKED until provenance/security/insurance/carrier limits approved</x:v>
      </x:c>
      <x:c r="X249" s="99" t="str">
        <x:v>BLOCKED until purpose, values, relief evidence and restrictions approved</x:v>
      </x:c>
      <x:c r="Y249" s="103" t="b">
        <x:v>0</x:v>
      </x:c>
      <x:c r="Z249" s="103" t="b">
        <x:v>0</x:v>
      </x:c>
      <x:c r="AA249" s="103" t="b">
        <x:v>0</x:v>
      </x:c>
      <x:c r="AB249" s="103" t="b">
        <x:v>0</x:v>
      </x:c>
      <x:c r="AC249" s="103" t="b">
        <x:v>0</x:v>
      </x:c>
      <x:c r="AD249" s="106" t="str">
        <x:v>BLOCKED_PENDING_VALIDATION</x:v>
      </x:c>
      <x:c r="AE249" s="99" t="str">
        <x:v>NOT_STARTED</x:v>
      </x:c>
      <x:c r="AF249" s="99" t="str">
        <x:v>Unassigned country-pack owner</x:v>
      </x:c>
      <x:c r="AG249" s="99" t="str">
        <x:v>SRC-CUS-001, SRC-CUS-005, SRC-CUS-007, SRC-DAT-001, SRC-POST-001, SRC-PRV-001</x:v>
      </x:c>
      <x:c r="AH249" s="99" t="str">
        <x:v>2026-07-25</x:v>
      </x:c>
      <x:c r="AI249" s="99" t="str">
        <x:v>2026-08-25</x:v>
      </x:c>
      <x:c r="AJ249" s="99" t="str">
        <x:v>Registry coverage only. Production readiness is capability-specific and requires the release checklist.</x:v>
      </x:c>
    </x:row>
    <x:row r="250" ht="54" customHeight="1">
      <x:c r="A250" s="97" t="str">
        <x:v>CP-WF</x:v>
      </x:c>
      <x:c r="B250" s="97" t="str">
        <x:v>Wallis and Futuna</x:v>
      </x:c>
      <x:c r="C250" s="97" t="str">
        <x:v>WF</x:v>
      </x:c>
      <x:c r="D250" s="97" t="str">
        <x:v>WLF</x:v>
      </x:c>
      <x:c r="E250" s="97" t="str">
        <x:v>876</x:v>
      </x:c>
      <x:c r="F250" s="97" t="str">
        <x:v>ISO 3166-1 assigned</x:v>
      </x:c>
      <x:c r="G250" s="97" t="str">
        <x:v>Territory, dependency or special-area record</x:v>
      </x:c>
      <x:c r="H250" s="97" t="str">
        <x:v>France</x:v>
      </x:c>
      <x:c r="I250" s="97" t="str">
        <x:v>Oceania</x:v>
      </x:c>
      <x:c r="J250" s="97" t="str">
        <x:v>Polynesia</x:v>
      </x:c>
      <x:c r="K250" s="97" t="str">
        <x:v>National/territorial customs framework—local validation required</x:v>
      </x:c>
      <x:c r="L250" s="97" t="str">
        <x:v>UPU/operator contract, bilateral rules, EAD/message versions and serviceability must be validated</x:v>
      </x:c>
      <x:c r="M250" s="97" t="str">
        <x:v>ICAO state rules, PLACI regime, security status, carrier routing and serviceability must be validated</x:v>
      </x:c>
      <x:c r="N250" s="97" t="str">
        <x:v>Country-pack privacy law and transfer mechanism required</x:v>
      </x:c>
      <x:c r="O250" s="97" t="str">
        <x:v>Screen live lists for every applicable nexus; resolve ownership, sectoral, end-use and licence controls</x:v>
      </x:c>
      <x:c r="P250" s="97" t="str">
        <x:v>No static legal conclusion. Validate current national/territorial customs, tax, licensing, product, privacy and carrier sources before activation.</x:v>
      </x:c>
      <x:c r="Q250" s="97" t="str">
        <x:v>BLOCKED until tariff, prohibitions, documents and carrier services approved</x:v>
      </x:c>
      <x:c r="R250" s="97" t="str">
        <x:v>BLOCKED until ICAO/state/operator variations and certified review path approved</x:v>
      </x:c>
      <x:c r="S250" s="97" t="str">
        <x:v>BLOCKED until SPS/agency/temperature rules and external filing path approved</x:v>
      </x:c>
      <x:c r="T250" s="97" t="str">
        <x:v>BLOCKED until product/site/importer authorizations and quality path approved</x:v>
      </x:c>
      <x:c r="U250" s="97" t="str">
        <x:v>BLOCKED until excise/licences/age/carrier contract approved</x:v>
      </x:c>
      <x:c r="V250" s="97" t="str">
        <x:v>BLOCKED until classification/end-use/licensing and sanctions path approved</x:v>
      </x:c>
      <x:c r="W250" s="97" t="str">
        <x:v>BLOCKED until provenance/security/insurance/carrier limits approved</x:v>
      </x:c>
      <x:c r="X250" s="97" t="str">
        <x:v>BLOCKED until purpose, values, relief evidence and restrictions approved</x:v>
      </x:c>
      <x:c r="Y250" s="104" t="b">
        <x:v>0</x:v>
      </x:c>
      <x:c r="Z250" s="104" t="b">
        <x:v>0</x:v>
      </x:c>
      <x:c r="AA250" s="104" t="b">
        <x:v>0</x:v>
      </x:c>
      <x:c r="AB250" s="104" t="b">
        <x:v>0</x:v>
      </x:c>
      <x:c r="AC250" s="104" t="b">
        <x:v>0</x:v>
      </x:c>
      <x:c r="AD250" s="106" t="str">
        <x:v>BLOCKED_PENDING_VALIDATION</x:v>
      </x:c>
      <x:c r="AE250" s="97" t="str">
        <x:v>NOT_STARTED</x:v>
      </x:c>
      <x:c r="AF250" s="97" t="str">
        <x:v>Unassigned country-pack owner</x:v>
      </x:c>
      <x:c r="AG250" s="97" t="str">
        <x:v>SRC-CUS-001, SRC-CUS-005, SRC-CUS-007, SRC-DAT-001, SRC-POST-001, SRC-PRV-001</x:v>
      </x:c>
      <x:c r="AH250" s="97" t="str">
        <x:v>2026-07-25</x:v>
      </x:c>
      <x:c r="AI250" s="97" t="str">
        <x:v>2026-08-25</x:v>
      </x:c>
      <x:c r="AJ250" s="97" t="str">
        <x:v>Registry coverage only. Production readiness is capability-specific and requires the release checklist.</x:v>
      </x:c>
    </x:row>
    <x:row r="251" ht="54" customHeight="1">
      <x:c r="A251" s="99" t="str">
        <x:v>CP-EH</x:v>
      </x:c>
      <x:c r="B251" s="99" t="str">
        <x:v>Western Sahara</x:v>
      </x:c>
      <x:c r="C251" s="99" t="str">
        <x:v>EH</x:v>
      </x:c>
      <x:c r="D251" s="99" t="str">
        <x:v>ESH</x:v>
      </x:c>
      <x:c r="E251" s="99" t="str">
        <x:v>732</x:v>
      </x:c>
      <x:c r="F251" s="99" t="str">
        <x:v>ISO 3166-1 assigned</x:v>
      </x:c>
      <x:c r="G251" s="99" t="str">
        <x:v>Territory, dependency or special-area record</x:v>
      </x:c>
      <x:c r="H251" s="99" t="str">
        <x:v>Disputed territory</x:v>
      </x:c>
      <x:c r="I251" s="99" t="str">
        <x:v>Africa</x:v>
      </x:c>
      <x:c r="J251" s="99" t="str">
        <x:v>Northern Africa</x:v>
      </x:c>
      <x:c r="K251" s="99" t="str">
        <x:v>National/territorial customs framework—local validation required</x:v>
      </x:c>
      <x:c r="L251" s="99" t="str">
        <x:v>UPU/operator contract, bilateral rules, EAD/message versions and serviceability must be validated</x:v>
      </x:c>
      <x:c r="M251" s="99" t="str">
        <x:v>ICAO state rules, PLACI regime, security status, carrier routing and serviceability must be validated</x:v>
      </x:c>
      <x:c r="N251" s="99" t="str">
        <x:v>Country-pack privacy law and transfer mechanism required</x:v>
      </x:c>
      <x:c r="O251" s="99" t="str">
        <x:v>Screen live lists for every applicable nexus; resolve ownership, sectoral, end-use and licence controls</x:v>
      </x:c>
      <x:c r="P251" s="99" t="str">
        <x:v>No static legal conclusion. Validate current national/territorial customs, tax, licensing, product, privacy and carrier sources before activation.</x:v>
      </x:c>
      <x:c r="Q251" s="99" t="str">
        <x:v>BLOCKED until tariff, prohibitions, documents and carrier services approved</x:v>
      </x:c>
      <x:c r="R251" s="99" t="str">
        <x:v>BLOCKED until ICAO/state/operator variations and certified review path approved</x:v>
      </x:c>
      <x:c r="S251" s="99" t="str">
        <x:v>BLOCKED until SPS/agency/temperature rules and external filing path approved</x:v>
      </x:c>
      <x:c r="T251" s="99" t="str">
        <x:v>BLOCKED until product/site/importer authorizations and quality path approved</x:v>
      </x:c>
      <x:c r="U251" s="99" t="str">
        <x:v>BLOCKED until excise/licences/age/carrier contract approved</x:v>
      </x:c>
      <x:c r="V251" s="99" t="str">
        <x:v>BLOCKED until classification/end-use/licensing and sanctions path approved</x:v>
      </x:c>
      <x:c r="W251" s="99" t="str">
        <x:v>BLOCKED until provenance/security/insurance/carrier limits approved</x:v>
      </x:c>
      <x:c r="X251" s="99" t="str">
        <x:v>BLOCKED until purpose, values, relief evidence and restrictions approved</x:v>
      </x:c>
      <x:c r="Y251" s="103" t="b">
        <x:v>0</x:v>
      </x:c>
      <x:c r="Z251" s="103" t="b">
        <x:v>0</x:v>
      </x:c>
      <x:c r="AA251" s="103" t="b">
        <x:v>0</x:v>
      </x:c>
      <x:c r="AB251" s="103" t="b">
        <x:v>0</x:v>
      </x:c>
      <x:c r="AC251" s="103" t="b">
        <x:v>0</x:v>
      </x:c>
      <x:c r="AD251" s="106" t="str">
        <x:v>BLOCKED_PENDING_VALIDATION</x:v>
      </x:c>
      <x:c r="AE251" s="99" t="str">
        <x:v>NOT_STARTED</x:v>
      </x:c>
      <x:c r="AF251" s="99" t="str">
        <x:v>Unassigned country-pack owner</x:v>
      </x:c>
      <x:c r="AG251" s="99" t="str">
        <x:v>SRC-CUS-001, SRC-CUS-005, SRC-CUS-007, SRC-DAT-001, SRC-POST-001, SRC-PRV-001</x:v>
      </x:c>
      <x:c r="AH251" s="99" t="str">
        <x:v>2026-07-25</x:v>
      </x:c>
      <x:c r="AI251" s="99" t="str">
        <x:v>2026-08-25</x:v>
      </x:c>
      <x:c r="AJ251" s="99" t="str">
        <x:v>Registry coverage only. Production readiness is capability-specific and requires the release checklist.</x:v>
      </x:c>
    </x:row>
    <x:row r="252" ht="54" customHeight="1">
      <x:c r="A252" s="97" t="str">
        <x:v>CP-YE</x:v>
      </x:c>
      <x:c r="B252" s="97" t="str">
        <x:v>Yemen</x:v>
      </x:c>
      <x:c r="C252" s="97" t="str">
        <x:v>YE</x:v>
      </x:c>
      <x:c r="D252" s="97" t="str">
        <x:v>YEM</x:v>
      </x:c>
      <x:c r="E252" s="97" t="str">
        <x:v>887</x:v>
      </x:c>
      <x:c r="F252" s="97" t="str">
        <x:v>ISO 3166-1 assigned</x:v>
      </x:c>
      <x:c r="G252" s="97" t="str">
        <x:v>Independent state</x:v>
      </x:c>
      <x:c r="H252" s="97" t="str">
        <x:v>Self-administered for pack indexing; legal status follows authoritative sources</x:v>
      </x:c>
      <x:c r="I252" s="97" t="str">
        <x:v>Asia</x:v>
      </x:c>
      <x:c r="J252" s="97" t="str">
        <x:v>Western Asia</x:v>
      </x:c>
      <x:c r="K252" s="97" t="str">
        <x:v>National/territorial customs framework—local validation required</x:v>
      </x:c>
      <x:c r="L252" s="97" t="str">
        <x:v>UPU/operator contract, bilateral rules, EAD/message versions and serviceability must be validated</x:v>
      </x:c>
      <x:c r="M252" s="97" t="str">
        <x:v>ICAO state rules, PLACI regime, security status, carrier routing and serviceability must be validated</x:v>
      </x:c>
      <x:c r="N252" s="97" t="str">
        <x:v>Country-pack privacy law and transfer mechanism required</x:v>
      </x:c>
      <x:c r="O252" s="97" t="str">
        <x:v>Screen live lists for every applicable nexus; resolve ownership, sectoral, end-use and licence controls</x:v>
      </x:c>
      <x:c r="P252" s="97" t="str">
        <x:v>No static legal conclusion. Validate current national/territorial customs, tax, licensing, product, privacy and carrier sources before activation.</x:v>
      </x:c>
      <x:c r="Q252" s="97" t="str">
        <x:v>BLOCKED until tariff, prohibitions, documents and carrier services approved</x:v>
      </x:c>
      <x:c r="R252" s="97" t="str">
        <x:v>BLOCKED until ICAO/state/operator variations and certified review path approved</x:v>
      </x:c>
      <x:c r="S252" s="97" t="str">
        <x:v>BLOCKED until SPS/agency/temperature rules and external filing path approved</x:v>
      </x:c>
      <x:c r="T252" s="97" t="str">
        <x:v>BLOCKED until product/site/importer authorizations and quality path approved</x:v>
      </x:c>
      <x:c r="U252" s="97" t="str">
        <x:v>BLOCKED until excise/licences/age/carrier contract approved</x:v>
      </x:c>
      <x:c r="V252" s="97" t="str">
        <x:v>BLOCKED until classification/end-use/licensing and sanctions path approved</x:v>
      </x:c>
      <x:c r="W252" s="97" t="str">
        <x:v>BLOCKED until provenance/security/insurance/carrier limits approved</x:v>
      </x:c>
      <x:c r="X252" s="97" t="str">
        <x:v>BLOCKED until purpose, values, relief evidence and restrictions approved</x:v>
      </x:c>
      <x:c r="Y252" s="104" t="b">
        <x:v>0</x:v>
      </x:c>
      <x:c r="Z252" s="104" t="b">
        <x:v>0</x:v>
      </x:c>
      <x:c r="AA252" s="104" t="b">
        <x:v>0</x:v>
      </x:c>
      <x:c r="AB252" s="104" t="b">
        <x:v>0</x:v>
      </x:c>
      <x:c r="AC252" s="104" t="b">
        <x:v>0</x:v>
      </x:c>
      <x:c r="AD252" s="106" t="str">
        <x:v>BLOCKED_PENDING_VALIDATION</x:v>
      </x:c>
      <x:c r="AE252" s="97" t="str">
        <x:v>NOT_STARTED</x:v>
      </x:c>
      <x:c r="AF252" s="97" t="str">
        <x:v>Unassigned country-pack owner</x:v>
      </x:c>
      <x:c r="AG252" s="97" t="str">
        <x:v>SRC-CUS-001, SRC-CUS-005, SRC-CUS-007, SRC-DAT-001, SRC-POST-001, SRC-PRV-001</x:v>
      </x:c>
      <x:c r="AH252" s="97" t="str">
        <x:v>2026-07-25</x:v>
      </x:c>
      <x:c r="AI252" s="97" t="str">
        <x:v>2026-08-25</x:v>
      </x:c>
      <x:c r="AJ252" s="97" t="str">
        <x:v>Registry coverage only. Production readiness is capability-specific and requires the release checklist.</x:v>
      </x:c>
    </x:row>
    <x:row r="253" ht="54" customHeight="1">
      <x:c r="A253" s="99" t="str">
        <x:v>CP-ZM</x:v>
      </x:c>
      <x:c r="B253" s="99" t="str">
        <x:v>Zambia</x:v>
      </x:c>
      <x:c r="C253" s="99" t="str">
        <x:v>ZM</x:v>
      </x:c>
      <x:c r="D253" s="99" t="str">
        <x:v>ZMB</x:v>
      </x:c>
      <x:c r="E253" s="99" t="str">
        <x:v>894</x:v>
      </x:c>
      <x:c r="F253" s="99" t="str">
        <x:v>ISO 3166-1 assigned</x:v>
      </x:c>
      <x:c r="G253" s="99" t="str">
        <x:v>Independent state</x:v>
      </x:c>
      <x:c r="H253" s="99" t="str">
        <x:v>Self-administered for pack indexing; legal status follows authoritative sources</x:v>
      </x:c>
      <x:c r="I253" s="99" t="str">
        <x:v>Africa</x:v>
      </x:c>
      <x:c r="J253" s="99" t="str">
        <x:v>Eastern Africa</x:v>
      </x:c>
      <x:c r="K253" s="99" t="str">
        <x:v>National/territorial customs framework—local validation required</x:v>
      </x:c>
      <x:c r="L253" s="99" t="str">
        <x:v>UPU/operator contract, bilateral rules, EAD/message versions and serviceability must be validated</x:v>
      </x:c>
      <x:c r="M253" s="99" t="str">
        <x:v>ICAO state rules, PLACI regime, security status, carrier routing and serviceability must be validated</x:v>
      </x:c>
      <x:c r="N253" s="99" t="str">
        <x:v>Country-pack privacy law and transfer mechanism required</x:v>
      </x:c>
      <x:c r="O253" s="99" t="str">
        <x:v>Screen live lists for every applicable nexus; resolve ownership, sectoral, end-use and licence controls</x:v>
      </x:c>
      <x:c r="P253" s="99" t="str">
        <x:v>No static legal conclusion. Validate current national/territorial customs, tax, licensing, product, privacy and carrier sources before activation.</x:v>
      </x:c>
      <x:c r="Q253" s="99" t="str">
        <x:v>BLOCKED until tariff, prohibitions, documents and carrier services approved</x:v>
      </x:c>
      <x:c r="R253" s="99" t="str">
        <x:v>BLOCKED until ICAO/state/operator variations and certified review path approved</x:v>
      </x:c>
      <x:c r="S253" s="99" t="str">
        <x:v>BLOCKED until SPS/agency/temperature rules and external filing path approved</x:v>
      </x:c>
      <x:c r="T253" s="99" t="str">
        <x:v>BLOCKED until product/site/importer authorizations and quality path approved</x:v>
      </x:c>
      <x:c r="U253" s="99" t="str">
        <x:v>BLOCKED until excise/licences/age/carrier contract approved</x:v>
      </x:c>
      <x:c r="V253" s="99" t="str">
        <x:v>BLOCKED until classification/end-use/licensing and sanctions path approved</x:v>
      </x:c>
      <x:c r="W253" s="99" t="str">
        <x:v>BLOCKED until provenance/security/insurance/carrier limits approved</x:v>
      </x:c>
      <x:c r="X253" s="99" t="str">
        <x:v>BLOCKED until purpose, values, relief evidence and restrictions approved</x:v>
      </x:c>
      <x:c r="Y253" s="103" t="b">
        <x:v>0</x:v>
      </x:c>
      <x:c r="Z253" s="103" t="b">
        <x:v>0</x:v>
      </x:c>
      <x:c r="AA253" s="103" t="b">
        <x:v>0</x:v>
      </x:c>
      <x:c r="AB253" s="103" t="b">
        <x:v>0</x:v>
      </x:c>
      <x:c r="AC253" s="103" t="b">
        <x:v>0</x:v>
      </x:c>
      <x:c r="AD253" s="106" t="str">
        <x:v>BLOCKED_PENDING_VALIDATION</x:v>
      </x:c>
      <x:c r="AE253" s="99" t="str">
        <x:v>NOT_STARTED</x:v>
      </x:c>
      <x:c r="AF253" s="99" t="str">
        <x:v>Unassigned country-pack owner</x:v>
      </x:c>
      <x:c r="AG253" s="99" t="str">
        <x:v>SRC-CUS-001, SRC-CUS-005, SRC-CUS-007, SRC-DAT-001, SRC-POST-001, SRC-PRV-001</x:v>
      </x:c>
      <x:c r="AH253" s="99" t="str">
        <x:v>2026-07-25</x:v>
      </x:c>
      <x:c r="AI253" s="99" t="str">
        <x:v>2026-08-25</x:v>
      </x:c>
      <x:c r="AJ253" s="99" t="str">
        <x:v>Registry coverage only. Production readiness is capability-specific and requires the release checklist.</x:v>
      </x:c>
    </x:row>
    <x:row r="254" ht="54" customHeight="1">
      <x:c r="A254" s="97" t="str">
        <x:v>CP-ZW</x:v>
      </x:c>
      <x:c r="B254" s="97" t="str">
        <x:v>Zimbabwe</x:v>
      </x:c>
      <x:c r="C254" s="97" t="str">
        <x:v>ZW</x:v>
      </x:c>
      <x:c r="D254" s="97" t="str">
        <x:v>ZWE</x:v>
      </x:c>
      <x:c r="E254" s="97" t="str">
        <x:v>716</x:v>
      </x:c>
      <x:c r="F254" s="97" t="str">
        <x:v>ISO 3166-1 assigned</x:v>
      </x:c>
      <x:c r="G254" s="97" t="str">
        <x:v>Independent state</x:v>
      </x:c>
      <x:c r="H254" s="97" t="str">
        <x:v>Self-administered for pack indexing; legal status follows authoritative sources</x:v>
      </x:c>
      <x:c r="I254" s="97" t="str">
        <x:v>Africa</x:v>
      </x:c>
      <x:c r="J254" s="97" t="str">
        <x:v>Eastern Africa</x:v>
      </x:c>
      <x:c r="K254" s="97" t="str">
        <x:v>National/territorial customs framework—local validation required</x:v>
      </x:c>
      <x:c r="L254" s="97" t="str">
        <x:v>UPU/operator contract, bilateral rules, EAD/message versions and serviceability must be validated</x:v>
      </x:c>
      <x:c r="M254" s="97" t="str">
        <x:v>ICAO state rules, PLACI regime, security status, carrier routing and serviceability must be validated</x:v>
      </x:c>
      <x:c r="N254" s="97" t="str">
        <x:v>Country-pack privacy law and transfer mechanism required</x:v>
      </x:c>
      <x:c r="O254" s="97" t="str">
        <x:v>Screen live lists for every applicable nexus; resolve ownership, sectoral, end-use and licence controls</x:v>
      </x:c>
      <x:c r="P254" s="97" t="str">
        <x:v>No static legal conclusion. Validate current national/territorial customs, tax, licensing, product, privacy and carrier sources before activation.</x:v>
      </x:c>
      <x:c r="Q254" s="97" t="str">
        <x:v>BLOCKED until tariff, prohibitions, documents and carrier services approved</x:v>
      </x:c>
      <x:c r="R254" s="97" t="str">
        <x:v>BLOCKED until ICAO/state/operator variations and certified review path approved</x:v>
      </x:c>
      <x:c r="S254" s="97" t="str">
        <x:v>BLOCKED until SPS/agency/temperature rules and external filing path approved</x:v>
      </x:c>
      <x:c r="T254" s="97" t="str">
        <x:v>BLOCKED until product/site/importer authorizations and quality path approved</x:v>
      </x:c>
      <x:c r="U254" s="97" t="str">
        <x:v>BLOCKED until excise/licences/age/carrier contract approved</x:v>
      </x:c>
      <x:c r="V254" s="97" t="str">
        <x:v>BLOCKED until classification/end-use/licensing and sanctions path approved</x:v>
      </x:c>
      <x:c r="W254" s="97" t="str">
        <x:v>BLOCKED until provenance/security/insurance/carrier limits approved</x:v>
      </x:c>
      <x:c r="X254" s="97" t="str">
        <x:v>BLOCKED until purpose, values, relief evidence and restrictions approved</x:v>
      </x:c>
      <x:c r="Y254" s="104" t="b">
        <x:v>0</x:v>
      </x:c>
      <x:c r="Z254" s="104" t="b">
        <x:v>0</x:v>
      </x:c>
      <x:c r="AA254" s="104" t="b">
        <x:v>0</x:v>
      </x:c>
      <x:c r="AB254" s="104" t="b">
        <x:v>0</x:v>
      </x:c>
      <x:c r="AC254" s="104" t="b">
        <x:v>0</x:v>
      </x:c>
      <x:c r="AD254" s="106" t="str">
        <x:v>BLOCKED_PENDING_VALIDATION</x:v>
      </x:c>
      <x:c r="AE254" s="97" t="str">
        <x:v>NOT_STARTED</x:v>
      </x:c>
      <x:c r="AF254" s="97" t="str">
        <x:v>Unassigned country-pack owner</x:v>
      </x:c>
      <x:c r="AG254" s="97" t="str">
        <x:v>SRC-CUS-001, SRC-CUS-005, SRC-CUS-007, SRC-DAT-001, SRC-POST-001, SRC-PRV-001</x:v>
      </x:c>
      <x:c r="AH254" s="97" t="str">
        <x:v>2026-07-25</x:v>
      </x:c>
      <x:c r="AI254" s="97" t="str">
        <x:v>2026-08-25</x:v>
      </x:c>
      <x:c r="AJ254" s="97" t="str">
        <x:v>Registry coverage only. Production readiness is capability-specific and requires the release checklist.</x:v>
      </x:c>
    </x:row>
  </x:sheetData>
  <x:mergeCells>
    <x:mergeCell ref="A1:AJ1"/>
    <x:mergeCell ref="A2:AJ2"/>
  </x:mergeCells>
  <x:dataValidations count="2">
    <x:dataValidation type="list" sqref="AD5:AD254">
      <x:formula1>"BLOCKED_PENDING_VALIDATION,REFERENCE_READY_NOT_PRODUCTION,PRODUCTION_READY,SUSPENDED,RETIRED"</x:formula1>
    </x:dataValidation>
    <x:dataValidation type="list" sqref="AE5:AE254">
      <x:formula1>"NOT_STARTED,IN_RESEARCH,LEGAL_REVIEW,APPROVED,EXPIRED,REJECTED"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24" hidden="0" customWidth="1"/>
    <x:col min="4" max="4" width="24" hidden="0" customWidth="1"/>
    <x:col min="5" max="5" width="55" hidden="0" customWidth="1"/>
    <x:col min="6" max="6" width="28" hidden="0" customWidth="1"/>
    <x:col min="7" max="7" width="55" hidden="0" customWidth="1"/>
    <x:col min="8" max="8" width="28" hidden="0" customWidth="1"/>
    <x:col min="9" max="9" width="36" hidden="0" customWidth="1"/>
  </x:cols>
  <x:sheetData>
    <x:row r="1" ht="32" customHeight="1">
      <x:c r="A1" s="87" t="str">
        <x:v>Special customs, fiscal and operational territory overrides</x:v>
      </x:c>
      <x:c r="B1" s="87"/>
      <x:c r="C1" s="87"/>
      <x:c r="D1" s="87"/>
      <x:c r="E1" s="87"/>
      <x:c r="F1" s="87"/>
      <x:c r="G1" s="87"/>
      <x:c r="H1" s="87"/>
      <x:c r="I1" s="87"/>
    </x:row>
    <x:row r="2" ht="34" customHeight="1">
      <x:c r="A2" s="88" t="str">
        <x:v>Country codes alone are often insufficient. These high-impact records are mandatory implementation work items; local authoritative validation remains required.</x:v>
      </x:c>
      <x:c r="B2" s="88"/>
      <x:c r="C2" s="88"/>
      <x:c r="D2" s="88"/>
      <x:c r="E2" s="88"/>
      <x:c r="F2" s="88"/>
      <x:c r="G2" s="88"/>
      <x:c r="H2" s="88"/>
      <x:c r="I2" s="88"/>
    </x:row>
    <x:row r="4" ht="34" customHeight="1">
      <x:c r="A4" s="89" t="str">
        <x:v>Override ID</x:v>
      </x:c>
      <x:c r="B4" s="89" t="str">
        <x:v>Territory / area</x:v>
      </x:c>
      <x:c r="C4" s="89" t="str">
        <x:v>Operational / ISO code</x:v>
      </x:c>
      <x:c r="D4" s="89" t="str">
        <x:v>Parent/context</x:v>
      </x:c>
      <x:c r="E4" s="89" t="str">
        <x:v>Why separate logic is required</x:v>
      </x:c>
      <x:c r="F4" s="89" t="str">
        <x:v>Detection key</x:v>
      </x:c>
      <x:c r="G4" s="89" t="str">
        <x:v>Required system behavior</x:v>
      </x:c>
      <x:c r="H4" s="89" t="str">
        <x:v>Status</x:v>
      </x:c>
      <x:c r="I4" s="89" t="str">
        <x:v>Source IDs</x:v>
      </x:c>
    </x:row>
    <x:row r="5" ht="52" customHeight="1">
      <x:c r="A5" s="111" t="str">
        <x:v>OVR-EU-001</x:v>
      </x:c>
      <x:c r="B5" s="111" t="str">
        <x:v>Northern Ireland</x:v>
      </x:c>
      <x:c r="C5" s="111" t="str">
        <x:v>GB/XI operational context</x:v>
      </x:c>
      <x:c r="D5" s="111" t="str">
        <x:v>GB</x:v>
      </x:c>
      <x:c r="E5" s="111" t="str">
        <x:v>Customs/VAT/product-rule treatment can differ by flow under applicable arrangements</x:v>
      </x:c>
      <x:c r="F5" s="111" t="str">
        <x:v>Origin/destination postcode and goods flow</x:v>
      </x:c>
      <x:c r="G5" s="111" t="str">
        <x:v>Require a dedicated, effective-dated NI rule; do not infer from country code GB</x:v>
      </x:c>
      <x:c r="H5" s="111" t="str">
        <x:v>BLOCKED_PENDING_LEGAL_VALIDATION</x:v>
      </x:c>
      <x:c r="I5" s="111" t="str">
        <x:v>SRC-UK-003, SRC-EU-004</x:v>
      </x:c>
    </x:row>
    <x:row r="6" ht="52" customHeight="1">
      <x:c r="A6" s="110" t="str">
        <x:v>OVR-EU-002</x:v>
      </x:c>
      <x:c r="B6" s="110" t="str">
        <x:v>Åland Islands</x:v>
      </x:c>
      <x:c r="C6" s="110" t="str">
        <x:v>AX</x:v>
      </x:c>
      <x:c r="D6" s="110" t="str">
        <x:v>FI</x:v>
      </x:c>
      <x:c r="E6" s="110" t="str">
        <x:v>EU customs/VAT/excise territorial scope differs from mainland assumptions</x:v>
      </x:c>
      <x:c r="F6" s="110" t="str">
        <x:v>Postal code/territory</x:v>
      </x:c>
      <x:c r="G6" s="110" t="str">
        <x:v>Separate fiscal-territory rule and carrier capability</x:v>
      </x:c>
      <x:c r="H6" s="110" t="str">
        <x:v>BLOCKED_PENDING_LEGAL_VALIDATION</x:v>
      </x:c>
      <x:c r="I6" s="110" t="str">
        <x:v>SRC-EU-004</x:v>
      </x:c>
    </x:row>
    <x:row r="7" ht="52" customHeight="1">
      <x:c r="A7" s="111" t="str">
        <x:v>OVR-EU-003</x:v>
      </x:c>
      <x:c r="B7" s="111" t="str">
        <x:v>Canary Islands</x:v>
      </x:c>
      <x:c r="C7" s="111" t="str">
        <x:v>IC operational/carrier codes may vary</x:v>
      </x:c>
      <x:c r="D7" s="111" t="str">
        <x:v>ES</x:v>
      </x:c>
      <x:c r="E7" s="111" t="str">
        <x:v>Special fiscal/customs treatment; carrier country code alone may be insufficient</x:v>
      </x:c>
      <x:c r="F7" s="111" t="str">
        <x:v>Postal code/island</x:v>
      </x:c>
      <x:c r="G7" s="111" t="str">
        <x:v>Separate territory and tax rule</x:v>
      </x:c>
      <x:c r="H7" s="111" t="str">
        <x:v>BLOCKED_PENDING_LEGAL_VALIDATION</x:v>
      </x:c>
      <x:c r="I7" s="111" t="str">
        <x:v>SRC-EU-004</x:v>
      </x:c>
    </x:row>
    <x:row r="8" ht="52" customHeight="1">
      <x:c r="A8" s="110" t="str">
        <x:v>OVR-EU-004</x:v>
      </x:c>
      <x:c r="B8" s="110" t="str">
        <x:v>Ceuta</x:v>
      </x:c>
      <x:c r="C8" s="110" t="str">
        <x:v>EA operational/carrier codes may vary</x:v>
      </x:c>
      <x:c r="D8" s="110" t="str">
        <x:v>ES</x:v>
      </x:c>
      <x:c r="E8" s="110" t="str">
        <x:v>Special customs/fiscal treatment</x:v>
      </x:c>
      <x:c r="F8" s="110" t="str">
        <x:v>Postal code/territory</x:v>
      </x:c>
      <x:c r="G8" s="110" t="str">
        <x:v>Separate territory rule</x:v>
      </x:c>
      <x:c r="H8" s="110" t="str">
        <x:v>BLOCKED_PENDING_LEGAL_VALIDATION</x:v>
      </x:c>
      <x:c r="I8" s="110" t="str">
        <x:v>SRC-EU-004</x:v>
      </x:c>
    </x:row>
    <x:row r="9" ht="52" customHeight="1">
      <x:c r="A9" s="111" t="str">
        <x:v>OVR-EU-005</x:v>
      </x:c>
      <x:c r="B9" s="111" t="str">
        <x:v>Melilla</x:v>
      </x:c>
      <x:c r="C9" s="111" t="str">
        <x:v>EA operational/carrier codes may vary</x:v>
      </x:c>
      <x:c r="D9" s="111" t="str">
        <x:v>ES</x:v>
      </x:c>
      <x:c r="E9" s="111" t="str">
        <x:v>Special customs/fiscal treatment</x:v>
      </x:c>
      <x:c r="F9" s="111" t="str">
        <x:v>Postal code/territory</x:v>
      </x:c>
      <x:c r="G9" s="111" t="str">
        <x:v>Separate territory rule</x:v>
      </x:c>
      <x:c r="H9" s="111" t="str">
        <x:v>BLOCKED_PENDING_LEGAL_VALIDATION</x:v>
      </x:c>
      <x:c r="I9" s="111" t="str">
        <x:v>SRC-EU-004</x:v>
      </x:c>
    </x:row>
    <x:row r="10" ht="52" customHeight="1">
      <x:c r="A10" s="110" t="str">
        <x:v>OVR-EU-006</x:v>
      </x:c>
      <x:c r="B10" s="110" t="str">
        <x:v>Büsingen am Hochrhein</x:v>
      </x:c>
      <x:c r="C10" s="110" t="str">
        <x:v>Postal-code/geofence</x:v>
      </x:c>
      <x:c r="D10" s="110" t="str">
        <x:v>DE</x:v>
      </x:c>
      <x:c r="E10" s="110" t="str">
        <x:v>Customs/fiscal scope may differ from surrounding country defaults</x:v>
      </x:c>
      <x:c r="F10" s="110" t="str">
        <x:v>Postal code/geofence</x:v>
      </x:c>
      <x:c r="G10" s="110" t="str">
        <x:v>Separate territory rule</x:v>
      </x:c>
      <x:c r="H10" s="110" t="str">
        <x:v>BLOCKED_PENDING_LEGAL_VALIDATION</x:v>
      </x:c>
      <x:c r="I10" s="110" t="str">
        <x:v>SRC-EU-004</x:v>
      </x:c>
    </x:row>
    <x:row r="11" ht="52" customHeight="1">
      <x:c r="A11" s="111" t="str">
        <x:v>OVR-EU-007</x:v>
      </x:c>
      <x:c r="B11" s="111" t="str">
        <x:v>Heligoland</x:v>
      </x:c>
      <x:c r="C11" s="111" t="str">
        <x:v>Postal-code/geofence</x:v>
      </x:c>
      <x:c r="D11" s="111" t="str">
        <x:v>DE</x:v>
      </x:c>
      <x:c r="E11" s="111" t="str">
        <x:v>Customs/fiscal scope may differ</x:v>
      </x:c>
      <x:c r="F11" s="111" t="str">
        <x:v>Postal code/geofence</x:v>
      </x:c>
      <x:c r="G11" s="111" t="str">
        <x:v>Separate territory rule</x:v>
      </x:c>
      <x:c r="H11" s="111" t="str">
        <x:v>BLOCKED_PENDING_LEGAL_VALIDATION</x:v>
      </x:c>
      <x:c r="I11" s="111" t="str">
        <x:v>SRC-EU-004</x:v>
      </x:c>
    </x:row>
    <x:row r="12" ht="52" customHeight="1">
      <x:c r="A12" s="110" t="str">
        <x:v>OVR-EU-008</x:v>
      </x:c>
      <x:c r="B12" s="110" t="str">
        <x:v>Mount Athos</x:v>
      </x:c>
      <x:c r="C12" s="110" t="str">
        <x:v>Postal-code/geofence</x:v>
      </x:c>
      <x:c r="D12" s="110" t="str">
        <x:v>GR</x:v>
      </x:c>
      <x:c r="E12" s="110" t="str">
        <x:v>Special fiscal territory considerations</x:v>
      </x:c>
      <x:c r="F12" s="110" t="str">
        <x:v>Postal code/geofence</x:v>
      </x:c>
      <x:c r="G12" s="110" t="str">
        <x:v>Separate territory rule</x:v>
      </x:c>
      <x:c r="H12" s="110" t="str">
        <x:v>BLOCKED_PENDING_LEGAL_VALIDATION</x:v>
      </x:c>
      <x:c r="I12" s="110" t="str">
        <x:v>SRC-EU-004</x:v>
      </x:c>
    </x:row>
    <x:row r="13" ht="52" customHeight="1">
      <x:c r="A13" s="111" t="str">
        <x:v>OVR-EU-009</x:v>
      </x:c>
      <x:c r="B13" s="111" t="str">
        <x:v>Livigno/Campione/Lake Lugano special areas</x:v>
      </x:c>
      <x:c r="C13" s="111" t="str">
        <x:v>Postal-code/geofence</x:v>
      </x:c>
      <x:c r="D13" s="111" t="str">
        <x:v>IT</x:v>
      </x:c>
      <x:c r="E13" s="111" t="str">
        <x:v>Special customs/VAT/excise boundaries require precise validation</x:v>
      </x:c>
      <x:c r="F13" s="111" t="str">
        <x:v>Postal code/geofence</x:v>
      </x:c>
      <x:c r="G13" s="111" t="str">
        <x:v>Separate territory rules</x:v>
      </x:c>
      <x:c r="H13" s="111" t="str">
        <x:v>BLOCKED_PENDING_LEGAL_VALIDATION</x:v>
      </x:c>
      <x:c r="I13" s="111" t="str">
        <x:v>SRC-EU-004</x:v>
      </x:c>
    </x:row>
    <x:row r="14" ht="52" customHeight="1">
      <x:c r="A14" s="110" t="str">
        <x:v>OVR-EU-010</x:v>
      </x:c>
      <x:c r="B14" s="110" t="str">
        <x:v>French overseas departments/regions</x:v>
      </x:c>
      <x:c r="C14" s="110" t="str">
        <x:v>GF,GP,MQ,RE,YT</x:v>
      </x:c>
      <x:c r="D14" s="110" t="str">
        <x:v>FR</x:v>
      </x:c>
      <x:c r="E14" s="110" t="str">
        <x:v>EU/customs/VAT and local tax scope varies by territory</x:v>
      </x:c>
      <x:c r="F14" s="110" t="str">
        <x:v>ISO territory code</x:v>
      </x:c>
      <x:c r="G14" s="110" t="str">
        <x:v>Use territory pack, never mainland FR defaults</x:v>
      </x:c>
      <x:c r="H14" s="110" t="str">
        <x:v>BLOCKED_PENDING_LEGAL_VALIDATION</x:v>
      </x:c>
      <x:c r="I14" s="110" t="str">
        <x:v>SRC-EU-004</x:v>
      </x:c>
    </x:row>
    <x:row r="15" ht="52" customHeight="1">
      <x:c r="A15" s="111" t="str">
        <x:v>OVR-EU-011</x:v>
      </x:c>
      <x:c r="B15" s="111" t="str">
        <x:v>French overseas collectivities</x:v>
      </x:c>
      <x:c r="C15" s="111" t="str">
        <x:v>BL,MF,PM,PF,WF,NC</x:v>
      </x:c>
      <x:c r="D15" s="111" t="str">
        <x:v>FR</x:v>
      </x:c>
      <x:c r="E15" s="111" t="str">
        <x:v>Separate customs/fiscal/product controls and carrier serviceability</x:v>
      </x:c>
      <x:c r="F15" s="111" t="str">
        <x:v>ISO territory code</x:v>
      </x:c>
      <x:c r="G15" s="111" t="str">
        <x:v>Dedicated territory pack</x:v>
      </x:c>
      <x:c r="H15" s="111" t="str">
        <x:v>BLOCKED_PENDING_LEGAL_VALIDATION</x:v>
      </x:c>
      <x:c r="I15" s="111" t="str">
        <x:v>SRC-CUS-007</x:v>
      </x:c>
    </x:row>
    <x:row r="16" ht="52" customHeight="1">
      <x:c r="A16" s="110" t="str">
        <x:v>OVR-EU-012</x:v>
      </x:c>
      <x:c r="B16" s="110" t="str">
        <x:v>Monaco</x:v>
      </x:c>
      <x:c r="C16" s="110" t="str">
        <x:v>MC</x:v>
      </x:c>
      <x:c r="D16" s="110" t="str">
        <x:v>MC</x:v>
      </x:c>
      <x:c r="E16" s="110" t="str">
        <x:v>Customs/fiscal arrangements must be explicitly represented</x:v>
      </x:c>
      <x:c r="F16" s="110" t="str">
        <x:v>Country and postal code</x:v>
      </x:c>
      <x:c r="G16" s="110" t="str">
        <x:v>Dedicated relationship rule</x:v>
      </x:c>
      <x:c r="H16" s="110" t="str">
        <x:v>BLOCKED_PENDING_LEGAL_VALIDATION</x:v>
      </x:c>
      <x:c r="I16" s="110" t="str">
        <x:v>SRC-EU-004</x:v>
      </x:c>
    </x:row>
    <x:row r="17" ht="52" customHeight="1">
      <x:c r="A17" s="111" t="str">
        <x:v>OVR-EU-013</x:v>
      </x:c>
      <x:c r="B17" s="111" t="str">
        <x:v>San Marino</x:v>
      </x:c>
      <x:c r="C17" s="111" t="str">
        <x:v>SM</x:v>
      </x:c>
      <x:c r="D17" s="111" t="str">
        <x:v>SM</x:v>
      </x:c>
      <x:c r="E17" s="111" t="str">
        <x:v>Customs/fiscal arrangements and import procedures require local sources</x:v>
      </x:c>
      <x:c r="F17" s="111" t="str">
        <x:v>Country</x:v>
      </x:c>
      <x:c r="G17" s="111" t="str">
        <x:v>Dedicated pack</x:v>
      </x:c>
      <x:c r="H17" s="111" t="str">
        <x:v>BLOCKED_PENDING_LEGAL_VALIDATION</x:v>
      </x:c>
      <x:c r="I17" s="111" t="str">
        <x:v>SRC-CUS-007</x:v>
      </x:c>
    </x:row>
    <x:row r="18" ht="52" customHeight="1">
      <x:c r="A18" s="110" t="str">
        <x:v>OVR-US-001</x:v>
      </x:c>
      <x:c r="B18" s="110" t="str">
        <x:v>Puerto Rico</x:v>
      </x:c>
      <x:c r="C18" s="110" t="str">
        <x:v>PR</x:v>
      </x:c>
      <x:c r="D18" s="110" t="str">
        <x:v>US</x:v>
      </x:c>
      <x:c r="E18" s="110" t="str">
        <x:v>US customs/tax/carrier treatment differs by direction and commodity</x:v>
      </x:c>
      <x:c r="F18" s="110" t="str">
        <x:v>ISO territory, origin/destination</x:v>
      </x:c>
      <x:c r="G18" s="110" t="str">
        <x:v>Dedicated PR inbound/outbound rules</x:v>
      </x:c>
      <x:c r="H18" s="110" t="str">
        <x:v>BLOCKED_PENDING_LEGAL_VALIDATION</x:v>
      </x:c>
      <x:c r="I18" s="110" t="str">
        <x:v>SRC-USA-001</x:v>
      </x:c>
    </x:row>
    <x:row r="19" ht="52" customHeight="1">
      <x:c r="A19" s="111" t="str">
        <x:v>OVR-US-002</x:v>
      </x:c>
      <x:c r="B19" s="111" t="str">
        <x:v>U.S. Virgin Islands</x:v>
      </x:c>
      <x:c r="C19" s="111" t="str">
        <x:v>VI</x:v>
      </x:c>
      <x:c r="D19" s="111" t="str">
        <x:v>US</x:v>
      </x:c>
      <x:c r="E19" s="111" t="str">
        <x:v>Separate customs/fiscal treatment and carrier procedures</x:v>
      </x:c>
      <x:c r="F19" s="111" t="str">
        <x:v>ISO territory</x:v>
      </x:c>
      <x:c r="G19" s="111" t="str">
        <x:v>Dedicated VI pack</x:v>
      </x:c>
      <x:c r="H19" s="111" t="str">
        <x:v>BLOCKED_PENDING_LEGAL_VALIDATION</x:v>
      </x:c>
      <x:c r="I19" s="111" t="str">
        <x:v>SRC-CUS-007</x:v>
      </x:c>
    </x:row>
    <x:row r="20" ht="52" customHeight="1">
      <x:c r="A20" s="110" t="str">
        <x:v>OVR-US-003</x:v>
      </x:c>
      <x:c r="B20" s="110" t="str">
        <x:v>Guam</x:v>
      </x:c>
      <x:c r="C20" s="110" t="str">
        <x:v>GU</x:v>
      </x:c>
      <x:c r="D20" s="110" t="str">
        <x:v>US</x:v>
      </x:c>
      <x:c r="E20" s="110" t="str">
        <x:v>Separate customs/fiscal and postal/carrier procedures</x:v>
      </x:c>
      <x:c r="F20" s="110" t="str">
        <x:v>ISO territory</x:v>
      </x:c>
      <x:c r="G20" s="110" t="str">
        <x:v>Dedicated GU pack</x:v>
      </x:c>
      <x:c r="H20" s="110" t="str">
        <x:v>BLOCKED_PENDING_LEGAL_VALIDATION</x:v>
      </x:c>
      <x:c r="I20" s="110" t="str">
        <x:v>SRC-CUS-007</x:v>
      </x:c>
    </x:row>
    <x:row r="21" ht="52" customHeight="1">
      <x:c r="A21" s="111" t="str">
        <x:v>OVR-US-004</x:v>
      </x:c>
      <x:c r="B21" s="111" t="str">
        <x:v>American Samoa</x:v>
      </x:c>
      <x:c r="C21" s="111" t="str">
        <x:v>AS</x:v>
      </x:c>
      <x:c r="D21" s="111" t="str">
        <x:v>US</x:v>
      </x:c>
      <x:c r="E21" s="111" t="str">
        <x:v>Separate customs authority/service constraints</x:v>
      </x:c>
      <x:c r="F21" s="111" t="str">
        <x:v>ISO territory</x:v>
      </x:c>
      <x:c r="G21" s="111" t="str">
        <x:v>Dedicated AS pack</x:v>
      </x:c>
      <x:c r="H21" s="111" t="str">
        <x:v>BLOCKED_PENDING_LEGAL_VALIDATION</x:v>
      </x:c>
      <x:c r="I21" s="111" t="str">
        <x:v>SRC-CUS-007</x:v>
      </x:c>
    </x:row>
    <x:row r="22" ht="52" customHeight="1">
      <x:c r="A22" s="110" t="str">
        <x:v>OVR-US-005</x:v>
      </x:c>
      <x:c r="B22" s="110" t="str">
        <x:v>Northern Mariana Islands</x:v>
      </x:c>
      <x:c r="C22" s="110" t="str">
        <x:v>MP</x:v>
      </x:c>
      <x:c r="D22" s="110" t="str">
        <x:v>US</x:v>
      </x:c>
      <x:c r="E22" s="110" t="str">
        <x:v>Separate customs/fiscal/service constraints</x:v>
      </x:c>
      <x:c r="F22" s="110" t="str">
        <x:v>ISO territory</x:v>
      </x:c>
      <x:c r="G22" s="110" t="str">
        <x:v>Dedicated MP pack</x:v>
      </x:c>
      <x:c r="H22" s="110" t="str">
        <x:v>BLOCKED_PENDING_LEGAL_VALIDATION</x:v>
      </x:c>
      <x:c r="I22" s="110" t="str">
        <x:v>SRC-CUS-007</x:v>
      </x:c>
    </x:row>
    <x:row r="23" ht="52" customHeight="1">
      <x:c r="A23" s="111" t="str">
        <x:v>OVR-UK-001</x:v>
      </x:c>
      <x:c r="B23" s="111" t="str">
        <x:v>Jersey</x:v>
      </x:c>
      <x:c r="C23" s="111" t="str">
        <x:v>JE</x:v>
      </x:c>
      <x:c r="D23" s="111" t="str">
        <x:v>Crown dependency</x:v>
      </x:c>
      <x:c r="E23" s="111" t="str">
        <x:v>Not part of UK customs/VAT defaults; local rules and carrier service apply</x:v>
      </x:c>
      <x:c r="F23" s="111" t="str">
        <x:v>ISO territory</x:v>
      </x:c>
      <x:c r="G23" s="111" t="str">
        <x:v>Dedicated JE pack</x:v>
      </x:c>
      <x:c r="H23" s="111" t="str">
        <x:v>BLOCKED_PENDING_LEGAL_VALIDATION</x:v>
      </x:c>
      <x:c r="I23" s="111" t="str">
        <x:v>SRC-CUS-007</x:v>
      </x:c>
    </x:row>
    <x:row r="24" ht="52" customHeight="1">
      <x:c r="A24" s="110" t="str">
        <x:v>OVR-UK-002</x:v>
      </x:c>
      <x:c r="B24" s="110" t="str">
        <x:v>Guernsey</x:v>
      </x:c>
      <x:c r="C24" s="110" t="str">
        <x:v>GG</x:v>
      </x:c>
      <x:c r="D24" s="110" t="str">
        <x:v>Crown dependency</x:v>
      </x:c>
      <x:c r="E24" s="110" t="str">
        <x:v>Not part of UK customs/VAT defaults; local rules and carrier service apply</x:v>
      </x:c>
      <x:c r="F24" s="110" t="str">
        <x:v>ISO territory</x:v>
      </x:c>
      <x:c r="G24" s="110" t="str">
        <x:v>Dedicated GG pack</x:v>
      </x:c>
      <x:c r="H24" s="110" t="str">
        <x:v>BLOCKED_PENDING_LEGAL_VALIDATION</x:v>
      </x:c>
      <x:c r="I24" s="110" t="str">
        <x:v>SRC-CUS-007</x:v>
      </x:c>
    </x:row>
    <x:row r="25" ht="52" customHeight="1">
      <x:c r="A25" s="111" t="str">
        <x:v>OVR-UK-003</x:v>
      </x:c>
      <x:c r="B25" s="111" t="str">
        <x:v>Isle of Man</x:v>
      </x:c>
      <x:c r="C25" s="111" t="str">
        <x:v>IM</x:v>
      </x:c>
      <x:c r="D25" s="111" t="str">
        <x:v>Crown dependency</x:v>
      </x:c>
      <x:c r="E25" s="111" t="str">
        <x:v>Customs/VAT relationship requires explicit lane logic</x:v>
      </x:c>
      <x:c r="F25" s="111" t="str">
        <x:v>ISO territory</x:v>
      </x:c>
      <x:c r="G25" s="111" t="str">
        <x:v>Dedicated IM pack</x:v>
      </x:c>
      <x:c r="H25" s="111" t="str">
        <x:v>BLOCKED_PENDING_LEGAL_VALIDATION</x:v>
      </x:c>
      <x:c r="I25" s="111" t="str">
        <x:v>SRC-CUS-007</x:v>
      </x:c>
    </x:row>
    <x:row r="26" ht="52" customHeight="1">
      <x:c r="A26" s="110" t="str">
        <x:v>OVR-UK-004</x:v>
      </x:c>
      <x:c r="B26" s="110" t="str">
        <x:v>Gibraltar</x:v>
      </x:c>
      <x:c r="C26" s="110" t="str">
        <x:v>GI</x:v>
      </x:c>
      <x:c r="D26" s="110" t="str">
        <x:v>United Kingdom overseas territory</x:v>
      </x:c>
      <x:c r="E26" s="110" t="str">
        <x:v>Separate customs/fiscal and carrier rules</x:v>
      </x:c>
      <x:c r="F26" s="110" t="str">
        <x:v>ISO territory</x:v>
      </x:c>
      <x:c r="G26" s="110" t="str">
        <x:v>Dedicated GI pack</x:v>
      </x:c>
      <x:c r="H26" s="110" t="str">
        <x:v>BLOCKED_PENDING_LEGAL_VALIDATION</x:v>
      </x:c>
      <x:c r="I26" s="110" t="str">
        <x:v>SRC-CUS-007</x:v>
      </x:c>
    </x:row>
    <x:row r="27" ht="52" customHeight="1">
      <x:c r="A27" s="111" t="str">
        <x:v>OVR-CN-001</x:v>
      </x:c>
      <x:c r="B27" s="111" t="str">
        <x:v>Hong Kong SAR</x:v>
      </x:c>
      <x:c r="C27" s="111" t="str">
        <x:v>HK</x:v>
      </x:c>
      <x:c r="D27" s="111" t="str">
        <x:v>CN</x:v>
      </x:c>
      <x:c r="E27" s="111" t="str">
        <x:v>Separate customs, tax, sanctions/export and privacy regime</x:v>
      </x:c>
      <x:c r="F27" s="111" t="str">
        <x:v>ISO territory</x:v>
      </x:c>
      <x:c r="G27" s="111" t="str">
        <x:v>Use HK pack; do not inherit mainland CN customs rules</x:v>
      </x:c>
      <x:c r="H27" s="111" t="str">
        <x:v>BLOCKED_PENDING_LEGAL_VALIDATION</x:v>
      </x:c>
      <x:c r="I27" s="111" t="str">
        <x:v>SRC-CUS-007, SRC-PRV-001</x:v>
      </x:c>
    </x:row>
    <x:row r="28" ht="52" customHeight="1">
      <x:c r="A28" s="110" t="str">
        <x:v>OVR-CN-002</x:v>
      </x:c>
      <x:c r="B28" s="110" t="str">
        <x:v>Macao SAR</x:v>
      </x:c>
      <x:c r="C28" s="110" t="str">
        <x:v>MO</x:v>
      </x:c>
      <x:c r="D28" s="110" t="str">
        <x:v>CN</x:v>
      </x:c>
      <x:c r="E28" s="110" t="str">
        <x:v>Separate customs, tax and privacy regime</x:v>
      </x:c>
      <x:c r="F28" s="110" t="str">
        <x:v>ISO territory</x:v>
      </x:c>
      <x:c r="G28" s="110" t="str">
        <x:v>Use MO pack; do not inherit mainland CN customs rules</x:v>
      </x:c>
      <x:c r="H28" s="110" t="str">
        <x:v>BLOCKED_PENDING_LEGAL_VALIDATION</x:v>
      </x:c>
      <x:c r="I28" s="110" t="str">
        <x:v>SRC-CUS-007, SRC-PRV-001</x:v>
      </x:c>
    </x:row>
    <x:row r="29" ht="52" customHeight="1">
      <x:c r="A29" s="111" t="str">
        <x:v>OVR-NL-001</x:v>
      </x:c>
      <x:c r="B29" s="111" t="str">
        <x:v>Caribbean Netherlands</x:v>
      </x:c>
      <x:c r="C29" s="111" t="str">
        <x:v>BQ</x:v>
      </x:c>
      <x:c r="D29" s="111" t="str">
        <x:v>NL</x:v>
      </x:c>
      <x:c r="E29" s="111" t="str">
        <x:v>Separate fiscal/customs rules by islands</x:v>
      </x:c>
      <x:c r="F29" s="111" t="str">
        <x:v>ISO territory/island</x:v>
      </x:c>
      <x:c r="G29" s="111" t="str">
        <x:v>Dedicated island-capable pack</x:v>
      </x:c>
      <x:c r="H29" s="111" t="str">
        <x:v>BLOCKED_PENDING_LEGAL_VALIDATION</x:v>
      </x:c>
      <x:c r="I29" s="111" t="str">
        <x:v>SRC-CUS-007</x:v>
      </x:c>
    </x:row>
    <x:row r="30" ht="52" customHeight="1">
      <x:c r="A30" s="110" t="str">
        <x:v>OVR-NL-002</x:v>
      </x:c>
      <x:c r="B30" s="110" t="str">
        <x:v>Aruba/Curaçao/Sint Maarten</x:v>
      </x:c>
      <x:c r="C30" s="110" t="str">
        <x:v>AW,CW,SX</x:v>
      </x:c>
      <x:c r="D30" s="110" t="str">
        <x:v>Kingdom of the Netherlands</x:v>
      </x:c>
      <x:c r="E30" s="110" t="str">
        <x:v>Separate countries/customs territories within the Kingdom</x:v>
      </x:c>
      <x:c r="F30" s="110" t="str">
        <x:v>ISO territory</x:v>
      </x:c>
      <x:c r="G30" s="110" t="str">
        <x:v>Dedicated packs</x:v>
      </x:c>
      <x:c r="H30" s="110" t="str">
        <x:v>BLOCKED_PENDING_LEGAL_VALIDATION</x:v>
      </x:c>
      <x:c r="I30" s="110" t="str">
        <x:v>SRC-CUS-007</x:v>
      </x:c>
    </x:row>
    <x:row r="31" ht="52" customHeight="1">
      <x:c r="A31" s="111" t="str">
        <x:v>OVR-DK-001</x:v>
      </x:c>
      <x:c r="B31" s="111" t="str">
        <x:v>Greenland/Faroe Islands</x:v>
      </x:c>
      <x:c r="C31" s="111" t="str">
        <x:v>GL,FO</x:v>
      </x:c>
      <x:c r="D31" s="111" t="str">
        <x:v>Kingdom of Denmark</x:v>
      </x:c>
      <x:c r="E31" s="111" t="str">
        <x:v>Separate customs/fiscal/service rules from Denmark/EU defaults</x:v>
      </x:c>
      <x:c r="F31" s="111" t="str">
        <x:v>ISO territory</x:v>
      </x:c>
      <x:c r="G31" s="111" t="str">
        <x:v>Dedicated packs</x:v>
      </x:c>
      <x:c r="H31" s="111" t="str">
        <x:v>BLOCKED_PENDING_LEGAL_VALIDATION</x:v>
      </x:c>
      <x:c r="I31" s="111" t="str">
        <x:v>SRC-CUS-007</x:v>
      </x:c>
    </x:row>
    <x:row r="32" ht="52" customHeight="1">
      <x:c r="A32" s="110" t="str">
        <x:v>OVR-XK-001</x:v>
      </x:c>
      <x:c r="B32" s="110" t="str">
        <x:v>Kosovo operational code</x:v>
      </x:c>
      <x:c r="C32" s="110" t="str">
        <x:v>XK (user-assigned)</x:v>
      </x:c>
      <x:c r="D32" s="110" t="str">
        <x:v>N/A</x:v>
      </x:c>
      <x:c r="E32" s="110" t="str">
        <x:v>Not an officially assigned ISO 3166-1 code; carrier and authority naming vary</x:v>
      </x:c>
      <x:c r="F32" s="110" t="str">
        <x:v>Carrier/service contract and destination identity</x:v>
      </x:c>
      <x:c r="G32" s="110" t="str">
        <x:v>Neutral operational record; explicit carrier/country-pack mapping</x:v>
      </x:c>
      <x:c r="H32" s="110" t="str">
        <x:v>BLOCKED_PENDING_LEGAL_VALIDATION</x:v>
      </x:c>
      <x:c r="I32" s="110" t="str">
        <x:v>SRC-DAT-001, SRC-DAT-002</x:v>
      </x:c>
    </x:row>
    <x:row r="33" ht="52" customHeight="1">
      <x:c r="A33" s="111" t="str">
        <x:v>OVR-GEN-001</x:v>
      </x:c>
      <x:c r="B33" s="111" t="str">
        <x:v>Free zones and special economic zones</x:v>
      </x:c>
      <x:c r="C33" s="111" t="str">
        <x:v>Geofence/site code</x:v>
      </x:c>
      <x:c r="D33" s="111" t="str">
        <x:v>Any</x:v>
      </x:c>
      <x:c r="E33" s="111" t="str">
        <x:v>Customs status, tax, storage and movement rules can differ inside national territory</x:v>
      </x:c>
      <x:c r="F33" s="111" t="str">
        <x:v>Facility/geofence/procedure</x:v>
      </x:c>
      <x:c r="G33" s="111" t="str">
        <x:v>Site-level customs-zone pack and procedure controls</x:v>
      </x:c>
      <x:c r="H33" s="111" t="str">
        <x:v>BLOCKED_PENDING_LEGAL_VALIDATION</x:v>
      </x:c>
      <x:c r="I33" s="111" t="str">
        <x:v>SRC-CUS-003, SRC-CUS-007</x:v>
      </x:c>
    </x:row>
    <x:row r="34" ht="52" customHeight="1">
      <x:c r="A34" s="110" t="str">
        <x:v>OVR-GEN-002</x:v>
      </x:c>
      <x:c r="B34" s="110" t="str">
        <x:v>Disputed/occupied territories</x:v>
      </x:c>
      <x:c r="C34" s="110" t="str">
        <x:v>Geofence plus neutral codes</x:v>
      </x:c>
      <x:c r="D34" s="110" t="str">
        <x:v>Any</x:v>
      </x:c>
      <x:c r="E34" s="110" t="str">
        <x:v>Law, carrier service, sanctions and authority recognition may conflict</x:v>
      </x:c>
      <x:c r="F34" s="110" t="str">
        <x:v>Exact coordinates/address/parties/carrier</x:v>
      </x:c>
      <x:c r="G34" s="110" t="str">
        <x:v>Legal and sanctions review; neutral UI; no inferred sovereignty</x:v>
      </x:c>
      <x:c r="H34" s="110" t="str">
        <x:v>BLOCKED_PENDING_LEGAL_VALIDATION</x:v>
      </x:c>
      <x:c r="I34" s="110" t="str">
        <x:v>SRC-SAN-001, SRC-CUS-007</x:v>
      </x:c>
    </x:row>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6" hidden="0" customWidth="1"/>
    <x:col min="3" max="3" width="30" hidden="0" customWidth="1"/>
    <x:col min="4" max="4" width="12" hidden="0" customWidth="1"/>
    <x:col min="5" max="5" width="75" hidden="0" customWidth="1"/>
    <x:col min="6" max="6" width="28" hidden="0" customWidth="1"/>
    <x:col min="7" max="7" width="42" hidden="0" customWidth="1"/>
    <x:col min="8" max="8" width="36" hidden="0" customWidth="1"/>
    <x:col min="9" max="9" width="28" hidden="0" customWidth="1"/>
    <x:col min="10" max="10" width="30" hidden="0" customWidth="1"/>
    <x:col min="11" max="11" width="38" hidden="0" customWidth="1"/>
    <x:col min="12" max="12" width="45" hidden="0" customWidth="1"/>
    <x:col min="13" max="13" width="18" hidden="0" customWidth="1"/>
  </x:cols>
  <x:sheetData>
    <x:row r="1" ht="32" customHeight="1">
      <x:c r="A1" s="87" t="str">
        <x:v>Normative implementation requirements</x:v>
      </x:c>
      <x:c r="B1" s="87"/>
      <x:c r="C1" s="87"/>
      <x:c r="D1" s="87"/>
      <x:c r="E1" s="87"/>
      <x:c r="F1" s="87"/>
      <x:c r="G1" s="87"/>
      <x:c r="H1" s="87"/>
      <x:c r="I1" s="87"/>
      <x:c r="J1" s="87"/>
      <x:c r="K1" s="87"/>
      <x:c r="L1" s="87"/>
      <x:c r="M1" s="87"/>
    </x:row>
    <x:row r="2" ht="34" customHeight="1">
      <x:c r="A2" s="88" t="str">
        <x:v>225 traceable controls. SHALL/MUST requirements are release gates; each maps to a test ID and source set.</x:v>
      </x:c>
      <x:c r="B2" s="88"/>
      <x:c r="C2" s="88"/>
      <x:c r="D2" s="88"/>
      <x:c r="E2" s="88"/>
      <x:c r="F2" s="88"/>
      <x:c r="G2" s="88"/>
      <x:c r="H2" s="88"/>
      <x:c r="I2" s="88"/>
      <x:c r="J2" s="88"/>
      <x:c r="K2" s="88"/>
      <x:c r="L2" s="88"/>
      <x:c r="M2" s="88"/>
    </x:row>
    <x:row r="4" ht="34" customHeight="1">
      <x:c r="A4" s="89" t="str">
        <x:v>Requirement ID</x:v>
      </x:c>
      <x:c r="B4" s="89" t="str">
        <x:v>Domain</x:v>
      </x:c>
      <x:c r="C4" s="89" t="str">
        <x:v>Title</x:v>
      </x:c>
      <x:c r="D4" s="89" t="str">
        <x:v>Priority</x:v>
      </x:c>
      <x:c r="E4" s="89" t="str">
        <x:v>Normative requirement</x:v>
      </x:c>
      <x:c r="F4" s="89" t="str">
        <x:v>Trigger</x:v>
      </x:c>
      <x:c r="G4" s="89" t="str">
        <x:v>Required inputs</x:v>
      </x:c>
      <x:c r="H4" s="89" t="str">
        <x:v>Decision / output</x:v>
      </x:c>
      <x:c r="I4" s="89" t="str">
        <x:v>Approval authority</x:v>
      </x:c>
      <x:c r="J4" s="89" t="str">
        <x:v>Failure behavior</x:v>
      </x:c>
      <x:c r="K4" s="89" t="str">
        <x:v>Evidence retained</x:v>
      </x:c>
      <x:c r="L4" s="89" t="str">
        <x:v>Source IDs</x:v>
      </x:c>
      <x:c r="M4" s="89" t="str">
        <x:v>Test ID</x:v>
      </x:c>
    </x:row>
    <x:row r="5" ht="66" customHeight="1">
      <x:c r="A5" s="111" t="str">
        <x:v>GOV-001</x:v>
      </x:c>
      <x:c r="B5" s="111" t="str">
        <x:v>Governance &amp; legal boundary</x:v>
      </x:c>
      <x:c r="C5" s="111" t="str">
        <x:v>Licensed-role boundary</x:v>
      </x:c>
      <x:c r="D5" s="111" t="str">
        <x:v>MUST</x:v>
      </x:c>
      <x:c r="E5" s="111" t="str">
        <x:v>The platform SHALL identify the tenant as warehouse/fulfilment operator and SHALL NOT represent it as carrier, postal operator, customs broker, freight forwarder, importer/exporter of record, declarant, regulated agent, screening authority or competent authority unless a separately licensed role is explicitly configured and approved.</x:v>
      </x:c>
      <x:c r="F5" s="111" t="str">
        <x:v>Tenant onboarding; role change</x:v>
      </x:c>
      <x:c r="G5" s="111" t="str">
        <x:v>Tenant legal entity, licences, operating countries, service contracts</x:v>
      </x:c>
      <x:c r="H5" s="111" t="str">
        <x:v>Permitted roles and prohibited actions</x:v>
      </x:c>
      <x:c r="I5" s="111" t="str">
        <x:v>Platform compliance + tenant legal admin</x:v>
      </x:c>
      <x:c r="J5" s="111" t="str">
        <x:v>Block regulated workflow</x:v>
      </x:c>
      <x:c r="K5" s="111" t="str">
        <x:v>Licence evidence, approval record, role history</x:v>
      </x:c>
      <x:c r="L5" s="111" t="str">
        <x:v>SRC-CUS-003, SRC-CUS-006, SRC-CUS-007</x:v>
      </x:c>
      <x:c r="M5" s="111" t="str">
        <x:v>T-GOV-001</x:v>
      </x:c>
    </x:row>
    <x:row r="6" ht="66" customHeight="1">
      <x:c r="A6" s="110" t="str">
        <x:v>GOV-002</x:v>
      </x:c>
      <x:c r="B6" s="110" t="str">
        <x:v>Governance &amp; legal boundary</x:v>
      </x:c>
      <x:c r="C6" s="110" t="str">
        <x:v>No direct government filing</x:v>
      </x:c>
      <x:c r="D6" s="110" t="str">
        <x:v>MUST</x:v>
      </x:c>
      <x:c r="E6" s="110" t="str">
        <x:v>The platform SHALL submit customs and government declaration data only through an approved carrier, postal operator or contracted filing-partner API. It SHALL not implement direct authority filing in this release.</x:v>
      </x:c>
      <x:c r="F6" s="110" t="str">
        <x:v>Every filing request</x:v>
      </x:c>
      <x:c r="G6" s="110" t="str">
        <x:v>Lane, filing type, selected adapter, tenant contract</x:v>
      </x:c>
      <x:c r="H6" s="110" t="str">
        <x:v>Approved indirect filing route</x:v>
      </x:c>
      <x:c r="I6" s="110" t="str">
        <x:v>Country-pack owner</x:v>
      </x:c>
      <x:c r="J6" s="110" t="str">
        <x:v>Block shipment and identify missing filing route</x:v>
      </x:c>
      <x:c r="K6" s="110" t="str">
        <x:v>Adapter request/response, declaration identifier</x:v>
      </x:c>
      <x:c r="L6" s="110" t="str">
        <x:v>SRC-CUS-003, SRC-CUS-006, SRC-CUS-007</x:v>
      </x:c>
      <x:c r="M6" s="110" t="str">
        <x:v>T-GOV-002</x:v>
      </x:c>
    </x:row>
    <x:row r="7" ht="66" customHeight="1">
      <x:c r="A7" s="111" t="str">
        <x:v>GOV-003</x:v>
      </x:c>
      <x:c r="B7" s="111" t="str">
        <x:v>Governance &amp; legal boundary</x:v>
      </x:c>
      <x:c r="C7" s="111" t="str">
        <x:v>Regulatory hierarchy</x:v>
      </x:c>
      <x:c r="D7" s="111" t="str">
        <x:v>MUST</x:v>
      </x:c>
      <x:c r="E7" s="111" t="str">
        <x:v>The rule engine SHALL resolve applicable obligations in the order: law/authority instruction; treaty as implemented; origin/transit/destination country pack; carrier/operator/state variation; service contract; tenant permission; warehouse SOP. A stricter applicable rule wins unless legal counsel records a scoped override.</x:v>
      </x:c>
      <x:c r="F7" s="111" t="str">
        <x:v>Every rule evaluation</x:v>
      </x:c>
      <x:c r="G7" s="111" t="str">
        <x:v>Jurisdictions, transport legs, carrier/service, commodity, tenant policy</x:v>
      </x:c>
      <x:c r="H7" s="111" t="str">
        <x:v>Resolved rule set with precedence trace</x:v>
      </x:c>
      <x:c r="I7" s="111" t="str">
        <x:v>Automated; human review for conflict</x:v>
      </x:c>
      <x:c r="J7" s="111" t="str">
        <x:v>Hold as RULE_CONFLICT</x:v>
      </x:c>
      <x:c r="K7" s="111" t="str">
        <x:v>All candidate rules and precedence explanation</x:v>
      </x:c>
      <x:c r="L7" s="111" t="str">
        <x:v>SRC-CUS-003, SRC-CUS-006, SRC-CUS-007</x:v>
      </x:c>
      <x:c r="M7" s="111" t="str">
        <x:v>T-GOV-003</x:v>
      </x:c>
    </x:row>
    <x:row r="8" ht="66" customHeight="1">
      <x:c r="A8" s="110" t="str">
        <x:v>GOV-004</x:v>
      </x:c>
      <x:c r="B8" s="110" t="str">
        <x:v>Governance &amp; legal boundary</x:v>
      </x:c>
      <x:c r="C8" s="110" t="str">
        <x:v>Fail-closed default</x:v>
      </x:c>
      <x:c r="D8" s="110" t="str">
        <x:v>MUST</x:v>
      </x:c>
      <x:c r="E8" s="110" t="str">
        <x:v>UNKNOWN, missing, stale, contradictory or unapproved regulatory data SHALL resolve to UNKNOWN_BLOCKED and may not be converted to allowed by a user without the designated approval workflow.</x:v>
      </x:c>
      <x:c r="F8" s="110" t="str">
        <x:v>Any incomplete decision</x:v>
      </x:c>
      <x:c r="G8" s="110" t="str">
        <x:v>Rule versions, source freshness, approvals, input completeness</x:v>
      </x:c>
      <x:c r="H8" s="110" t="str">
        <x:v>UNKNOWN_BLOCKED plus remediation list</x:v>
      </x:c>
      <x:c r="I8" s="110" t="str">
        <x:v>Certified reviewer; legal where required</x:v>
      </x:c>
      <x:c r="J8" s="110" t="str">
        <x:v>No label/manifest/handover</x:v>
      </x:c>
      <x:c r="K8" s="110" t="str">
        <x:v>Decision trace, missing inputs, attempted overrides</x:v>
      </x:c>
      <x:c r="L8" s="110" t="str">
        <x:v>SRC-CUS-003, SRC-CUS-006, SRC-CUS-007</x:v>
      </x:c>
      <x:c r="M8" s="110" t="str">
        <x:v>T-GOV-004</x:v>
      </x:c>
    </x:row>
    <x:row r="9" ht="66" customHeight="1">
      <x:c r="A9" s="111" t="str">
        <x:v>GOV-005</x:v>
      </x:c>
      <x:c r="B9" s="111" t="str">
        <x:v>Governance &amp; legal boundary</x:v>
      </x:c>
      <x:c r="C9" s="111" t="str">
        <x:v>Decision vocabulary</x:v>
      </x:c>
      <x:c r="D9" s="111" t="str">
        <x:v>MUST</x:v>
      </x:c>
      <x:c r="E9" s="111" t="str">
        <x:v>All shipment eligibility decisions SHALL use ALLOWED, ALLOWED_WITH_CONDITIONS, MANUAL_CERTIFIED_REVIEW, EXTERNAL_APPROVAL_REQUIRED, BLOCKED or UNKNOWN_BLOCKED, with reason codes and machine-readable conditions.</x:v>
      </x:c>
      <x:c r="F9" s="111" t="str">
        <x:v>Every decision service response</x:v>
      </x:c>
      <x:c r="G9" s="111" t="str">
        <x:v>Evaluation results</x:v>
      </x:c>
      <x:c r="H9" s="111" t="str">
        <x:v>Canonical status, reasons, conditions, expiry</x:v>
      </x:c>
      <x:c r="I9" s="111" t="str">
        <x:v>Automated</x:v>
      </x:c>
      <x:c r="J9" s="111" t="str">
        <x:v>Reject noncanonical results</x:v>
      </x:c>
      <x:c r="K9" s="111" t="str">
        <x:v>Immutable decision event</x:v>
      </x:c>
      <x:c r="L9" s="111" t="str">
        <x:v>SRC-CUS-003, SRC-CUS-006, SRC-CUS-007</x:v>
      </x:c>
      <x:c r="M9" s="111" t="str">
        <x:v>T-GOV-005</x:v>
      </x:c>
    </x:row>
    <x:row r="10" ht="66" customHeight="1">
      <x:c r="A10" s="110" t="str">
        <x:v>GOV-006</x:v>
      </x:c>
      <x:c r="B10" s="110" t="str">
        <x:v>Governance &amp; legal boundary</x:v>
      </x:c>
      <x:c r="C10" s="110" t="str">
        <x:v>Effective dating</x:v>
      </x:c>
      <x:c r="D10" s="110" t="str">
        <x:v>MUST</x:v>
      </x:c>
      <x:c r="E10" s="110" t="str">
        <x:v>Every regulatory rule, tariff/tax parameter, carrier capability, document schema and reference list SHALL have effective-from, effective-to, publication, ingestion and approval timestamps; evaluation SHALL use the shipment decision time and planned movement time.</x:v>
      </x:c>
      <x:c r="F10" s="110" t="str">
        <x:v>Rule ingestion and shipment evaluation</x:v>
      </x:c>
      <x:c r="G10" s="110" t="str">
        <x:v>Dates, time zones, source version</x:v>
      </x:c>
      <x:c r="H10" s="110" t="str">
        <x:v>Exact applicable version</x:v>
      </x:c>
      <x:c r="I10" s="110" t="str">
        <x:v>Rule publisher + approver</x:v>
      </x:c>
      <x:c r="J10" s="110" t="str">
        <x:v>Block if period ambiguous</x:v>
      </x:c>
      <x:c r="K10" s="110" t="str">
        <x:v>Versioned artifact and temporal query</x:v>
      </x:c>
      <x:c r="L10" s="110" t="str">
        <x:v>SRC-CUS-003, SRC-CUS-006, SRC-CUS-007</x:v>
      </x:c>
      <x:c r="M10" s="110" t="str">
        <x:v>T-GOV-006</x:v>
      </x:c>
    </x:row>
    <x:row r="11" ht="66" customHeight="1">
      <x:c r="A11" s="111" t="str">
        <x:v>GOV-007</x:v>
      </x:c>
      <x:c r="B11" s="111" t="str">
        <x:v>Governance &amp; legal boundary</x:v>
      </x:c>
      <x:c r="C11" s="111" t="str">
        <x:v>Prospective change handling</x:v>
      </x:c>
      <x:c r="D11" s="111" t="str">
        <x:v>MUST</x:v>
      </x:c>
      <x:c r="E11" s="111" t="str">
        <x:v>Published future rules SHALL be stored separately from current rules and SHALL not execute before their legal effective time. Test environments SHALL support future-date simulation.</x:v>
      </x:c>
      <x:c r="F11" s="111" t="str">
        <x:v>Future rule publication</x:v>
      </x:c>
      <x:c r="G11" s="111" t="str">
        <x:v>Publication, commencement conditions, transition dates</x:v>
      </x:c>
      <x:c r="H11" s="111" t="str">
        <x:v>Scheduled version and impact report</x:v>
      </x:c>
      <x:c r="I11" s="111" t="str">
        <x:v>Country-pack owner</x:v>
      </x:c>
      <x:c r="J11" s="111" t="str">
        <x:v>Keep current rule active; alert owner</x:v>
      </x:c>
      <x:c r="K11" s="111" t="str">
        <x:v>Change record, simulation results</x:v>
      </x:c>
      <x:c r="L11" s="111" t="str">
        <x:v>SRC-CUS-003, SRC-CUS-006, SRC-CUS-007</x:v>
      </x:c>
      <x:c r="M11" s="111" t="str">
        <x:v>T-GOV-007</x:v>
      </x:c>
    </x:row>
    <x:row r="12" ht="66" customHeight="1">
      <x:c r="A12" s="110" t="str">
        <x:v>GOV-008</x:v>
      </x:c>
      <x:c r="B12" s="110" t="str">
        <x:v>Governance &amp; legal boundary</x:v>
      </x:c>
      <x:c r="C12" s="110" t="str">
        <x:v>Source provenance</x:v>
      </x:c>
      <x:c r="D12" s="110" t="str">
        <x:v>MUST</x:v>
      </x:c>
      <x:c r="E12" s="110" t="str">
        <x:v>Every executable rule SHALL cite an authoritative source URL or licensed source identifier, exact provision/page where available, jurisdiction, language, translation status and retrieval checksum.</x:v>
      </x:c>
      <x:c r="F12" s="110" t="str">
        <x:v>Rule creation/update</x:v>
      </x:c>
      <x:c r="G12" s="110" t="str">
        <x:v>Source document, citation, checksum</x:v>
      </x:c>
      <x:c r="H12" s="110" t="str">
        <x:v>Traceable rule provenance</x:v>
      </x:c>
      <x:c r="I12" s="110" t="str">
        <x:v>Four-eyes approval</x:v>
      </x:c>
      <x:c r="J12" s="110" t="str">
        <x:v>Do not publish uncited rule</x:v>
      </x:c>
      <x:c r="K12" s="110" t="str">
        <x:v>Source snapshot metadata and approval</x:v>
      </x:c>
      <x:c r="L12" s="110" t="str">
        <x:v>SRC-CUS-003, SRC-CUS-006, SRC-CUS-007</x:v>
      </x:c>
      <x:c r="M12" s="110" t="str">
        <x:v>T-GOV-008</x:v>
      </x:c>
    </x:row>
    <x:row r="13" ht="66" customHeight="1">
      <x:c r="A13" s="111" t="str">
        <x:v>GOV-009</x:v>
      </x:c>
      <x:c r="B13" s="111" t="str">
        <x:v>Governance &amp; legal boundary</x:v>
      </x:c>
      <x:c r="C13" s="111" t="str">
        <x:v>Source freshness</x:v>
      </x:c>
      <x:c r="D13" s="111" t="str">
        <x:v>MUST</x:v>
      </x:c>
      <x:c r="E13" s="111" t="str">
        <x:v>Each source SHALL have a risk-based review cadence. Expired critical sources, failed list ingestion or unresolved change notices SHALL disable affected decisions.</x:v>
      </x:c>
      <x:c r="F13" s="111" t="str">
        <x:v>Scheduled control; inbound feed failure</x:v>
      </x:c>
      <x:c r="G13" s="111" t="str">
        <x:v>Next-review date, feed health, scope</x:v>
      </x:c>
      <x:c r="H13" s="111" t="str">
        <x:v>Source health and affected capability status</x:v>
      </x:c>
      <x:c r="I13" s="111" t="str">
        <x:v>Automated; owner remediation</x:v>
      </x:c>
      <x:c r="J13" s="111" t="str">
        <x:v>UNKNOWN_BLOCKED for affected scope</x:v>
      </x:c>
      <x:c r="K13" s="111" t="str">
        <x:v>Health event, alert, restoration approval</x:v>
      </x:c>
      <x:c r="L13" s="111" t="str">
        <x:v>SRC-CUS-003, SRC-CUS-006, SRC-CUS-007</x:v>
      </x:c>
      <x:c r="M13" s="111" t="str">
        <x:v>T-GOV-009</x:v>
      </x:c>
    </x:row>
    <x:row r="14" ht="66" customHeight="1">
      <x:c r="A14" s="110" t="str">
        <x:v>GOV-010</x:v>
      </x:c>
      <x:c r="B14" s="110" t="str">
        <x:v>Governance &amp; legal boundary</x:v>
      </x:c>
      <x:c r="C14" s="110" t="str">
        <x:v>Four-eyes publication</x:v>
      </x:c>
      <x:c r="D14" s="110" t="str">
        <x:v>MUST</x:v>
      </x:c>
      <x:c r="E14" s="110" t="str">
        <x:v>A person who authors or imports a production rule SHALL not be the sole approver. High-risk rules require compliance/legal approval and successful regression tests.</x:v>
      </x:c>
      <x:c r="F14" s="110" t="str">
        <x:v>Rule publication</x:v>
      </x:c>
      <x:c r="G14" s="110" t="str">
        <x:v>Author, approvers, risk tier, tests</x:v>
      </x:c>
      <x:c r="H14" s="110" t="str">
        <x:v>Published or rejected version</x:v>
      </x:c>
      <x:c r="I14" s="110" t="str">
        <x:v>Independent approver</x:v>
      </x:c>
      <x:c r="J14" s="110" t="str">
        <x:v>Remain draft</x:v>
      </x:c>
      <x:c r="K14" s="110" t="str">
        <x:v>Signatures, diff, tests, release ticket</x:v>
      </x:c>
      <x:c r="L14" s="110" t="str">
        <x:v>SRC-CUS-003, SRC-CUS-006, SRC-CUS-007</x:v>
      </x:c>
      <x:c r="M14" s="110" t="str">
        <x:v>T-GOV-010</x:v>
      </x:c>
    </x:row>
    <x:row r="15" ht="66" customHeight="1">
      <x:c r="A15" s="111" t="str">
        <x:v>GOV-011</x:v>
      </x:c>
      <x:c r="B15" s="111" t="str">
        <x:v>Governance &amp; legal boundary</x:v>
      </x:c>
      <x:c r="C15" s="111" t="str">
        <x:v>Tenant rule overlay</x:v>
      </x:c>
      <x:c r="D15" s="111" t="str">
        <x:v>MUST</x:v>
      </x:c>
      <x:c r="E15" s="111" t="str">
        <x:v>Tenant permissions MAY narrow platform eligibility but SHALL never broaden a legal, authority, carrier or licensed-rule prohibition.</x:v>
      </x:c>
      <x:c r="F15" s="111" t="str">
        <x:v>Tenant configuration</x:v>
      </x:c>
      <x:c r="G15" s="111" t="str">
        <x:v>Base decision, tenant allow/deny list</x:v>
      </x:c>
      <x:c r="H15" s="111" t="str">
        <x:v>Equal or stricter result</x:v>
      </x:c>
      <x:c r="I15" s="111" t="str">
        <x:v>Tenant compliance admin</x:v>
      </x:c>
      <x:c r="J15" s="111" t="str">
        <x:v>Reject broadening override</x:v>
      </x:c>
      <x:c r="K15" s="111" t="str">
        <x:v>Overlay diff and actor</x:v>
      </x:c>
      <x:c r="L15" s="111" t="str">
        <x:v>SRC-CUS-003, SRC-CUS-006, SRC-CUS-007</x:v>
      </x:c>
      <x:c r="M15" s="111" t="str">
        <x:v>T-GOV-011</x:v>
      </x:c>
    </x:row>
    <x:row r="16" ht="66" customHeight="1">
      <x:c r="A16" s="110" t="str">
        <x:v>GOV-012</x:v>
      </x:c>
      <x:c r="B16" s="110" t="str">
        <x:v>Governance &amp; legal boundary</x:v>
      </x:c>
      <x:c r="C16" s="110" t="str">
        <x:v>Reproducible decisions</x:v>
      </x:c>
      <x:c r="D16" s="110" t="str">
        <x:v>MUST</x:v>
      </x:c>
      <x:c r="E16" s="110" t="str">
        <x:v>The system SHALL persist sufficient inputs and versions to reproduce any eligibility, screening, rating, document and filing decision after the fact.</x:v>
      </x:c>
      <x:c r="F16" s="110" t="str">
        <x:v>Every decision</x:v>
      </x:c>
      <x:c r="G16" s="110" t="str">
        <x:v>Canonical request, referenced versions, time, actor</x:v>
      </x:c>
      <x:c r="H16" s="110" t="str">
        <x:v>Replay bundle</x:v>
      </x:c>
      <x:c r="I16" s="110" t="str">
        <x:v>Automated</x:v>
      </x:c>
      <x:c r="J16" s="110" t="str">
        <x:v>Hold if persistence fails</x:v>
      </x:c>
      <x:c r="K16" s="110" t="str">
        <x:v>Hash-linked audit bundle</x:v>
      </x:c>
      <x:c r="L16" s="110" t="str">
        <x:v>SRC-CUS-003, SRC-CUS-006, SRC-CUS-007</x:v>
      </x:c>
      <x:c r="M16" s="110" t="str">
        <x:v>T-GOV-012</x:v>
      </x:c>
    </x:row>
    <x:row r="17" ht="66" customHeight="1">
      <x:c r="A17" s="111" t="str">
        <x:v>GOV-013</x:v>
      </x:c>
      <x:c r="B17" s="111" t="str">
        <x:v>Governance &amp; legal boundary</x:v>
      </x:c>
      <x:c r="C17" s="111" t="str">
        <x:v>Legal disclaimer and responsibility</x:v>
      </x:c>
      <x:c r="D17" s="111" t="str">
        <x:v>MUST</x:v>
      </x:c>
      <x:c r="E17" s="111" t="str">
        <x:v>User interfaces and exports SHALL state that software supports compliance decisions but does not replace competent authority, carrier, broker, certified DG professional or legal advice; responsibility fields SHALL name the approving party.</x:v>
      </x:c>
      <x:c r="F17" s="111" t="str">
        <x:v>Relevant screen/document</x:v>
      </x:c>
      <x:c r="G17" s="111" t="str">
        <x:v>Shipment roles and approvers</x:v>
      </x:c>
      <x:c r="H17" s="111" t="str">
        <x:v>Responsibility statement and named party</x:v>
      </x:c>
      <x:c r="I17" s="111" t="str">
        <x:v>Product legal</x:v>
      </x:c>
      <x:c r="J17" s="111" t="str">
        <x:v>Prevent regulated release if approver absent</x:v>
      </x:c>
      <x:c r="K17" s="111" t="str">
        <x:v>Rendered statement and acceptance</x:v>
      </x:c>
      <x:c r="L17" s="111" t="str">
        <x:v>SRC-CUS-003, SRC-CUS-006, SRC-CUS-007</x:v>
      </x:c>
      <x:c r="M17" s="111" t="str">
        <x:v>T-GOV-013</x:v>
      </x:c>
    </x:row>
    <x:row r="18" ht="66" customHeight="1">
      <x:c r="A18" s="110" t="str">
        <x:v>GOV-014</x:v>
      </x:c>
      <x:c r="B18" s="110" t="str">
        <x:v>Governance &amp; legal boundary</x:v>
      </x:c>
      <x:c r="C18" s="110" t="str">
        <x:v>Jurisdiction nexus capture</x:v>
      </x:c>
      <x:c r="D18" s="110" t="str">
        <x:v>MUST</x:v>
      </x:c>
      <x:c r="E18" s="110" t="str">
        <x:v>Rules SHALL be evaluated for origin, export, transit, overflight/security, destination/import, parties, currencies, banks, goods origin, technology origin and tenant hosting/establishment nexuses where applicable.</x:v>
      </x:c>
      <x:c r="F18" s="110" t="str">
        <x:v>Shipment create/update</x:v>
      </x:c>
      <x:c r="G18" s="110" t="str">
        <x:v>All places, parties, legs, goods origins, currencies, tenant establishments</x:v>
      </x:c>
      <x:c r="H18" s="110" t="str">
        <x:v>Nexus set</x:v>
      </x:c>
      <x:c r="I18" s="110" t="str">
        <x:v>Automated; review if ambiguous</x:v>
      </x:c>
      <x:c r="J18" s="110" t="str">
        <x:v>UNKNOWN_BLOCKED</x:v>
      </x:c>
      <x:c r="K18" s="110" t="str">
        <x:v>Nexus trace</x:v>
      </x:c>
      <x:c r="L18" s="110" t="str">
        <x:v>SRC-CUS-003, SRC-CUS-006, SRC-CUS-007</x:v>
      </x:c>
      <x:c r="M18" s="110" t="str">
        <x:v>T-GOV-014</x:v>
      </x:c>
    </x:row>
    <x:row r="19" ht="66" customHeight="1">
      <x:c r="A19" s="111" t="str">
        <x:v>GOV-015</x:v>
      </x:c>
      <x:c r="B19" s="111" t="str">
        <x:v>Governance &amp; legal boundary</x:v>
      </x:c>
      <x:c r="C19" s="111" t="str">
        <x:v>Country-pack release gate</x:v>
      </x:c>
      <x:c r="D19" s="111" t="str">
        <x:v>MUST</x:v>
      </x:c>
      <x:c r="E19" s="111" t="str">
        <x:v>A country/territory SHALL be production-enabled only when inbound, outbound, postal, parcel and air capabilities are individually approved for the exact supported scope.</x:v>
      </x:c>
      <x:c r="F19" s="111" t="str">
        <x:v>Pack activation</x:v>
      </x:c>
      <x:c r="G19" s="111" t="str">
        <x:v>Pack checklist and regression suite</x:v>
      </x:c>
      <x:c r="H19" s="111" t="str">
        <x:v>Capability-level enablement flags</x:v>
      </x:c>
      <x:c r="I19" s="111" t="str">
        <x:v>Country-pack owner + legal/compliance</x:v>
      </x:c>
      <x:c r="J19" s="111" t="str">
        <x:v>Keep flag false</x:v>
      </x:c>
      <x:c r="K19" s="111" t="str">
        <x:v>Signed release record</x:v>
      </x:c>
      <x:c r="L19" s="111" t="str">
        <x:v>SRC-CUS-003, SRC-CUS-006, SRC-CUS-007</x:v>
      </x:c>
      <x:c r="M19" s="111" t="str">
        <x:v>T-GOV-015</x:v>
      </x:c>
    </x:row>
    <x:row r="20" ht="66" customHeight="1">
      <x:c r="A20" s="110" t="str">
        <x:v>TEN-001</x:v>
      </x:c>
      <x:c r="B20" s="110" t="str">
        <x:v>Tenant, identity &amp; access</x:v>
      </x:c>
      <x:c r="C20" s="110" t="str">
        <x:v>Tenant isolation</x:v>
      </x:c>
      <x:c r="D20" s="110" t="str">
        <x:v>MUST</x:v>
      </x:c>
      <x:c r="E20" s="110" t="str">
        <x:v>Data, cryptographic keys, carrier credentials, rules, rates, documents, exports, logs and search indexes SHALL be logically isolated by tenant; privileged support access SHALL be time-bound, approved and recorded.</x:v>
      </x:c>
      <x:c r="F20" s="110" t="str">
        <x:v>Every request and background job</x:v>
      </x:c>
      <x:c r="G20" s="110" t="str">
        <x:v>Tenant ID, actor, resource owner</x:v>
      </x:c>
      <x:c r="H20" s="110" t="str">
        <x:v>Authorized access only</x:v>
      </x:c>
      <x:c r="I20" s="110" t="str">
        <x:v>Automated + security admin for support</x:v>
      </x:c>
      <x:c r="J20" s="110" t="str">
        <x:v>Deny and alert</x:v>
      </x:c>
      <x:c r="K20" s="110" t="str">
        <x:v>Access decision and support-session log</x:v>
      </x:c>
      <x:c r="L20" s="110" t="str">
        <x:v>SRC-PRV-002, SRC-CUS-002</x:v>
      </x:c>
      <x:c r="M20" s="110" t="str">
        <x:v>T-TEN-001</x:v>
      </x:c>
    </x:row>
    <x:row r="21" ht="66" customHeight="1">
      <x:c r="A21" s="111" t="str">
        <x:v>TEN-002</x:v>
      </x:c>
      <x:c r="B21" s="111" t="str">
        <x:v>Tenant, identity &amp; access</x:v>
      </x:c>
      <x:c r="C21" s="111" t="str">
        <x:v>Tenant legal entity/KYB</x:v>
      </x:c>
      <x:c r="D21" s="111" t="str">
        <x:v>MUST</x:v>
      </x:c>
      <x:c r="E21" s="111" t="str">
        <x:v>Before activation, the platform SHALL verify the contracting legal entity, registered address, tax identifiers, beneficial ownership where required, authorized administrators and operating sites.</x:v>
      </x:c>
      <x:c r="F21" s="111" t="str">
        <x:v>Tenant onboarding/change</x:v>
      </x:c>
      <x:c r="G21" s="111" t="str">
        <x:v>Corporate records, identifiers, admins, sites</x:v>
      </x:c>
      <x:c r="H21" s="111" t="str">
        <x:v>Verified/suspended tenant status</x:v>
      </x:c>
      <x:c r="I21" s="111" t="str">
        <x:v>SaaS compliance</x:v>
      </x:c>
      <x:c r="J21" s="111" t="str">
        <x:v>No production credentials</x:v>
      </x:c>
      <x:c r="K21" s="111" t="str">
        <x:v>KYB evidence and review</x:v>
      </x:c>
      <x:c r="L21" s="111" t="str">
        <x:v>SRC-PRV-002, SRC-CUS-002</x:v>
      </x:c>
      <x:c r="M21" s="111" t="str">
        <x:v>T-TEN-002</x:v>
      </x:c>
    </x:row>
    <x:row r="22" ht="66" customHeight="1">
      <x:c r="A22" s="110" t="str">
        <x:v>TEN-003</x:v>
      </x:c>
      <x:c r="B22" s="110" t="str">
        <x:v>Tenant, identity &amp; access</x:v>
      </x:c>
      <x:c r="C22" s="110" t="str">
        <x:v>Warehouse site authorization</x:v>
      </x:c>
      <x:c r="D22" s="110" t="str">
        <x:v>MUST</x:v>
      </x:c>
      <x:c r="E22" s="110" t="str">
        <x:v>Each origin site SHALL record legal operator, address, country pack, security programs, commodity permissions, storage zones, licences/certificates and carrier pickup accounts.</x:v>
      </x:c>
      <x:c r="F22" s="110" t="str">
        <x:v>Site onboarding/change</x:v>
      </x:c>
      <x:c r="G22" s="110" t="str">
        <x:v>Site and licence data</x:v>
      </x:c>
      <x:c r="H22" s="110" t="str">
        <x:v>Enabled capabilities per site</x:v>
      </x:c>
      <x:c r="I22" s="110" t="str">
        <x:v>Tenant compliance + platform review</x:v>
      </x:c>
      <x:c r="J22" s="110" t="str">
        <x:v>Block origin selection</x:v>
      </x:c>
      <x:c r="K22" s="110" t="str">
        <x:v>Site dossier</x:v>
      </x:c>
      <x:c r="L22" s="110" t="str">
        <x:v>SRC-PRV-002, SRC-CUS-002</x:v>
      </x:c>
      <x:c r="M22" s="110" t="str">
        <x:v>T-TEN-003</x:v>
      </x:c>
    </x:row>
    <x:row r="23" ht="66" customHeight="1">
      <x:c r="A23" s="111" t="str">
        <x:v>TEN-004</x:v>
      </x:c>
      <x:c r="B23" s="111" t="str">
        <x:v>Tenant, identity &amp; access</x:v>
      </x:c>
      <x:c r="C23" s="111" t="str">
        <x:v>Role-based access control</x:v>
      </x:c>
      <x:c r="D23" s="111" t="str">
        <x:v>MUST</x:v>
      </x:c>
      <x:c r="E23" s="111" t="str">
        <x:v>Least-privilege roles SHALL separate order entry, classification, screening review, DG review, warehouse release, rule administration, billing and audit access.</x:v>
      </x:c>
      <x:c r="F23" s="111" t="str">
        <x:v>User/role change; action</x:v>
      </x:c>
      <x:c r="G23" s="111" t="str">
        <x:v>Actor, tenant, role grants</x:v>
      </x:c>
      <x:c r="H23" s="111" t="str">
        <x:v>Permit/deny</x:v>
      </x:c>
      <x:c r="I23" s="111" t="str">
        <x:v>Tenant admin within policy</x:v>
      </x:c>
      <x:c r="J23" s="111" t="str">
        <x:v>Deny</x:v>
      </x:c>
      <x:c r="K23" s="111" t="str">
        <x:v>Authorization event</x:v>
      </x:c>
      <x:c r="L23" s="111" t="str">
        <x:v>SRC-PRV-002, SRC-CUS-002</x:v>
      </x:c>
      <x:c r="M23" s="111" t="str">
        <x:v>T-TEN-004</x:v>
      </x:c>
    </x:row>
    <x:row r="24" ht="66" customHeight="1">
      <x:c r="A24" s="110" t="str">
        <x:v>TEN-005</x:v>
      </x:c>
      <x:c r="B24" s="110" t="str">
        <x:v>Tenant, identity &amp; access</x:v>
      </x:c>
      <x:c r="C24" s="110" t="str">
        <x:v>Segregation of duties</x:v>
      </x:c>
      <x:c r="D24" s="110" t="str">
        <x:v>MUST</x:v>
      </x:c>
      <x:c r="E24" s="110" t="str">
        <x:v>No user SHALL both create and finally approve the same high-risk classification, sanctions match disposition, DG declaration, country-pack rule or manual shipment release.</x:v>
      </x:c>
      <x:c r="F24" s="110" t="str">
        <x:v>Approval action</x:v>
      </x:c>
      <x:c r="G24" s="110" t="str">
        <x:v>Creator, approver, object risk</x:v>
      </x:c>
      <x:c r="H24" s="110" t="str">
        <x:v>Approval allowed/denied</x:v>
      </x:c>
      <x:c r="I24" s="110" t="str">
        <x:v>Automated</x:v>
      </x:c>
      <x:c r="J24" s="110" t="str">
        <x:v>Deny approval</x:v>
      </x:c>
      <x:c r="K24" s="110" t="str">
        <x:v>Approval chain</x:v>
      </x:c>
      <x:c r="L24" s="110" t="str">
        <x:v>SRC-PRV-002, SRC-CUS-002</x:v>
      </x:c>
      <x:c r="M24" s="110" t="str">
        <x:v>T-TEN-005</x:v>
      </x:c>
    </x:row>
    <x:row r="25" ht="66" customHeight="1">
      <x:c r="A25" s="111" t="str">
        <x:v>TEN-006</x:v>
      </x:c>
      <x:c r="B25" s="111" t="str">
        <x:v>Tenant, identity &amp; access</x:v>
      </x:c>
      <x:c r="C25" s="111" t="str">
        <x:v>Certified reviewer registry</x:v>
      </x:c>
      <x:c r="D25" s="111" t="str">
        <x:v>MUST</x:v>
      </x:c>
      <x:c r="E25" s="111" t="str">
        <x:v>Reviewer profiles SHALL capture certification type, issuer, number, scope, issue/expiry dates, countries/modes/commodities authorized and suspension status.</x:v>
      </x:c>
      <x:c r="F25" s="111" t="str">
        <x:v>Reviewer assignment</x:v>
      </x:c>
      <x:c r="G25" s="111" t="str">
        <x:v>Reviewer credential and shipment scope</x:v>
      </x:c>
      <x:c r="H25" s="111" t="str">
        <x:v>Eligible reviewer list</x:v>
      </x:c>
      <x:c r="I25" s="111" t="str">
        <x:v>Tenant compliance</x:v>
      </x:c>
      <x:c r="J25" s="111" t="str">
        <x:v>No assignment; hold</x:v>
      </x:c>
      <x:c r="K25" s="111" t="str">
        <x:v>Credential snapshot</x:v>
      </x:c>
      <x:c r="L25" s="111" t="str">
        <x:v>SRC-PRV-002, SRC-CUS-002</x:v>
      </x:c>
      <x:c r="M25" s="111" t="str">
        <x:v>T-TEN-006</x:v>
      </x:c>
    </x:row>
    <x:row r="26" ht="66" customHeight="1">
      <x:c r="A26" s="110" t="str">
        <x:v>TEN-007</x:v>
      </x:c>
      <x:c r="B26" s="110" t="str">
        <x:v>Tenant, identity &amp; access</x:v>
      </x:c>
      <x:c r="C26" s="110" t="str">
        <x:v>Delegated customer authority</x:v>
      </x:c>
      <x:c r="D26" s="110" t="str">
        <x:v>MUST</x:v>
      </x:c>
      <x:c r="E26" s="110" t="str">
        <x:v>For B2B, B2C and C2C customers, the platform SHALL retain evidence that the customer authorized the 3PL to prepare data/documents and transmit them to carriers/postal operators while preserving the named declarant/shipper responsibilities.</x:v>
      </x:c>
      <x:c r="F26" s="110" t="str">
        <x:v>Customer onboarding/order</x:v>
      </x:c>
      <x:c r="G26" s="110" t="str">
        <x:v>Terms, mandate, party roles</x:v>
      </x:c>
      <x:c r="H26" s="110" t="str">
        <x:v>Accepted authority or hold</x:v>
      </x:c>
      <x:c r="I26" s="110" t="str">
        <x:v>Tenant legal admin</x:v>
      </x:c>
      <x:c r="J26" s="110" t="str">
        <x:v>Block filing/document generation</x:v>
      </x:c>
      <x:c r="K26" s="110" t="str">
        <x:v>Terms version and acceptance</x:v>
      </x:c>
      <x:c r="L26" s="110" t="str">
        <x:v>SRC-PRV-002, SRC-CUS-002</x:v>
      </x:c>
      <x:c r="M26" s="110" t="str">
        <x:v>T-TEN-007</x:v>
      </x:c>
    </x:row>
    <x:row r="27" ht="66" customHeight="1">
      <x:c r="A27" s="111" t="str">
        <x:v>TEN-008</x:v>
      </x:c>
      <x:c r="B27" s="111" t="str">
        <x:v>Tenant, identity &amp; access</x:v>
      </x:c>
      <x:c r="C27" s="111" t="str">
        <x:v>Commodity permission matrix</x:v>
      </x:c>
      <x:c r="D27" s="111" t="str">
        <x:v>MUST</x:v>
      </x:c>
      <x:c r="E27" s="111" t="str">
        <x:v>Tenant and site permissions SHALL specify allowed commodity families, modes, countries, services, quantities and approval requirements; default is deny.</x:v>
      </x:c>
      <x:c r="F27" s="111" t="str">
        <x:v>Every line and service selection</x:v>
      </x:c>
      <x:c r="G27" s="111" t="str">
        <x:v>Commodity profile, site, tenant matrix</x:v>
      </x:c>
      <x:c r="H27" s="111" t="str">
        <x:v>Allowed/conditional/blocked</x:v>
      </x:c>
      <x:c r="I27" s="111" t="str">
        <x:v>Automated; tenant compliance change</x:v>
      </x:c>
      <x:c r="J27" s="111" t="str">
        <x:v>Block</x:v>
      </x:c>
      <x:c r="K27" s="111" t="str">
        <x:v>Matrix version and decision</x:v>
      </x:c>
      <x:c r="L27" s="111" t="str">
        <x:v>SRC-PRV-002, SRC-CUS-002</x:v>
      </x:c>
      <x:c r="M27" s="111" t="str">
        <x:v>T-TEN-008</x:v>
      </x:c>
    </x:row>
    <x:row r="28" ht="66" customHeight="1">
      <x:c r="A28" s="110" t="str">
        <x:v>TEN-009</x:v>
      </x:c>
      <x:c r="B28" s="110" t="str">
        <x:v>Tenant, identity &amp; access</x:v>
      </x:c>
      <x:c r="C28" s="110" t="str">
        <x:v>Customer risk tier</x:v>
      </x:c>
      <x:c r="D28" s="110" t="str">
        <x:v>MUST</x:v>
      </x:c>
      <x:c r="E28" s="110" t="str">
        <x:v>Customers SHALL be risk-tiered using KYB/KYC, shipment behavior, chargeback/fraud, restricted-party signals, controlled-goods profile and anomaly indicators.</x:v>
      </x:c>
      <x:c r="F28" s="110" t="str">
        <x:v>Onboarding and continuous</x:v>
      </x:c>
      <x:c r="G28" s="110" t="str">
        <x:v>Customer and shipment signals</x:v>
      </x:c>
      <x:c r="H28" s="110" t="str">
        <x:v>Risk tier and review cadence</x:v>
      </x:c>
      <x:c r="I28" s="110" t="str">
        <x:v>Risk operations</x:v>
      </x:c>
      <x:c r="J28" s="110" t="str">
        <x:v>Hold high-risk until review</x:v>
      </x:c>
      <x:c r="K28" s="110" t="str">
        <x:v>Model/rules and evidence</x:v>
      </x:c>
      <x:c r="L28" s="110" t="str">
        <x:v>SRC-PRV-002, SRC-CUS-002</x:v>
      </x:c>
      <x:c r="M28" s="110" t="str">
        <x:v>T-TEN-009</x:v>
      </x:c>
    </x:row>
    <x:row r="29" ht="66" customHeight="1">
      <x:c r="A29" s="111" t="str">
        <x:v>TEN-010</x:v>
      </x:c>
      <x:c r="B29" s="111" t="str">
        <x:v>Tenant, identity &amp; access</x:v>
      </x:c>
      <x:c r="C29" s="111" t="str">
        <x:v>Facility chain of custody</x:v>
      </x:c>
      <x:c r="D29" s="111" t="str">
        <x:v>MUST</x:v>
      </x:c>
      <x:c r="E29" s="111" t="str">
        <x:v>The platform SHALL identify custody transfer points from receipt through carrier handover and preserve actor, timestamp, location, seal/package state and exceptions.</x:v>
      </x:c>
      <x:c r="F29" s="111" t="str">
        <x:v>Every physical transition</x:v>
      </x:c>
      <x:c r="G29" s="111" t="str">
        <x:v>Item/package IDs, scans, actors</x:v>
      </x:c>
      <x:c r="H29" s="111" t="str">
        <x:v>Custody event</x:v>
      </x:c>
      <x:c r="I29" s="111" t="str">
        <x:v>Automated</x:v>
      </x:c>
      <x:c r="J29" s="111" t="str">
        <x:v>Quarantine untracked exception</x:v>
      </x:c>
      <x:c r="K29" s="111" t="str">
        <x:v>Scan/event history</x:v>
      </x:c>
      <x:c r="L29" s="111" t="str">
        <x:v>SRC-PRV-002, SRC-CUS-002</x:v>
      </x:c>
      <x:c r="M29" s="111" t="str">
        <x:v>T-TEN-010</x:v>
      </x:c>
    </x:row>
    <x:row r="30" ht="66" customHeight="1">
      <x:c r="A30" s="110" t="str">
        <x:v>TEN-011</x:v>
      </x:c>
      <x:c r="B30" s="110" t="str">
        <x:v>Tenant, identity &amp; access</x:v>
      </x:c>
      <x:c r="C30" s="110" t="str">
        <x:v>Approval expiry</x:v>
      </x:c>
      <x:c r="D30" s="110" t="str">
        <x:v>MUST</x:v>
      </x:c>
      <x:c r="E30" s="110" t="str">
        <x:v>Manual approvals SHALL be scoped to shipment version, package, commodity, lane, carrier/service and validity period; any relevant change invalidates approval.</x:v>
      </x:c>
      <x:c r="F30" s="110" t="str">
        <x:v>Shipment edit after approval</x:v>
      </x:c>
      <x:c r="G30" s="110" t="str">
        <x:v>Changed fields and approval scope</x:v>
      </x:c>
      <x:c r="H30" s="110" t="str">
        <x:v>Approval retained or revoked</x:v>
      </x:c>
      <x:c r="I30" s="110" t="str">
        <x:v>Automated</x:v>
      </x:c>
      <x:c r="J30" s="110" t="str">
        <x:v>Return to hold</x:v>
      </x:c>
      <x:c r="K30" s="110" t="str">
        <x:v>Diff and revocation event</x:v>
      </x:c>
      <x:c r="L30" s="110" t="str">
        <x:v>SRC-PRV-002, SRC-CUS-002</x:v>
      </x:c>
      <x:c r="M30" s="110" t="str">
        <x:v>T-TEN-011</x:v>
      </x:c>
    </x:row>
    <x:row r="31" ht="66" customHeight="1">
      <x:c r="A31" s="111" t="str">
        <x:v>TEN-012</x:v>
      </x:c>
      <x:c r="B31" s="111" t="str">
        <x:v>Tenant, identity &amp; access</x:v>
      </x:c>
      <x:c r="C31" s="111" t="str">
        <x:v>Emergency suspension</x:v>
      </x:c>
      <x:c r="D31" s="111" t="str">
        <x:v>MUST</x:v>
      </x:c>
      <x:c r="E31" s="111" t="str">
        <x:v>Platform and tenant compliance admins SHALL be able to suspend a country, lane, carrier, service, site, customer, commodity, rule version or credential immediately with reason and scope.</x:v>
      </x:c>
      <x:c r="F31" s="111" t="str">
        <x:v>Incident/regulatory notice</x:v>
      </x:c>
      <x:c r="G31" s="111" t="str">
        <x:v>Suspension target and scope</x:v>
      </x:c>
      <x:c r="H31" s="111" t="str">
        <x:v>New transactions blocked; in-flight list produced</x:v>
      </x:c>
      <x:c r="I31" s="111" t="str">
        <x:v>Authorized compliance admin</x:v>
      </x:c>
      <x:c r="J31" s="111" t="str">
        <x:v>Fail closed</x:v>
      </x:c>
      <x:c r="K31" s="111" t="str">
        <x:v>Suspension event and impacted shipments</x:v>
      </x:c>
      <x:c r="L31" s="111" t="str">
        <x:v>SRC-PRV-002, SRC-CUS-002</x:v>
      </x:c>
      <x:c r="M31" s="111" t="str">
        <x:v>T-TEN-012</x:v>
      </x:c>
    </x:row>
    <x:row r="32" ht="66" customHeight="1">
      <x:c r="A32" s="110" t="str">
        <x:v>PTY-001</x:v>
      </x:c>
      <x:c r="B32" s="110" t="str">
        <x:v>Parties, addresses &amp; screening</x:v>
      </x:c>
      <x:c r="C32" s="110" t="str">
        <x:v>Structured party identities</x:v>
      </x:c>
      <x:c r="D32" s="110" t="str">
        <x:v>MUST</x:v>
      </x:c>
      <x:c r="E32" s="110" t="str">
        <x:v>Shipper, consignor, exporter, seller, buyer, consignee, importer, IOR, EOR, declarant, notify party, ultimate consignee, payer and return party SHALL be stored separately; one party may occupy multiple explicit roles.</x:v>
      </x:c>
      <x:c r="F32" s="110" t="str">
        <x:v>Order creation/update</x:v>
      </x:c>
      <x:c r="G32" s="110" t="str">
        <x:v>Party legal names, roles, identifiers, contacts</x:v>
      </x:c>
      <x:c r="H32" s="110" t="str">
        <x:v>Complete party-role graph</x:v>
      </x:c>
      <x:c r="I32" s="110" t="str">
        <x:v>Automated</x:v>
      </x:c>
      <x:c r="J32" s="110" t="str">
        <x:v>Hold if mandatory role unresolved</x:v>
      </x:c>
      <x:c r="K32" s="110" t="str">
        <x:v>Party version and role assignments</x:v>
      </x:c>
      <x:c r="L32" s="110" t="str">
        <x:v>SRC-SAN-001, SRC-SAN-002, SRC-SAN-003, SRC-SAN-005, SRC-SAN-006, SRC-PRV-002</x:v>
      </x:c>
      <x:c r="M32" s="110" t="str">
        <x:v>T-PTY-001</x:v>
      </x:c>
    </x:row>
    <x:row r="33" ht="66" customHeight="1">
      <x:c r="A33" s="111" t="str">
        <x:v>PTY-002</x:v>
      </x:c>
      <x:c r="B33" s="111" t="str">
        <x:v>Parties, addresses &amp; screening</x:v>
      </x:c>
      <x:c r="C33" s="111" t="str">
        <x:v>Address validation without silent mutation</x:v>
      </x:c>
      <x:c r="D33" s="111" t="str">
        <x:v>MUST</x:v>
      </x:c>
      <x:c r="E33" s="111" t="str">
        <x:v>Addresses SHALL be validated against carrier and country formats. Suggested corrections require user confirmation; legal names, house numbers and countries SHALL never be silently changed.</x:v>
      </x:c>
      <x:c r="F33" s="111" t="str">
        <x:v>Party/address entry</x:v>
      </x:c>
      <x:c r="G33" s="111" t="str">
        <x:v>Raw and normalized address</x:v>
      </x:c>
      <x:c r="H33" s="111" t="str">
        <x:v>Validated address plus confidence</x:v>
      </x:c>
      <x:c r="I33" s="111" t="str">
        <x:v>User confirmation where material</x:v>
      </x:c>
      <x:c r="J33" s="111" t="str">
        <x:v>Hold on undeliverable/ambiguous</x:v>
      </x:c>
      <x:c r="K33" s="111" t="str">
        <x:v>Raw value, suggestions, accepted value</x:v>
      </x:c>
      <x:c r="L33" s="111" t="str">
        <x:v>SRC-SAN-001, SRC-SAN-002, SRC-SAN-003, SRC-SAN-005, SRC-SAN-006, SRC-PRV-002</x:v>
      </x:c>
      <x:c r="M33" s="111" t="str">
        <x:v>T-PTY-002</x:v>
      </x:c>
    </x:row>
    <x:row r="34" ht="66" customHeight="1">
      <x:c r="A34" s="110" t="str">
        <x:v>PTY-003</x:v>
      </x:c>
      <x:c r="B34" s="110" t="str">
        <x:v>Parties, addresses &amp; screening</x:v>
      </x:c>
      <x:c r="C34" s="110" t="str">
        <x:v>Non-Latin scripts</x:v>
      </x:c>
      <x:c r="D34" s="110" t="str">
        <x:v>MUST</x:v>
      </x:c>
      <x:c r="E34" s="110" t="str">
        <x:v>The data model SHALL retain original-script names/addresses and accepted transliteration separately and transmit the representation required by each carrier/authority schema.</x:v>
      </x:c>
      <x:c r="F34" s="110" t="str">
        <x:v>Party entry and document generation</x:v>
      </x:c>
      <x:c r="G34" s="110" t="str">
        <x:v>Original, transliteration, language/script</x:v>
      </x:c>
      <x:c r="H34" s="110" t="str">
        <x:v>Schema-compliant dual representation</x:v>
      </x:c>
      <x:c r="I34" s="110" t="str">
        <x:v>Automated</x:v>
      </x:c>
      <x:c r="J34" s="110" t="str">
        <x:v>Hold if required representation absent</x:v>
      </x:c>
      <x:c r="K34" s="110" t="str">
        <x:v>Both values and transform version</x:v>
      </x:c>
      <x:c r="L34" s="110" t="str">
        <x:v>SRC-SAN-001, SRC-SAN-002, SRC-SAN-003, SRC-SAN-005, SRC-SAN-006, SRC-PRV-002</x:v>
      </x:c>
      <x:c r="M34" s="110" t="str">
        <x:v>T-PTY-003</x:v>
      </x:c>
    </x:row>
    <x:row r="35" ht="66" customHeight="1">
      <x:c r="A35" s="111" t="str">
        <x:v>PTY-004</x:v>
      </x:c>
      <x:c r="B35" s="111" t="str">
        <x:v>Parties, addresses &amp; screening</x:v>
      </x:c>
      <x:c r="C35" s="111" t="str">
        <x:v>Tax and customs identifiers</x:v>
      </x:c>
      <x:c r="D35" s="111" t="str">
        <x:v>MUST</x:v>
      </x:c>
      <x:c r="E35" s="111" t="str">
        <x:v>Identifier type, issuing jurisdiction, validity dates and verification status SHALL be captured for EORI, VAT/GST, IOSS, OSS, EIN, SSN/passport where lawful, importer numbers and local tax IDs.</x:v>
      </x:c>
      <x:c r="F35" s="111" t="str">
        <x:v>Flow-specific trigger</x:v>
      </x:c>
      <x:c r="G35" s="111" t="str">
        <x:v>Party role, lane, value, flow, identifier</x:v>
      </x:c>
      <x:c r="H35" s="111" t="str">
        <x:v>Required/valid/invalid/missing</x:v>
      </x:c>
      <x:c r="I35" s="111" t="str">
        <x:v>Automated; privacy review for sensitive IDs</x:v>
      </x:c>
      <x:c r="J35" s="111" t="str">
        <x:v>Hold when legally or carrier-required</x:v>
      </x:c>
      <x:c r="K35" s="111" t="str">
        <x:v>Verification response and masked display</x:v>
      </x:c>
      <x:c r="L35" s="111" t="str">
        <x:v>SRC-SAN-001, SRC-SAN-002, SRC-SAN-003, SRC-SAN-005, SRC-SAN-006, SRC-PRV-002</x:v>
      </x:c>
      <x:c r="M35" s="111" t="str">
        <x:v>T-PTY-004</x:v>
      </x:c>
    </x:row>
    <x:row r="36" ht="66" customHeight="1">
      <x:c r="A36" s="110" t="str">
        <x:v>PTY-005</x:v>
      </x:c>
      <x:c r="B36" s="110" t="str">
        <x:v>Parties, addresses &amp; screening</x:v>
      </x:c>
      <x:c r="C36" s="110" t="str">
        <x:v>Restricted-party screening scope</x:v>
      </x:c>
      <x:c r="D36" s="110" t="str">
        <x:v>MUST</x:v>
      </x:c>
      <x:c r="E36" s="110" t="str">
        <x:v>All parties, aliases, addresses, banks and material free-text names SHALL be screened against applicable UN, origin, destination, transit, tenant-establishment, currency/payment and goods-nexus lists.</x:v>
      </x:c>
      <x:c r="F36" s="110" t="str">
        <x:v>Create/update, pre-label, pre-handover, list change</x:v>
      </x:c>
      <x:c r="G36" s="110" t="str">
        <x:v>Nexus set, parties, lists, match thresholds</x:v>
      </x:c>
      <x:c r="H36" s="110" t="str">
        <x:v>Clear/potential/confirmed/expired</x:v>
      </x:c>
      <x:c r="I36" s="110" t="str">
        <x:v>Certified screening reviewer</x:v>
      </x:c>
      <x:c r="J36" s="110" t="str">
        <x:v>Potential match hold; confirmed block</x:v>
      </x:c>
      <x:c r="K36" s="110" t="str">
        <x:v>List versions, candidates, reviewer rationale</x:v>
      </x:c>
      <x:c r="L36" s="110" t="str">
        <x:v>SRC-SAN-001, SRC-SAN-002, SRC-SAN-003, SRC-SAN-005, SRC-SAN-006, SRC-PRV-002</x:v>
      </x:c>
      <x:c r="M36" s="110" t="str">
        <x:v>T-PTY-005</x:v>
      </x:c>
    </x:row>
    <x:row r="37" ht="66" customHeight="1">
      <x:c r="A37" s="111" t="str">
        <x:v>PTY-006</x:v>
      </x:c>
      <x:c r="B37" s="111" t="str">
        <x:v>Parties, addresses &amp; screening</x:v>
      </x:c>
      <x:c r="C37" s="111" t="str">
        <x:v>No auto-clear of meaningful matches</x:v>
      </x:c>
      <x:c r="D37" s="111" t="str">
        <x:v>MUST</x:v>
      </x:c>
      <x:c r="E37" s="111" t="str">
        <x:v>Fuzzy matching MAY prioritize candidates but SHALL NOT automatically clear a potential match above the configured risk threshold or based solely on absence from an aggregator.</x:v>
      </x:c>
      <x:c r="F37" s="111" t="str">
        <x:v>Screening result</x:v>
      </x:c>
      <x:c r="G37" s="111" t="str">
        <x:v>Candidate scores and identifiers</x:v>
      </x:c>
      <x:c r="H37" s="111" t="str">
        <x:v>Manual disposition required</x:v>
      </x:c>
      <x:c r="I37" s="111" t="str">
        <x:v>Certified reviewer</x:v>
      </x:c>
      <x:c r="J37" s="111" t="str">
        <x:v>Hold</x:v>
      </x:c>
      <x:c r="K37" s="111" t="str">
        <x:v>Candidate data and authoritative-source checks</x:v>
      </x:c>
      <x:c r="L37" s="111" t="str">
        <x:v>SRC-SAN-001, SRC-SAN-002, SRC-SAN-003, SRC-SAN-005, SRC-SAN-006, SRC-PRV-002</x:v>
      </x:c>
      <x:c r="M37" s="111" t="str">
        <x:v>T-PTY-006</x:v>
      </x:c>
    </x:row>
    <x:row r="38" ht="66" customHeight="1">
      <x:c r="A38" s="110" t="str">
        <x:v>PTY-007</x:v>
      </x:c>
      <x:c r="B38" s="110" t="str">
        <x:v>Parties, addresses &amp; screening</x:v>
      </x:c>
      <x:c r="C38" s="110" t="str">
        <x:v>Ongoing rescreening</x:v>
      </x:c>
      <x:c r="D38" s="110" t="str">
        <x:v>MUST</x:v>
      </x:c>
      <x:c r="E38" s="110" t="str">
        <x:v>Open orders and unhanded shipments SHALL be rescreened when relevant lists change, parties change, shipment ages beyond policy or before release/handover.</x:v>
      </x:c>
      <x:c r="F38" s="110" t="str">
        <x:v>Event/schedule</x:v>
      </x:c>
      <x:c r="G38" s="110" t="str">
        <x:v>Shipment status, list changes, prior decision</x:v>
      </x:c>
      <x:c r="H38" s="110" t="str">
        <x:v>Updated decision</x:v>
      </x:c>
      <x:c r="I38" s="110" t="str">
        <x:v>Automated</x:v>
      </x:c>
      <x:c r="J38" s="110" t="str">
        <x:v>Hold newly matched shipment</x:v>
      </x:c>
      <x:c r="K38" s="110" t="str">
        <x:v>Delta screening event</x:v>
      </x:c>
      <x:c r="L38" s="110" t="str">
        <x:v>SRC-SAN-001, SRC-SAN-002, SRC-SAN-003, SRC-SAN-005, SRC-SAN-006, SRC-PRV-002</x:v>
      </x:c>
      <x:c r="M38" s="110" t="str">
        <x:v>T-PTY-007</x:v>
      </x:c>
    </x:row>
    <x:row r="39" ht="66" customHeight="1">
      <x:c r="A39" s="111" t="str">
        <x:v>PTY-008</x:v>
      </x:c>
      <x:c r="B39" s="111" t="str">
        <x:v>Parties, addresses &amp; screening</x:v>
      </x:c>
      <x:c r="C39" s="111" t="str">
        <x:v>Country and territory sanctions</x:v>
      </x:c>
      <x:c r="D39" s="111" t="str">
        <x:v>MUST</x:v>
      </x:c>
      <x:c r="E39" s="111" t="str">
        <x:v>The platform SHALL distinguish comprehensive/territorial prohibitions, sectoral measures, asset freezes, service restrictions and licensing exceptions; country alone SHALL not be the only decision input.</x:v>
      </x:c>
      <x:c r="F39" s="111" t="str">
        <x:v>Nexus evaluation</x:v>
      </x:c>
      <x:c r="G39" s="111" t="str">
        <x:v>Country, parties, goods, sectors, services, ownership/control, licences</x:v>
      </x:c>
      <x:c r="H39" s="111" t="str">
        <x:v>Applicable measures and conditions</x:v>
      </x:c>
      <x:c r="I39" s="111" t="str">
        <x:v>Export-control reviewer</x:v>
      </x:c>
      <x:c r="J39" s="111" t="str">
        <x:v>Hold/blocked pending determination</x:v>
      </x:c>
      <x:c r="K39" s="111" t="str">
        <x:v>Regime version and rationale</x:v>
      </x:c>
      <x:c r="L39" s="111" t="str">
        <x:v>SRC-SAN-001, SRC-SAN-002, SRC-SAN-003, SRC-SAN-005, SRC-SAN-006, SRC-PRV-002</x:v>
      </x:c>
      <x:c r="M39" s="111" t="str">
        <x:v>T-PTY-008</x:v>
      </x:c>
    </x:row>
    <x:row r="40" ht="66" customHeight="1">
      <x:c r="A40" s="110" t="str">
        <x:v>PTY-009</x:v>
      </x:c>
      <x:c r="B40" s="110" t="str">
        <x:v>Parties, addresses &amp; screening</x:v>
      </x:c>
      <x:c r="C40" s="110" t="str">
        <x:v>Ownership and control</x:v>
      </x:c>
      <x:c r="D40" s="110" t="str">
        <x:v>MUST</x:v>
      </x:c>
      <x:c r="E40" s="110" t="str">
        <x:v>Where a sanctions regime applies ownership/control tests, the system SHALL collect sufficient ownership data or route to an approved external screening service; unknown ownership SHALL not be treated as clear.</x:v>
      </x:c>
      <x:c r="F40" s="110" t="str">
        <x:v>Potential entity match/high-risk customer</x:v>
      </x:c>
      <x:c r="G40" s="110" t="str">
        <x:v>Ownership chain, regime rules</x:v>
      </x:c>
      <x:c r="H40" s="110" t="str">
        <x:v>Clear/review/block</x:v>
      </x:c>
      <x:c r="I40" s="110" t="str">
        <x:v>Certified reviewer</x:v>
      </x:c>
      <x:c r="J40" s="110" t="str">
        <x:v>Hold</x:v>
      </x:c>
      <x:c r="K40" s="110" t="str">
        <x:v>Ownership evidence</x:v>
      </x:c>
      <x:c r="L40" s="110" t="str">
        <x:v>SRC-SAN-001, SRC-SAN-002, SRC-SAN-003, SRC-SAN-005, SRC-SAN-006, SRC-PRV-002</x:v>
      </x:c>
      <x:c r="M40" s="110" t="str">
        <x:v>T-PTY-009</x:v>
      </x:c>
    </x:row>
    <x:row r="41" ht="66" customHeight="1">
      <x:c r="A41" s="111" t="str">
        <x:v>PTY-010</x:v>
      </x:c>
      <x:c r="B41" s="111" t="str">
        <x:v>Parties, addresses &amp; screening</x:v>
      </x:c>
      <x:c r="C41" s="111" t="str">
        <x:v>End-use/end-user screening</x:v>
      </x:c>
      <x:c r="D41" s="111" t="str">
        <x:v>MUST</x:v>
      </x:c>
      <x:c r="E41" s="111" t="str">
        <x:v>Dual-use and sensitive goods SHALL capture ultimate consignee, end user, end use, installation/project, military/intelligence/nuclear/chemical/biological/missile indicators and diversion risk.</x:v>
      </x:c>
      <x:c r="F41" s="111" t="str">
        <x:v>Controlled-goods trigger</x:v>
      </x:c>
      <x:c r="G41" s="111" t="str">
        <x:v>Classification, parties, end-use answers, destination</x:v>
      </x:c>
      <x:c r="H41" s="111" t="str">
        <x:v>Licence/no-licence/review/block</x:v>
      </x:c>
      <x:c r="I41" s="111" t="str">
        <x:v>Export-control specialist/external approver</x:v>
      </x:c>
      <x:c r="J41" s="111" t="str">
        <x:v>Hold</x:v>
      </x:c>
      <x:c r="K41" s="111" t="str">
        <x:v>Questionnaire, review and licence</x:v>
      </x:c>
      <x:c r="L41" s="111" t="str">
        <x:v>SRC-SAN-001, SRC-SAN-002, SRC-SAN-003, SRC-SAN-005, SRC-SAN-006, SRC-PRV-002</x:v>
      </x:c>
      <x:c r="M41" s="111" t="str">
        <x:v>T-PTY-010</x:v>
      </x:c>
    </x:row>
    <x:row r="42" ht="66" customHeight="1">
      <x:c r="A42" s="110" t="str">
        <x:v>PTY-011</x:v>
      </x:c>
      <x:c r="B42" s="110" t="str">
        <x:v>Parties, addresses &amp; screening</x:v>
      </x:c>
      <x:c r="C42" s="110" t="str">
        <x:v>Anti-diversion anomaly rules</x:v>
      </x:c>
      <x:c r="D42" s="110" t="str">
        <x:v>MUST</x:v>
      </x:c>
      <x:c r="E42" s="110" t="str">
        <x:v>Rules SHALL flag rerouting, inconsistent consignee/end user, freight-forwarder opacity, unusual quantity/value, transshipment hubs, repeated split shipments and high-risk payment or address patterns.</x:v>
      </x:c>
      <x:c r="F42" s="110" t="str">
        <x:v>Order and behavioral event</x:v>
      </x:c>
      <x:c r="G42" s="110" t="str">
        <x:v>History, lane, parties, product, routing</x:v>
      </x:c>
      <x:c r="H42" s="110" t="str">
        <x:v>Risk alert</x:v>
      </x:c>
      <x:c r="I42" s="110" t="str">
        <x:v>Risk/export-control review</x:v>
      </x:c>
      <x:c r="J42" s="110" t="str">
        <x:v>Hold based on risk tier</x:v>
      </x:c>
      <x:c r="K42" s="110" t="str">
        <x:v>Feature values and disposition</x:v>
      </x:c>
      <x:c r="L42" s="110" t="str">
        <x:v>SRC-SAN-001, SRC-SAN-002, SRC-SAN-003, SRC-SAN-005, SRC-SAN-006, SRC-PRV-002</x:v>
      </x:c>
      <x:c r="M42" s="110" t="str">
        <x:v>T-PTY-011</x:v>
      </x:c>
    </x:row>
    <x:row r="43" ht="66" customHeight="1">
      <x:c r="A43" s="111" t="str">
        <x:v>PTY-012</x:v>
      </x:c>
      <x:c r="B43" s="111" t="str">
        <x:v>Parties, addresses &amp; screening</x:v>
      </x:c>
      <x:c r="C43" s="111" t="str">
        <x:v>Personal-data minimization</x:v>
      </x:c>
      <x:c r="D43" s="111" t="str">
        <x:v>MUST</x:v>
      </x:c>
      <x:c r="E43" s="111" t="str">
        <x:v>Screening records SHALL store only necessary personal data, with purpose, retention and restricted access; sensitive IDs SHALL be tokenized/masked and omitted from labels/docs unless required.</x:v>
      </x:c>
      <x:c r="F43" s="111" t="str">
        <x:v>Data collection/export</x:v>
      </x:c>
      <x:c r="G43" s="111" t="str">
        <x:v>Purpose and schema requirement</x:v>
      </x:c>
      <x:c r="H43" s="111" t="str">
        <x:v>Allowed fields and redaction</x:v>
      </x:c>
      <x:c r="I43" s="111" t="str">
        <x:v>Privacy policy</x:v>
      </x:c>
      <x:c r="J43" s="111" t="str">
        <x:v>Reject excessive collection/export</x:v>
      </x:c>
      <x:c r="K43" s="111" t="str">
        <x:v>Field-level purpose trace</x:v>
      </x:c>
      <x:c r="L43" s="111" t="str">
        <x:v>SRC-SAN-001, SRC-SAN-002, SRC-SAN-003, SRC-SAN-005, SRC-SAN-006, SRC-PRV-002</x:v>
      </x:c>
      <x:c r="M43" s="111" t="str">
        <x:v>T-PTY-012</x:v>
      </x:c>
    </x:row>
    <x:row r="44" ht="66" customHeight="1">
      <x:c r="A44" s="110" t="str">
        <x:v>COM-001</x:v>
      </x:c>
      <x:c r="B44" s="110" t="str">
        <x:v>Commodity, classification, origin &amp; value</x:v>
      </x:c>
      <x:c r="C44" s="110" t="str">
        <x:v>Immutable commercial description</x:v>
      </x:c>
      <x:c r="D44" s="110" t="str">
        <x:v>MUST</x:v>
      </x:c>
      <x:c r="E44" s="110" t="str">
        <x:v>Each item SHALL have a specific, plain-language description stating what it is, material/composition, function/use, brand/model where relevant and condition; vague terms such as parts, sample or gift alone are prohibited.</x:v>
      </x:c>
      <x:c r="F44" s="110" t="str">
        <x:v>Item create/update</x:v>
      </x:c>
      <x:c r="G44" s="110" t="str">
        <x:v>Product description attributes</x:v>
      </x:c>
      <x:c r="H44" s="110" t="str">
        <x:v>Accepted description or remediation</x:v>
      </x:c>
      <x:c r="I44" s="110" t="str">
        <x:v>Automated; classifier if flagged</x:v>
      </x:c>
      <x:c r="J44" s="110" t="str">
        <x:v>Hold item</x:v>
      </x:c>
      <x:c r="K44" s="110" t="str">
        <x:v>Description version</x:v>
      </x:c>
      <x:c r="L44" s="110" t="str">
        <x:v>SRC-CUS-005, SRC-CUS-008, SRC-CUS-009, SRC-CUS-010, SRC-AIR-004, SRC-AIR-005</x:v>
      </x:c>
      <x:c r="M44" s="110" t="str">
        <x:v>T-COM-001</x:v>
      </x:c>
    </x:row>
    <x:row r="45" ht="66" customHeight="1">
      <x:c r="A45" s="111" t="str">
        <x:v>COM-002</x:v>
      </x:c>
      <x:c r="B45" s="111" t="str">
        <x:v>Commodity, classification, origin &amp; value</x:v>
      </x:c>
      <x:c r="C45" s="111" t="str">
        <x:v>HS six-digit baseline</x:v>
      </x:c>
      <x:c r="D45" s="111" t="str">
        <x:v>MUST</x:v>
      </x:c>
      <x:c r="E45" s="111" t="str">
        <x:v>Each goods line SHALL have a justified HS classification at least to six digits when required for the flow, plus origin/export and destination national extensions where applicable.</x:v>
      </x:c>
      <x:c r="F45" s="111" t="str">
        <x:v>International goods shipment</x:v>
      </x:c>
      <x:c r="G45" s="111" t="str">
        <x:v>Product composition/function and tariff versions</x:v>
      </x:c>
      <x:c r="H45" s="111" t="str">
        <x:v>HS/national codes with confidence and rationale</x:v>
      </x:c>
      <x:c r="I45" s="111" t="str">
        <x:v>Qualified classifier for low-confidence/high-risk</x:v>
      </x:c>
      <x:c r="J45" s="111" t="str">
        <x:v>Hold</x:v>
      </x:c>
      <x:c r="K45" s="111" t="str">
        <x:v>Classification decision and source</x:v>
      </x:c>
      <x:c r="L45" s="111" t="str">
        <x:v>SRC-CUS-005, SRC-CUS-008, SRC-CUS-009, SRC-CUS-010, SRC-AIR-004, SRC-AIR-005</x:v>
      </x:c>
      <x:c r="M45" s="111" t="str">
        <x:v>T-COM-002</x:v>
      </x:c>
    </x:row>
    <x:row r="46" ht="66" customHeight="1">
      <x:c r="A46" s="110" t="str">
        <x:v>COM-003</x:v>
      </x:c>
      <x:c r="B46" s="110" t="str">
        <x:v>Commodity, classification, origin &amp; value</x:v>
      </x:c>
      <x:c r="C46" s="110" t="str">
        <x:v>No code inference from description alone</x:v>
      </x:c>
      <x:c r="D46" s="110" t="str">
        <x:v>MUST</x:v>
      </x:c>
      <x:c r="E46" s="110" t="str">
        <x:v>Machine suggestions MAY propose classifications but SHALL expose rationale, confidence and alternatives; controlled, high-duty, quota, antidumping or regulated classifications require qualified human confirmation.</x:v>
      </x:c>
      <x:c r="F46" s="110" t="str">
        <x:v>Classification</x:v>
      </x:c>
      <x:c r="G46" s="110" t="str">
        <x:v>Product dossier and model output</x:v>
      </x:c>
      <x:c r="H46" s="110" t="str">
        <x:v>Suggestion/reviewed classification</x:v>
      </x:c>
      <x:c r="I46" s="110" t="str">
        <x:v>Qualified classifier</x:v>
      </x:c>
      <x:c r="J46" s="110" t="str">
        <x:v>Hold regulated/low-confidence goods</x:v>
      </x:c>
      <x:c r="K46" s="110" t="str">
        <x:v>Model version and reviewer</x:v>
      </x:c>
      <x:c r="L46" s="110" t="str">
        <x:v>SRC-CUS-005, SRC-CUS-008, SRC-CUS-009, SRC-CUS-010, SRC-AIR-004, SRC-AIR-005</x:v>
      </x:c>
      <x:c r="M46" s="110" t="str">
        <x:v>T-COM-003</x:v>
      </x:c>
    </x:row>
    <x:row r="47" ht="66" customHeight="1">
      <x:c r="A47" s="111" t="str">
        <x:v>COM-004</x:v>
      </x:c>
      <x:c r="B47" s="111" t="str">
        <x:v>Commodity, classification, origin &amp; value</x:v>
      </x:c>
      <x:c r="C47" s="111" t="str">
        <x:v>Classification validity</x:v>
      </x:c>
      <x:c r="D47" s="111" t="str">
        <x:v>MUST</x:v>
      </x:c>
      <x:c r="E47" s="111" t="str">
        <x:v>Classifications SHALL be linked to product version, jurisdiction, nomenclature edition, ruling/decision evidence and validity dates; material/product changes invalidate them.</x:v>
      </x:c>
      <x:c r="F47" s="111" t="str">
        <x:v>Product or tariff change</x:v>
      </x:c>
      <x:c r="G47" s="111" t="str">
        <x:v>Product version, code version, ruling</x:v>
      </x:c>
      <x:c r="H47" s="111" t="str">
        <x:v>Valid/review required</x:v>
      </x:c>
      <x:c r="I47" s="111" t="str">
        <x:v>Automated; classifier</x:v>
      </x:c>
      <x:c r="J47" s="111" t="str">
        <x:v>Hold if invalid</x:v>
      </x:c>
      <x:c r="K47" s="111" t="str">
        <x:v>Version links</x:v>
      </x:c>
      <x:c r="L47" s="111" t="str">
        <x:v>SRC-CUS-005, SRC-CUS-008, SRC-CUS-009, SRC-CUS-010, SRC-AIR-004, SRC-AIR-005</x:v>
      </x:c>
      <x:c r="M47" s="111" t="str">
        <x:v>T-COM-004</x:v>
      </x:c>
    </x:row>
    <x:row r="48" ht="66" customHeight="1">
      <x:c r="A48" s="110" t="str">
        <x:v>COM-005</x:v>
      </x:c>
      <x:c r="B48" s="110" t="str">
        <x:v>Commodity, classification, origin &amp; value</x:v>
      </x:c>
      <x:c r="C48" s="110" t="str">
        <x:v>Binding ruling support</x:v>
      </x:c>
      <x:c r="D48" s="110" t="str">
        <x:v>MUST</x:v>
      </x:c>
      <x:c r="E48" s="110" t="str">
        <x:v>The system SHALL store binding/pre-classification rulings, jurisdiction, holder, product scope, decision number and validity; it SHALL not apply one tenant's ruling to another without legal basis.</x:v>
      </x:c>
      <x:c r="F48" s="110" t="str">
        <x:v>Classification</x:v>
      </x:c>
      <x:c r="G48" s="110" t="str">
        <x:v>Ruling evidence and owner</x:v>
      </x:c>
      <x:c r="H48" s="110" t="str">
        <x:v>Applicable/not applicable</x:v>
      </x:c>
      <x:c r="I48" s="110" t="str">
        <x:v>Qualified classifier</x:v>
      </x:c>
      <x:c r="J48" s="110" t="str">
        <x:v>Ignore/hold if uncertain</x:v>
      </x:c>
      <x:c r="K48" s="110" t="str">
        <x:v>Ruling document and scope</x:v>
      </x:c>
      <x:c r="L48" s="110" t="str">
        <x:v>SRC-CUS-005, SRC-CUS-008, SRC-CUS-009, SRC-CUS-010, SRC-AIR-004, SRC-AIR-005</x:v>
      </x:c>
      <x:c r="M48" s="110" t="str">
        <x:v>T-COM-005</x:v>
      </x:c>
    </x:row>
    <x:row r="49" ht="66" customHeight="1">
      <x:c r="A49" s="111" t="str">
        <x:v>COM-006</x:v>
      </x:c>
      <x:c r="B49" s="111" t="str">
        <x:v>Commodity, classification, origin &amp; value</x:v>
      </x:c>
      <x:c r="C49" s="111" t="str">
        <x:v>Export-control classification</x:v>
      </x:c>
      <x:c r="D49" s="111" t="str">
        <x:v>MUST</x:v>
      </x:c>
      <x:c r="E49" s="111" t="str">
        <x:v>Products SHALL support jurisdiction-specific control codes including ECCN/local dual-use or military-list codes, US-origin/content/technology nexuses and not-controlled rationale.</x:v>
      </x:c>
      <x:c r="F49" s="111" t="str">
        <x:v>Sensitive product/lane</x:v>
      </x:c>
      <x:c r="G49" s="111" t="str">
        <x:v>Technical parameters, origins, classifications</x:v>
      </x:c>
      <x:c r="H49" s="111" t="str">
        <x:v>Control status and licensing path</x:v>
      </x:c>
      <x:c r="I49" s="111" t="str">
        <x:v>Export-control specialist</x:v>
      </x:c>
      <x:c r="J49" s="111" t="str">
        <x:v>Hold unknown sensitive goods</x:v>
      </x:c>
      <x:c r="K49" s="111" t="str">
        <x:v>Technical assessment</x:v>
      </x:c>
      <x:c r="L49" s="111" t="str">
        <x:v>SRC-CUS-005, SRC-CUS-008, SRC-CUS-009, SRC-CUS-010, SRC-AIR-004, SRC-AIR-005</x:v>
      </x:c>
      <x:c r="M49" s="111" t="str">
        <x:v>T-COM-006</x:v>
      </x:c>
    </x:row>
    <x:row r="50" ht="66" customHeight="1">
      <x:c r="A50" s="110" t="str">
        <x:v>COM-007</x:v>
      </x:c>
      <x:c r="B50" s="110" t="str">
        <x:v>Commodity, classification, origin &amp; value</x:v>
      </x:c>
      <x:c r="C50" s="110" t="str">
        <x:v>Dangerous-goods identity</x:v>
      </x:c>
      <x:c r="D50" s="110" t="str">
        <x:v>MUST</x:v>
      </x:c>
      <x:c r="E50" s="110" t="str">
        <x:v>Potential DG products SHALL capture proper shipping name, UN/ID number, class/division, subsidiary risk, packing group, hazard labels, special provisions, packing instruction, quantity limits, flash point and marine pollutant where relevant.</x:v>
      </x:c>
      <x:c r="F50" s="110" t="str">
        <x:v>Product screening</x:v>
      </x:c>
      <x:c r="G50" s="110" t="str">
        <x:v>SDS, test reports, composition, battery attributes</x:v>
      </x:c>
      <x:c r="H50" s="110" t="str">
        <x:v>DG profile</x:v>
      </x:c>
      <x:c r="I50" s="110" t="str">
        <x:v>Certified DG reviewer</x:v>
      </x:c>
      <x:c r="J50" s="110" t="str">
        <x:v>Quarantine/hold</x:v>
      </x:c>
      <x:c r="K50" s="110" t="str">
        <x:v>Approved DG record</x:v>
      </x:c>
      <x:c r="L50" s="110" t="str">
        <x:v>SRC-CUS-005, SRC-CUS-008, SRC-CUS-009, SRC-CUS-010, SRC-AIR-004, SRC-AIR-005</x:v>
      </x:c>
      <x:c r="M50" s="110" t="str">
        <x:v>T-COM-007</x:v>
      </x:c>
    </x:row>
    <x:row r="51" ht="66" customHeight="1">
      <x:c r="A51" s="111" t="str">
        <x:v>COM-008</x:v>
      </x:c>
      <x:c r="B51" s="111" t="str">
        <x:v>Commodity, classification, origin &amp; value</x:v>
      </x:c>
      <x:c r="C51" s="111" t="str">
        <x:v>Lithium battery profile</x:v>
      </x:c>
      <x:c r="D51" s="111" t="str">
        <x:v>MUST</x:v>
      </x:c>
      <x:c r="E51" s="111" t="str">
        <x:v>Cells/batteries SHALL capture chemistry, UN number, watt-hours/lithium content, cell/battery count, net battery mass, state of charge where applicable, contained/packed-with/standalone configuration, prototype/production-run status, damage/defect/recall status and UN 38.3 evidence.</x:v>
      </x:c>
      <x:c r="F51" s="111" t="str">
        <x:v>Battery product or component</x:v>
      </x:c>
      <x:c r="G51" s="111" t="str">
        <x:v>Battery/test/manufacturer data</x:v>
      </x:c>
      <x:c r="H51" s="111" t="str">
        <x:v>Permitted configuration and conditions</x:v>
      </x:c>
      <x:c r="I51" s="111" t="str">
        <x:v>Certified DG reviewer</x:v>
      </x:c>
      <x:c r="J51" s="111" t="str">
        <x:v>Block damaged/unknown; hold others</x:v>
      </x:c>
      <x:c r="K51" s="111" t="str">
        <x:v>UN 38.3 summary and approval</x:v>
      </x:c>
      <x:c r="L51" s="111" t="str">
        <x:v>SRC-CUS-005, SRC-CUS-008, SRC-CUS-009, SRC-CUS-010, SRC-AIR-004, SRC-AIR-005</x:v>
      </x:c>
      <x:c r="M51" s="111" t="str">
        <x:v>T-COM-008</x:v>
      </x:c>
    </x:row>
    <x:row r="52" ht="66" customHeight="1">
      <x:c r="A52" s="110" t="str">
        <x:v>COM-009</x:v>
      </x:c>
      <x:c r="B52" s="110" t="str">
        <x:v>Commodity, classification, origin &amp; value</x:v>
      </x:c>
      <x:c r="C52" s="110" t="str">
        <x:v>Food/pharma/device profile</x:v>
      </x:c>
      <x:c r="D52" s="110" t="str">
        <x:v>MUST</x:v>
      </x:c>
      <x:c r="E52" s="110" t="str">
        <x:v>Regulated items SHALL capture regulatory category, ingredients/materials, allergens where relevant, manufacturer/site registrations, product/marketing authorizations, lot/batch/serial/UDI, shelf life and temperature/storage range.</x:v>
      </x:c>
      <x:c r="F52" s="110" t="str">
        <x:v>Regulated product</x:v>
      </x:c>
      <x:c r="G52" s="110" t="str">
        <x:v>Product regulatory dossier</x:v>
      </x:c>
      <x:c r="H52" s="110" t="str">
        <x:v>Country-specific eligibility inputs</x:v>
      </x:c>
      <x:c r="I52" s="110" t="str">
        <x:v>Qualified life-sciences/food reviewer</x:v>
      </x:c>
      <x:c r="J52" s="110" t="str">
        <x:v>Hold</x:v>
      </x:c>
      <x:c r="K52" s="110" t="str">
        <x:v>Dossier version</x:v>
      </x:c>
      <x:c r="L52" s="110" t="str">
        <x:v>SRC-CUS-005, SRC-CUS-008, SRC-CUS-009, SRC-CUS-010, SRC-AIR-004, SRC-AIR-005</x:v>
      </x:c>
      <x:c r="M52" s="110" t="str">
        <x:v>T-COM-009</x:v>
      </x:c>
    </x:row>
    <x:row r="53" ht="66" customHeight="1">
      <x:c r="A53" s="111" t="str">
        <x:v>COM-010</x:v>
      </x:c>
      <x:c r="B53" s="111" t="str">
        <x:v>Commodity, classification, origin &amp; value</x:v>
      </x:c>
      <x:c r="C53" s="111" t="str">
        <x:v>Alcohol/tobacco/excise profile</x:v>
      </x:c>
      <x:c r="D53" s="111" t="str">
        <x:v>MUST</x:v>
      </x:c>
      <x:c r="E53" s="111" t="str">
        <x:v>Excise goods SHALL capture type, alcohol by volume or tobacco category, volume/quantity, tax stamps/marks, licences, label approvals, producer/importer registrations and age-delivery constraints.</x:v>
      </x:c>
      <x:c r="F53" s="111" t="str">
        <x:v>Excise product</x:v>
      </x:c>
      <x:c r="G53" s="111" t="str">
        <x:v>Product and licence data</x:v>
      </x:c>
      <x:c r="H53" s="111" t="str">
        <x:v>Excise workflow</x:v>
      </x:c>
      <x:c r="I53" s="111" t="str">
        <x:v>Excise compliance reviewer</x:v>
      </x:c>
      <x:c r="J53" s="111" t="str">
        <x:v>Hold/block</x:v>
      </x:c>
      <x:c r="K53" s="111" t="str">
        <x:v>Licence/approval evidence</x:v>
      </x:c>
      <x:c r="L53" s="111" t="str">
        <x:v>SRC-CUS-005, SRC-CUS-008, SRC-CUS-009, SRC-CUS-010, SRC-AIR-004, SRC-AIR-005</x:v>
      </x:c>
      <x:c r="M53" s="111" t="str">
        <x:v>T-COM-010</x:v>
      </x:c>
    </x:row>
    <x:row r="54" ht="66" customHeight="1">
      <x:c r="A54" s="110" t="str">
        <x:v>COM-011</x:v>
      </x:c>
      <x:c r="B54" s="110" t="str">
        <x:v>Commodity, classification, origin &amp; value</x:v>
      </x:c>
      <x:c r="C54" s="110" t="str">
        <x:v>Wildlife/cultural/precious screening</x:v>
      </x:c>
      <x:c r="D54" s="110" t="str">
        <x:v>MUST</x:v>
      </x:c>
      <x:c r="E54" s="110" t="str">
        <x:v>Materials/species, age/provenance, cultural-property category, artist/object identifiers, rough-diamond status, precious metal/stones, valuation evidence and required certificates SHALL be captured for triggered goods.</x:v>
      </x:c>
      <x:c r="F54" s="110" t="str">
        <x:v>Material/keyword/value trigger</x:v>
      </x:c>
      <x:c r="G54" s="110" t="str">
        <x:v>Product provenance and certificate data</x:v>
      </x:c>
      <x:c r="H54" s="110" t="str">
        <x:v>Permit/provenance path</x:v>
      </x:c>
      <x:c r="I54" s="110" t="str">
        <x:v>Specialist/external authority</x:v>
      </x:c>
      <x:c r="J54" s="110" t="str">
        <x:v>Hold</x:v>
      </x:c>
      <x:c r="K54" s="110" t="str">
        <x:v>Certificates and screening results</x:v>
      </x:c>
      <x:c r="L54" s="110" t="str">
        <x:v>SRC-CUS-005, SRC-CUS-008, SRC-CUS-009, SRC-CUS-010, SRC-AIR-004, SRC-AIR-005</x:v>
      </x:c>
      <x:c r="M54" s="110" t="str">
        <x:v>T-COM-011</x:v>
      </x:c>
    </x:row>
    <x:row r="55" ht="66" customHeight="1">
      <x:c r="A55" s="111" t="str">
        <x:v>COM-012</x:v>
      </x:c>
      <x:c r="B55" s="111" t="str">
        <x:v>Commodity, classification, origin &amp; value</x:v>
      </x:c>
      <x:c r="C55" s="111" t="str">
        <x:v>Country of origin</x:v>
      </x:c>
      <x:c r="D55" s="111" t="str">
        <x:v>MUST</x:v>
      </x:c>
      <x:c r="E55" s="111" t="str">
        <x:v>Each line SHALL distinguish country of manufacture/growth/production from ship-from country and preferential origin; rules of origin and required evidence SHALL be versioned by agreement and destination.</x:v>
      </x:c>
      <x:c r="F55" s="111" t="str">
        <x:v>Declaration/FTA claim</x:v>
      </x:c>
      <x:c r="G55" s="111" t="str">
        <x:v>Production facts, materials, agreements, certificates</x:v>
      </x:c>
      <x:c r="H55" s="111" t="str">
        <x:v>Non-preferential and preferential outcomes</x:v>
      </x:c>
      <x:c r="I55" s="111" t="str">
        <x:v>Origin specialist for claims</x:v>
      </x:c>
      <x:c r="J55" s="111" t="str">
        <x:v>No preference or hold if origin mandatory</x:v>
      </x:c>
      <x:c r="K55" s="111" t="str">
        <x:v>Origin determination</x:v>
      </x:c>
      <x:c r="L55" s="111" t="str">
        <x:v>SRC-CUS-005, SRC-CUS-008, SRC-CUS-009, SRC-CUS-010, SRC-AIR-004, SRC-AIR-005</x:v>
      </x:c>
      <x:c r="M55" s="111" t="str">
        <x:v>T-COM-012</x:v>
      </x:c>
    </x:row>
    <x:row r="56" ht="66" customHeight="1">
      <x:c r="A56" s="110" t="str">
        <x:v>COM-013</x:v>
      </x:c>
      <x:c r="B56" s="110" t="str">
        <x:v>Commodity, classification, origin &amp; value</x:v>
      </x:c>
      <x:c r="C56" s="110" t="str">
        <x:v>Valuation method</x:v>
      </x:c>
      <x:c r="D56" s="110" t="str">
        <x:v>MUST</x:v>
      </x:c>
      <x:c r="E56" s="110" t="str">
        <x:v>Customs value SHALL be determined per destination rules using transaction value where applicable and required additions/deductions; alternatives, related-party adjustments, assists, royalties, freight and insurance SHALL be explicit.</x:v>
      </x:c>
      <x:c r="F56" s="110" t="str">
        <x:v>Customs declaration</x:v>
      </x:c>
      <x:c r="G56" s="110" t="str">
        <x:v>Invoice, Incoterm, charges, relationship, adjustments</x:v>
      </x:c>
      <x:c r="H56" s="110" t="str">
        <x:v>Line and declaration values/method</x:v>
      </x:c>
      <x:c r="I56" s="110" t="str">
        <x:v>Qualified customs reviewer for exceptions</x:v>
      </x:c>
      <x:c r="J56" s="110" t="str">
        <x:v>Hold on incomplete/zero/implausible value</x:v>
      </x:c>
      <x:c r="K56" s="110" t="str">
        <x:v>Calculation trace</x:v>
      </x:c>
      <x:c r="L56" s="110" t="str">
        <x:v>SRC-CUS-005, SRC-CUS-008, SRC-CUS-009, SRC-CUS-010, SRC-AIR-004, SRC-AIR-005</x:v>
      </x:c>
      <x:c r="M56" s="110" t="str">
        <x:v>T-COM-013</x:v>
      </x:c>
    </x:row>
    <x:row r="57" ht="66" customHeight="1">
      <x:c r="A57" s="111" t="str">
        <x:v>COM-014</x:v>
      </x:c>
      <x:c r="B57" s="111" t="str">
        <x:v>Commodity, classification, origin &amp; value</x:v>
      </x:c>
      <x:c r="C57" s="111" t="str">
        <x:v>Currency conversion</x:v>
      </x:c>
      <x:c r="D57" s="111" t="str">
        <x:v>MUST</x:v>
      </x:c>
      <x:c r="E57" s="111" t="str">
        <x:v>The engine SHALL use the customs-authority exchange rate and period applicable to the declaration, retaining source, rate, date and original currency; carrier estimates SHALL be labelled non-authoritative.</x:v>
      </x:c>
      <x:c r="F57" s="111" t="str">
        <x:v>Value conversion</x:v>
      </x:c>
      <x:c r="G57" s="111" t="str">
        <x:v>Currency, declaration date, authority rate</x:v>
      </x:c>
      <x:c r="H57" s="111" t="str">
        <x:v>Converted customs value</x:v>
      </x:c>
      <x:c r="I57" s="111" t="str">
        <x:v>Automated</x:v>
      </x:c>
      <x:c r="J57" s="111" t="str">
        <x:v>Hold if authoritative rate unavailable</x:v>
      </x:c>
      <x:c r="K57" s="111" t="str">
        <x:v>Rate snapshot</x:v>
      </x:c>
      <x:c r="L57" s="111" t="str">
        <x:v>SRC-CUS-005, SRC-CUS-008, SRC-CUS-009, SRC-CUS-010, SRC-AIR-004, SRC-AIR-005</x:v>
      </x:c>
      <x:c r="M57" s="111" t="str">
        <x:v>T-COM-014</x:v>
      </x:c>
    </x:row>
    <x:row r="58" ht="66" customHeight="1">
      <x:c r="A58" s="110" t="str">
        <x:v>COM-015</x:v>
      </x:c>
      <x:c r="B58" s="110" t="str">
        <x:v>Commodity, classification, origin &amp; value</x:v>
      </x:c>
      <x:c r="C58" s="110" t="str">
        <x:v>Zero-value prohibition</x:v>
      </x:c>
      <x:c r="D58" s="110" t="str">
        <x:v>MUST</x:v>
      </x:c>
      <x:c r="E58" s="110" t="str">
        <x:v>Commercial, gift, sample, return, warranty and personal-effect goods SHALL carry a defensible customs value even when no sale occurs; zero value is rejected unless an explicit country-pack exception exists.</x:v>
      </x:c>
      <x:c r="F58" s="110" t="str">
        <x:v>Line valuation</x:v>
      </x:c>
      <x:c r="G58" s="110" t="str">
        <x:v>Flow type and valuation basis</x:v>
      </x:c>
      <x:c r="H58" s="110" t="str">
        <x:v>Accepted value or hold</x:v>
      </x:c>
      <x:c r="I58" s="110" t="str">
        <x:v>Automated; reviewer for nominal value</x:v>
      </x:c>
      <x:c r="J58" s="110" t="str">
        <x:v>Hold</x:v>
      </x:c>
      <x:c r="K58" s="110" t="str">
        <x:v>Valuation explanation</x:v>
      </x:c>
      <x:c r="L58" s="110" t="str">
        <x:v>SRC-CUS-005, SRC-CUS-008, SRC-CUS-009, SRC-CUS-010, SRC-AIR-004, SRC-AIR-005</x:v>
      </x:c>
      <x:c r="M58" s="110" t="str">
        <x:v>T-COM-015</x:v>
      </x:c>
    </x:row>
    <x:row r="59" ht="66" customHeight="1">
      <x:c r="A59" s="111" t="str">
        <x:v>COM-016</x:v>
      </x:c>
      <x:c r="B59" s="111" t="str">
        <x:v>Commodity, classification, origin &amp; value</x:v>
      </x:c>
      <x:c r="C59" s="111" t="str">
        <x:v>Freight/insurance allocation</x:v>
      </x:c>
      <x:c r="D59" s="111" t="str">
        <x:v>MUST</x:v>
      </x:c>
      <x:c r="E59" s="111" t="str">
        <x:v>Where required, transport, insurance, assists and other additions SHALL be allocated to lines using a documented method with consistent rounding and reconciliation to declaration totals.</x:v>
      </x:c>
      <x:c r="F59" s="111" t="str">
        <x:v>Value calculation</x:v>
      </x:c>
      <x:c r="G59" s="111" t="str">
        <x:v>Charges and allocation basis</x:v>
      </x:c>
      <x:c r="H59" s="111" t="str">
        <x:v>Reconciled line values</x:v>
      </x:c>
      <x:c r="I59" s="111" t="str">
        <x:v>Automated</x:v>
      </x:c>
      <x:c r="J59" s="111" t="str">
        <x:v>Hold on mismatch</x:v>
      </x:c>
      <x:c r="K59" s="111" t="str">
        <x:v>Allocation ledger</x:v>
      </x:c>
      <x:c r="L59" s="111" t="str">
        <x:v>SRC-CUS-005, SRC-CUS-008, SRC-CUS-009, SRC-CUS-010, SRC-AIR-004, SRC-AIR-005</x:v>
      </x:c>
      <x:c r="M59" s="111" t="str">
        <x:v>T-COM-016</x:v>
      </x:c>
    </x:row>
    <x:row r="60" ht="66" customHeight="1">
      <x:c r="A60" s="110" t="str">
        <x:v>COM-017</x:v>
      </x:c>
      <x:c r="B60" s="110" t="str">
        <x:v>Commodity, classification, origin &amp; value</x:v>
      </x:c>
      <x:c r="C60" s="110" t="str">
        <x:v>Tariff measure evaluation</x:v>
      </x:c>
      <x:c r="D60" s="110" t="str">
        <x:v>MUST</x:v>
      </x:c>
      <x:c r="E60" s="110" t="str">
        <x:v>Destination national tariff measures SHALL be evaluated for duties, VAT/GST, excise, safeguards, quotas, antidumping/countervailing duties, prohibitions, licences, certificates and agency referrals.</x:v>
      </x:c>
      <x:c r="F60" s="110" t="str">
        <x:v>Rate/service decision</x:v>
      </x:c>
      <x:c r="G60" s="110" t="str">
        <x:v>National code, origin, value, quantity, dates</x:v>
      </x:c>
      <x:c r="H60" s="110" t="str">
        <x:v>Measure set and cost/condition estimate</x:v>
      </x:c>
      <x:c r="I60" s="110" t="str">
        <x:v>Automated; specialist review for trade remedies</x:v>
      </x:c>
      <x:c r="J60" s="110" t="str">
        <x:v>Hold if measures unresolved</x:v>
      </x:c>
      <x:c r="K60" s="110" t="str">
        <x:v>Tariff source/version</x:v>
      </x:c>
      <x:c r="L60" s="110" t="str">
        <x:v>SRC-CUS-005, SRC-CUS-008, SRC-CUS-009, SRC-CUS-010, SRC-AIR-004, SRC-AIR-005</x:v>
      </x:c>
      <x:c r="M60" s="110" t="str">
        <x:v>T-COM-017</x:v>
      </x:c>
    </x:row>
    <x:row r="61" ht="66" customHeight="1">
      <x:c r="A61" s="111" t="str">
        <x:v>COM-018</x:v>
      </x:c>
      <x:c r="B61" s="111" t="str">
        <x:v>Commodity, classification, origin &amp; value</x:v>
      </x:c>
      <x:c r="C61" s="111" t="str">
        <x:v>Landed-cost status</x:v>
      </x:c>
      <x:c r="D61" s="111" t="str">
        <x:v>MUST</x:v>
      </x:c>
      <x:c r="E61" s="111" t="str">
        <x:v>Duty/tax calculations SHALL be identified as estimate or authority/carrier-assessed. DDP shall not be offered unless the carrier supports it and importer/tax/fee/payment responsibilities are valid for the lane.</x:v>
      </x:c>
      <x:c r="F61" s="111" t="str">
        <x:v>Quote and ship</x:v>
      </x:c>
      <x:c r="G61" s="111" t="str">
        <x:v>Incoterm, carrier product, importer, tax IDs, measures</x:v>
      </x:c>
      <x:c r="H61" s="111" t="str">
        <x:v>Eligible DDP/DAP and cost breakdown</x:v>
      </x:c>
      <x:c r="I61" s="111" t="str">
        <x:v>Automated</x:v>
      </x:c>
      <x:c r="J61" s="111" t="str">
        <x:v>Fallback only with explicit user choice; otherwise hold</x:v>
      </x:c>
      <x:c r="K61" s="111" t="str">
        <x:v>Calculation and carrier response</x:v>
      </x:c>
      <x:c r="L61" s="111" t="str">
        <x:v>SRC-CUS-005, SRC-CUS-008, SRC-CUS-009, SRC-CUS-010, SRC-AIR-004, SRC-AIR-005</x:v>
      </x:c>
      <x:c r="M61" s="111" t="str">
        <x:v>T-COM-018</x:v>
      </x:c>
    </x:row>
    <x:row r="62" ht="66" customHeight="1">
      <x:c r="A62" s="110" t="str">
        <x:v>COM-019</x:v>
      </x:c>
      <x:c r="B62" s="110" t="str">
        <x:v>Commodity, classification, origin &amp; value</x:v>
      </x:c>
      <x:c r="C62" s="110" t="str">
        <x:v>Quantity and unit normalization</x:v>
      </x:c>
      <x:c r="D62" s="110" t="str">
        <x:v>MUST</x:v>
      </x:c>
      <x:c r="E62" s="110" t="str">
        <x:v>Customs, DG, excise and tariff quantities SHALL retain original units and normalized units using versioned conversions; net/gross weights and package/line totals SHALL reconcile.</x:v>
      </x:c>
      <x:c r="F62" s="110" t="str">
        <x:v>Item/package update</x:v>
      </x:c>
      <x:c r="G62" s="110" t="str">
        <x:v>Quantities, UOM, conversions</x:v>
      </x:c>
      <x:c r="H62" s="110" t="str">
        <x:v>Validated totals</x:v>
      </x:c>
      <x:c r="I62" s="110" t="str">
        <x:v>Automated</x:v>
      </x:c>
      <x:c r="J62" s="110" t="str">
        <x:v>Hold mismatch</x:v>
      </x:c>
      <x:c r="K62" s="110" t="str">
        <x:v>Conversion version</x:v>
      </x:c>
      <x:c r="L62" s="110" t="str">
        <x:v>SRC-CUS-005, SRC-CUS-008, SRC-CUS-009, SRC-CUS-010, SRC-AIR-004, SRC-AIR-005</x:v>
      </x:c>
      <x:c r="M62" s="110" t="str">
        <x:v>T-COM-019</x:v>
      </x:c>
    </x:row>
    <x:row r="63" ht="66" customHeight="1">
      <x:c r="A63" s="111" t="str">
        <x:v>COM-020</x:v>
      </x:c>
      <x:c r="B63" s="111" t="str">
        <x:v>Commodity, classification, origin &amp; value</x:v>
      </x:c>
      <x:c r="C63" s="111" t="str">
        <x:v>Product change rescreening</x:v>
      </x:c>
      <x:c r="D63" s="111" t="str">
        <x:v>MUST</x:v>
      </x:c>
      <x:c r="E63" s="111" t="str">
        <x:v>A change to composition, manufacturer, model, firmware/cryptography, battery, value, origin, packaging or intended use SHALL invalidate affected classifications and permissions.</x:v>
      </x:c>
      <x:c r="F63" s="111" t="str">
        <x:v>Product change</x:v>
      </x:c>
      <x:c r="G63" s="111" t="str">
        <x:v>Old/new product versions</x:v>
      </x:c>
      <x:c r="H63" s="111" t="str">
        <x:v>Required reassessments</x:v>
      </x:c>
      <x:c r="I63" s="111" t="str">
        <x:v>Automated</x:v>
      </x:c>
      <x:c r="J63" s="111" t="str">
        <x:v>Product not shippable pending review</x:v>
      </x:c>
      <x:c r="K63" s="111" t="str">
        <x:v>Diff and invalidations</x:v>
      </x:c>
      <x:c r="L63" s="111" t="str">
        <x:v>SRC-CUS-005, SRC-CUS-008, SRC-CUS-009, SRC-CUS-010, SRC-AIR-004, SRC-AIR-005</x:v>
      </x:c>
      <x:c r="M63" s="111" t="str">
        <x:v>T-COM-020</x:v>
      </x:c>
    </x:row>
    <x:row r="64" ht="66" customHeight="1">
      <x:c r="A64" s="110" t="str">
        <x:v>CUS-001</x:v>
      </x:c>
      <x:c r="B64" s="110" t="str">
        <x:v>Lane, customs &amp; documents</x:v>
      </x:c>
      <x:c r="C64" s="110" t="str">
        <x:v>Exact lane key</x:v>
      </x:c>
      <x:c r="D64" s="110" t="str">
        <x:v>MUST</x:v>
      </x:c>
      <x:c r="E64" s="110" t="str">
        <x:v>Eligibility SHALL be evaluated at origin site, export country/customs territory, transit points, destination country/customs territory, postal designated operators, carrier, service, mode, ship date, commodity, value and tenant level.</x:v>
      </x:c>
      <x:c r="F64" s="110" t="str">
        <x:v>Quote, label, route change</x:v>
      </x:c>
      <x:c r="G64" s="110" t="str">
        <x:v>Complete lane key</x:v>
      </x:c>
      <x:c r="H64" s="110" t="str">
        <x:v>Matched rule pack</x:v>
      </x:c>
      <x:c r="I64" s="110" t="str">
        <x:v>Automated</x:v>
      </x:c>
      <x:c r="J64" s="110" t="str">
        <x:v>UNKNOWN_BLOCKED</x:v>
      </x:c>
      <x:c r="K64" s="110" t="str">
        <x:v>Lane trace</x:v>
      </x:c>
      <x:c r="L64" s="110" t="str">
        <x:v>SRC-CUS-001, SRC-CUS-003, SRC-CUS-004, SRC-ELC-001, SRC-ELC-002</x:v>
      </x:c>
      <x:c r="M64" s="110" t="str">
        <x:v>T-CUS-001</x:v>
      </x:c>
    </x:row>
    <x:row r="65" ht="66" customHeight="1">
      <x:c r="A65" s="111" t="str">
        <x:v>CUS-002</x:v>
      </x:c>
      <x:c r="B65" s="111" t="str">
        <x:v>Lane, customs &amp; documents</x:v>
      </x:c>
      <x:c r="C65" s="111" t="str">
        <x:v>Carrier capability is authoritative for service</x:v>
      </x:c>
      <x:c r="D65" s="111" t="str">
        <x:v>MUST</x:v>
      </x:c>
      <x:c r="E65" s="111" t="str">
        <x:v>A service SHALL be offered only after a live or current cached carrier capability/rate response for the exact lane and shipment attributes, within a configured freshness window.</x:v>
      </x:c>
      <x:c r="F65" s="111" t="str">
        <x:v>Service selection</x:v>
      </x:c>
      <x:c r="G65" s="111" t="str">
        <x:v>Carrier account, lane, packages, special services</x:v>
      </x:c>
      <x:c r="H65" s="111" t="str">
        <x:v>Eligible service list</x:v>
      </x:c>
      <x:c r="I65" s="111" t="str">
        <x:v>Automated</x:v>
      </x:c>
      <x:c r="J65" s="111" t="str">
        <x:v>No service</x:v>
      </x:c>
      <x:c r="K65" s="111" t="str">
        <x:v>Capability response</x:v>
      </x:c>
      <x:c r="L65" s="111" t="str">
        <x:v>SRC-CUS-001, SRC-CUS-003, SRC-CUS-004, SRC-ELC-001, SRC-ELC-002</x:v>
      </x:c>
      <x:c r="M65" s="111" t="str">
        <x:v>T-CUS-002</x:v>
      </x:c>
    </x:row>
    <x:row r="66" ht="66" customHeight="1">
      <x:c r="A66" s="110" t="str">
        <x:v>CUS-003</x:v>
      </x:c>
      <x:c r="B66" s="110" t="str">
        <x:v>Lane, customs &amp; documents</x:v>
      </x:c>
      <x:c r="C66" s="110" t="str">
        <x:v>Prohibition and restriction matrix</x:v>
      </x:c>
      <x:c r="D66" s="110" t="str">
        <x:v>MUST</x:v>
      </x:c>
      <x:c r="E66" s="110" t="str">
        <x:v>Country packs SHALL model absolute prohibitions, conditional restrictions, licence/certificate requirements, value/quantity thresholds, business/personal differences and mode/carrier limits separately.</x:v>
      </x:c>
      <x:c r="F66" s="110" t="str">
        <x:v>Every item/line</x:v>
      </x:c>
      <x:c r="G66" s="110" t="str">
        <x:v>Country pack and item attributes</x:v>
      </x:c>
      <x:c r="H66" s="110" t="str">
        <x:v>Per-line conditions</x:v>
      </x:c>
      <x:c r="I66" s="110" t="str">
        <x:v>Automated/reviewer</x:v>
      </x:c>
      <x:c r="J66" s="110" t="str">
        <x:v>Hold/blocked</x:v>
      </x:c>
      <x:c r="K66" s="110" t="str">
        <x:v>Matched rules</x:v>
      </x:c>
      <x:c r="L66" s="110" t="str">
        <x:v>SRC-CUS-001, SRC-CUS-003, SRC-CUS-004, SRC-ELC-001, SRC-ELC-002</x:v>
      </x:c>
      <x:c r="M66" s="110" t="str">
        <x:v>T-CUS-003</x:v>
      </x:c>
    </x:row>
    <x:row r="67" ht="66" customHeight="1">
      <x:c r="A67" s="111" t="str">
        <x:v>CUS-004</x:v>
      </x:c>
      <x:c r="B67" s="111" t="str">
        <x:v>Lane, customs &amp; documents</x:v>
      </x:c>
      <x:c r="C67" s="111" t="str">
        <x:v>Transit controls</x:v>
      </x:c>
      <x:c r="D67" s="111" t="str">
        <x:v>MUST</x:v>
      </x:c>
      <x:c r="E67" s="111" t="str">
        <x:v>Known or planned transit countries and air-security regimes SHALL be evaluated; carrier routing changes that introduce a new controlled transit shall trigger reevaluation or carrier assurance.</x:v>
      </x:c>
      <x:c r="F67" s="111" t="str">
        <x:v>Routing/manifest event</x:v>
      </x:c>
      <x:c r="G67" s="111" t="str">
        <x:v>Planned/actual route</x:v>
      </x:c>
      <x:c r="H67" s="111" t="str">
        <x:v>Transit eligibility</x:v>
      </x:c>
      <x:c r="I67" s="111" t="str">
        <x:v>Automated; reviewer if new nexus</x:v>
      </x:c>
      <x:c r="J67" s="111" t="str">
        <x:v>Hold before handover or intercept workflow</x:v>
      </x:c>
      <x:c r="K67" s="111" t="str">
        <x:v>Route versions</x:v>
      </x:c>
      <x:c r="L67" s="111" t="str">
        <x:v>SRC-CUS-001, SRC-CUS-003, SRC-CUS-004, SRC-ELC-001, SRC-ELC-002</x:v>
      </x:c>
      <x:c r="M67" s="111" t="str">
        <x:v>T-CUS-004</x:v>
      </x:c>
    </x:row>
    <x:row r="68" ht="66" customHeight="1">
      <x:c r="A68" s="110" t="str">
        <x:v>CUS-005</x:v>
      </x:c>
      <x:c r="B68" s="110" t="str">
        <x:v>Lane, customs &amp; documents</x:v>
      </x:c>
      <x:c r="C68" s="110" t="str">
        <x:v>Importer/exporter of record</x:v>
      </x:c>
      <x:c r="D68" s="110" t="str">
        <x:v>MUST</x:v>
      </x:c>
      <x:c r="E68" s="110" t="str">
        <x:v>IOR and EOR identities SHALL be explicit, legally eligible for the lane and accepted by the carrier/filer; the 3PL SHALL not be assigned by default.</x:v>
      </x:c>
      <x:c r="F68" s="110" t="str">
        <x:v>Ship readiness</x:v>
      </x:c>
      <x:c r="G68" s="110" t="str">
        <x:v>Roles, registrations, representation agreements</x:v>
      </x:c>
      <x:c r="H68" s="110" t="str">
        <x:v>Validated role assignment</x:v>
      </x:c>
      <x:c r="I68" s="110" t="str">
        <x:v>External carrier/broker/tenant legal</x:v>
      </x:c>
      <x:c r="J68" s="110" t="str">
        <x:v>Hold</x:v>
      </x:c>
      <x:c r="K68" s="110" t="str">
        <x:v>Role evidence</x:v>
      </x:c>
      <x:c r="L68" s="110" t="str">
        <x:v>SRC-CUS-001, SRC-CUS-003, SRC-CUS-004, SRC-ELC-001, SRC-ELC-002</x:v>
      </x:c>
      <x:c r="M68" s="110" t="str">
        <x:v>T-CUS-005</x:v>
      </x:c>
    </x:row>
    <x:row r="69" ht="66" customHeight="1">
      <x:c r="A69" s="111" t="str">
        <x:v>CUS-006</x:v>
      </x:c>
      <x:c r="B69" s="111" t="str">
        <x:v>Lane, customs &amp; documents</x:v>
      </x:c>
      <x:c r="C69" s="111" t="str">
        <x:v>Declarant/representation model</x:v>
      </x:c>
      <x:c r="D69" s="111" t="str">
        <x:v>MUST</x:v>
      </x:c>
      <x:c r="E69" s="111" t="str">
        <x:v>Declaration records SHALL identify declarant/filer and direct/indirect representation where applicable based on carrier/postal response; UI SHALL not imply the warehouse operator filed directly.</x:v>
      </x:c>
      <x:c r="F69" s="111" t="str">
        <x:v>Filing request/response</x:v>
      </x:c>
      <x:c r="G69" s="111" t="str">
        <x:v>Party roles, adapter response</x:v>
      </x:c>
      <x:c r="H69" s="111" t="str">
        <x:v>Representation record</x:v>
      </x:c>
      <x:c r="I69" s="111" t="str">
        <x:v>Automated/external</x:v>
      </x:c>
      <x:c r="J69" s="111" t="str">
        <x:v>Hold if unresolved</x:v>
      </x:c>
      <x:c r="K69" s="111" t="str">
        <x:v>Filing response</x:v>
      </x:c>
      <x:c r="L69" s="111" t="str">
        <x:v>SRC-CUS-001, SRC-CUS-003, SRC-CUS-004, SRC-ELC-001, SRC-ELC-002</x:v>
      </x:c>
      <x:c r="M69" s="111" t="str">
        <x:v>T-CUS-006</x:v>
      </x:c>
    </x:row>
    <x:row r="70" ht="66" customHeight="1">
      <x:c r="A70" s="110" t="str">
        <x:v>CUS-007</x:v>
      </x:c>
      <x:c r="B70" s="110" t="str">
        <x:v>Lane, customs &amp; documents</x:v>
      </x:c>
      <x:c r="C70" s="110" t="str">
        <x:v>Flow type</x:v>
      </x:c>
      <x:c r="D70" s="110" t="str">
        <x:v>MUST</x:v>
      </x:c>
      <x:c r="E70" s="110" t="str">
        <x:v>Every shipment SHALL be classified as sale, B2B transfer, consumer sale, gift, sample, personal effects, repair/return, temporary export, re-import, replacement, warranty or other supported procedure.</x:v>
      </x:c>
      <x:c r="F70" s="110" t="str">
        <x:v>Order creation</x:v>
      </x:c>
      <x:c r="G70" s="110" t="str">
        <x:v>Commercial purpose and parties</x:v>
      </x:c>
      <x:c r="H70" s="110" t="str">
        <x:v>Flow type and required documents</x:v>
      </x:c>
      <x:c r="I70" s="110" t="str">
        <x:v>User + validation</x:v>
      </x:c>
      <x:c r="J70" s="110" t="str">
        <x:v>Hold unknown</x:v>
      </x:c>
      <x:c r="K70" s="110" t="str">
        <x:v>Purpose attestation</x:v>
      </x:c>
      <x:c r="L70" s="110" t="str">
        <x:v>SRC-CUS-001, SRC-CUS-003, SRC-CUS-004, SRC-ELC-001, SRC-ELC-002</x:v>
      </x:c>
      <x:c r="M70" s="110" t="str">
        <x:v>T-CUS-007</x:v>
      </x:c>
    </x:row>
    <x:row r="71" ht="66" customHeight="1">
      <x:c r="A71" s="111" t="str">
        <x:v>CUS-008</x:v>
      </x:c>
      <x:c r="B71" s="111" t="str">
        <x:v>Lane, customs &amp; documents</x:v>
      </x:c>
      <x:c r="C71" s="111" t="str">
        <x:v>Incoterm validation</x:v>
      </x:c>
      <x:c r="D71" s="111" t="str">
        <x:v>MUST</x:v>
      </x:c>
      <x:c r="E71" s="111" t="str">
        <x:v>Only Incoterms supported by the carrier/service and legally coherent party roles SHALL be allowed. Named place and edition SHALL be stored; DDP/DAP labels SHALL not substitute for legal responsibility analysis.</x:v>
      </x:c>
      <x:c r="F71" s="111" t="str">
        <x:v>Quote/ship</x:v>
      </x:c>
      <x:c r="G71" s="111" t="str">
        <x:v>Incoterm, named place, edition, parties</x:v>
      </x:c>
      <x:c r="H71" s="111" t="str">
        <x:v>Valid trade term</x:v>
      </x:c>
      <x:c r="I71" s="111" t="str">
        <x:v>Automated</x:v>
      </x:c>
      <x:c r="J71" s="111" t="str">
        <x:v>Hold</x:v>
      </x:c>
      <x:c r="K71" s="111" t="str">
        <x:v>Term validation</x:v>
      </x:c>
      <x:c r="L71" s="111" t="str">
        <x:v>SRC-CUS-001, SRC-CUS-003, SRC-CUS-004, SRC-ELC-001, SRC-ELC-002</x:v>
      </x:c>
      <x:c r="M71" s="111" t="str">
        <x:v>T-CUS-008</x:v>
      </x:c>
    </x:row>
    <x:row r="72" ht="66" customHeight="1">
      <x:c r="A72" s="110" t="str">
        <x:v>CUS-009</x:v>
      </x:c>
      <x:c r="B72" s="110" t="str">
        <x:v>Lane, customs &amp; documents</x:v>
      </x:c>
      <x:c r="C72" s="110" t="str">
        <x:v>DDP authorization</x:v>
      </x:c>
      <x:c r="D72" s="110" t="str">
        <x:v>MUST</x:v>
      </x:c>
      <x:c r="E72" s="110" t="str">
        <x:v>DDP SHALL require an eligible importer, tax/customs registrations, carrier service capability, payment authority, disbursement/fee acceptance and country-pack permission; tax remittance schemes such as IOSS are separate credentials.</x:v>
      </x:c>
      <x:c r="F72" s="110" t="str">
        <x:v>DDP selection</x:v>
      </x:c>
      <x:c r="G72" s="110" t="str">
        <x:v>Party and carrier/tax data</x:v>
      </x:c>
      <x:c r="H72" s="110" t="str">
        <x:v>DDP eligible/blocked</x:v>
      </x:c>
      <x:c r="I72" s="110" t="str">
        <x:v>Tenant compliance/external</x:v>
      </x:c>
      <x:c r="J72" s="110" t="str">
        <x:v>Do not offer DDP</x:v>
      </x:c>
      <x:c r="K72" s="110" t="str">
        <x:v>Evidence bundle</x:v>
      </x:c>
      <x:c r="L72" s="110" t="str">
        <x:v>SRC-CUS-001, SRC-CUS-003, SRC-CUS-004, SRC-ELC-001, SRC-ELC-002</x:v>
      </x:c>
      <x:c r="M72" s="110" t="str">
        <x:v>T-CUS-009</x:v>
      </x:c>
    </x:row>
    <x:row r="73" ht="66" customHeight="1">
      <x:c r="A73" s="111" t="str">
        <x:v>CUS-010</x:v>
      </x:c>
      <x:c r="B73" s="111" t="str">
        <x:v>Lane, customs &amp; documents</x:v>
      </x:c>
      <x:c r="C73" s="111" t="str">
        <x:v>DAP responsibility display</x:v>
      </x:c>
      <x:c r="D73" s="111" t="str">
        <x:v>MUST</x:v>
      </x:c>
      <x:c r="E73" s="111" t="str">
        <x:v>DAP SHALL display that destination import duty/tax and clearance responsibilities may fall to recipient/importer, subject to local law and carrier terms; acceptance evidence SHALL be retained where required.</x:v>
      </x:c>
      <x:c r="F73" s="111" t="str">
        <x:v>DAP selection</x:v>
      </x:c>
      <x:c r="G73" s="111" t="str">
        <x:v>Recipient/importer and customer terms</x:v>
      </x:c>
      <x:c r="H73" s="111" t="str">
        <x:v>Acknowledged DAP</x:v>
      </x:c>
      <x:c r="I73" s="111" t="str">
        <x:v>Customer/tenant</x:v>
      </x:c>
      <x:c r="J73" s="111" t="str">
        <x:v>Hold if required acceptance missing</x:v>
      </x:c>
      <x:c r="K73" s="111" t="str">
        <x:v>Terms acceptance</x:v>
      </x:c>
      <x:c r="L73" s="111" t="str">
        <x:v>SRC-CUS-001, SRC-CUS-003, SRC-CUS-004, SRC-ELC-001, SRC-ELC-002</x:v>
      </x:c>
      <x:c r="M73" s="111" t="str">
        <x:v>T-CUS-010</x:v>
      </x:c>
    </x:row>
    <x:row r="74" ht="66" customHeight="1">
      <x:c r="A74" s="110" t="str">
        <x:v>CUS-011</x:v>
      </x:c>
      <x:c r="B74" s="110" t="str">
        <x:v>Lane, customs &amp; documents</x:v>
      </x:c>
      <x:c r="C74" s="110" t="str">
        <x:v>Declaration data completeness</x:v>
      </x:c>
      <x:c r="D74" s="110" t="str">
        <x:v>MUST</x:v>
      </x:c>
      <x:c r="E74" s="110" t="str">
        <x:v>Before transmission, the platform SHALL validate required parties, addresses, contacts, invoice data, item descriptions, HS codes, origins, values, currencies, weights, quantities, purpose, procedure, identifiers, licences and documents per adapter schema and country pack.</x:v>
      </x:c>
      <x:c r="F74" s="110" t="str">
        <x:v>Pre-file</x:v>
      </x:c>
      <x:c r="G74" s="110" t="str">
        <x:v>Canonical shipment and schema</x:v>
      </x:c>
      <x:c r="H74" s="110" t="str">
        <x:v>Validated payload</x:v>
      </x:c>
      <x:c r="I74" s="110" t="str">
        <x:v>Automated</x:v>
      </x:c>
      <x:c r="J74" s="110" t="str">
        <x:v>Hold</x:v>
      </x:c>
      <x:c r="K74" s="110" t="str">
        <x:v>Validation report</x:v>
      </x:c>
      <x:c r="L74" s="110" t="str">
        <x:v>SRC-CUS-001, SRC-CUS-003, SRC-CUS-004, SRC-ELC-001, SRC-ELC-002</x:v>
      </x:c>
      <x:c r="M74" s="110" t="str">
        <x:v>T-CUS-011</x:v>
      </x:c>
    </x:row>
    <x:row r="75" ht="66" customHeight="1">
      <x:c r="A75" s="111" t="str">
        <x:v>CUS-012</x:v>
      </x:c>
      <x:c r="B75" s="111" t="str">
        <x:v>Lane, customs &amp; documents</x:v>
      </x:c>
      <x:c r="C75" s="111" t="str">
        <x:v>Line-level fidelity</x:v>
      </x:c>
      <x:c r="D75" s="111" t="str">
        <x:v>MUST</x:v>
      </x:c>
      <x:c r="E75" s="111" t="str">
        <x:v>The system SHALL preserve commercial invoice line distinctions and SHALL not aggregate lines where classification, origin, value, regulation, tax, licence, lot or document treatment differs.</x:v>
      </x:c>
      <x:c r="F75" s="111" t="str">
        <x:v>Document/payload generation</x:v>
      </x:c>
      <x:c r="G75" s="111" t="str">
        <x:v>Order lines and measures</x:v>
      </x:c>
      <x:c r="H75" s="111" t="str">
        <x:v>Declaration lines</x:v>
      </x:c>
      <x:c r="I75" s="111" t="str">
        <x:v>Automated</x:v>
      </x:c>
      <x:c r="J75" s="111" t="str">
        <x:v>Hold on lossy mapping</x:v>
      </x:c>
      <x:c r="K75" s="111" t="str">
        <x:v>Canonical-to-carrier mapping</x:v>
      </x:c>
      <x:c r="L75" s="111" t="str">
        <x:v>SRC-CUS-001, SRC-CUS-003, SRC-CUS-004, SRC-ELC-001, SRC-ELC-002</x:v>
      </x:c>
      <x:c r="M75" s="111" t="str">
        <x:v>T-CUS-012</x:v>
      </x:c>
    </x:row>
    <x:row r="76" ht="66" customHeight="1">
      <x:c r="A76" s="110" t="str">
        <x:v>CUS-013</x:v>
      </x:c>
      <x:c r="B76" s="110" t="str">
        <x:v>Lane, customs &amp; documents</x:v>
      </x:c>
      <x:c r="C76" s="110" t="str">
        <x:v>Carrier/postal filing only</x:v>
      </x:c>
      <x:c r="D76" s="110" t="str">
        <x:v>MUST</x:v>
      </x:c>
      <x:c r="E76" s="110" t="str">
        <x:v>Declaration payloads SHALL be transmitted only to approved adapters; filing status SHALL be PENDING, ACCEPTED, REJECTED, REFERRED, CANCELLED or UNKNOWN and SHALL be derived from external responses.</x:v>
      </x:c>
      <x:c r="F76" s="110" t="str">
        <x:v>Submit/status event</x:v>
      </x:c>
      <x:c r="G76" s="110" t="str">
        <x:v>Approved adapter and request</x:v>
      </x:c>
      <x:c r="H76" s="110" t="str">
        <x:v>Status + external identifiers</x:v>
      </x:c>
      <x:c r="I76" s="110" t="str">
        <x:v>External filer</x:v>
      </x:c>
      <x:c r="J76" s="110" t="str">
        <x:v>Hold unless accepted/allowed-to-move status</x:v>
      </x:c>
      <x:c r="K76" s="110" t="str">
        <x:v>Signed request/response</x:v>
      </x:c>
      <x:c r="L76" s="110" t="str">
        <x:v>SRC-CUS-001, SRC-CUS-003, SRC-CUS-004, SRC-ELC-001, SRC-ELC-002</x:v>
      </x:c>
      <x:c r="M76" s="110" t="str">
        <x:v>T-CUS-013</x:v>
      </x:c>
    </x:row>
    <x:row r="77" ht="66" customHeight="1">
      <x:c r="A77" s="111" t="str">
        <x:v>CUS-014</x:v>
      </x:c>
      <x:c r="B77" s="111" t="str">
        <x:v>Lane, customs &amp; documents</x:v>
      </x:c>
      <x:c r="C77" s="111" t="str">
        <x:v>No success on timeout</x:v>
      </x:c>
      <x:c r="D77" s="111" t="str">
        <x:v>MUST</x:v>
      </x:c>
      <x:c r="E77" s="111" t="str">
        <x:v>Timeout, HTTP success without business acceptance, malformed response or lost correlation SHALL not be recorded as filed or accepted.</x:v>
      </x:c>
      <x:c r="F77" s="111" t="str">
        <x:v>Adapter response failure</x:v>
      </x:c>
      <x:c r="G77" s="111" t="str">
        <x:v>Technical/business response</x:v>
      </x:c>
      <x:c r="H77" s="111" t="str">
        <x:v>UNKNOWN/RETRY_SAFE or manual reconcile</x:v>
      </x:c>
      <x:c r="I77" s="111" t="str">
        <x:v>Automated</x:v>
      </x:c>
      <x:c r="J77" s="111" t="str">
        <x:v>Hold</x:v>
      </x:c>
      <x:c r="K77" s="111" t="str">
        <x:v>Request ID, payload hash, error</x:v>
      </x:c>
      <x:c r="L77" s="111" t="str">
        <x:v>SRC-CUS-001, SRC-CUS-003, SRC-CUS-004, SRC-ELC-001, SRC-ELC-002</x:v>
      </x:c>
      <x:c r="M77" s="111" t="str">
        <x:v>T-CUS-014</x:v>
      </x:c>
    </x:row>
    <x:row r="78" ht="66" customHeight="1">
      <x:c r="A78" s="110" t="str">
        <x:v>CUS-015</x:v>
      </x:c>
      <x:c r="B78" s="110" t="str">
        <x:v>Lane, customs &amp; documents</x:v>
      </x:c>
      <x:c r="C78" s="110" t="str">
        <x:v>Idempotent filing</x:v>
      </x:c>
      <x:c r="D78" s="110" t="str">
        <x:v>MUST</x:v>
      </x:c>
      <x:c r="E78" s="110" t="str">
        <x:v>Retries SHALL use stable idempotency/correlation keys and SHALL prevent duplicate declarations, labels, pickups and charges; ambiguous outcomes require query/reconciliation before retry.</x:v>
      </x:c>
      <x:c r="F78" s="110" t="str">
        <x:v>Retry</x:v>
      </x:c>
      <x:c r="G78" s="110" t="str">
        <x:v>Correlation key and prior state</x:v>
      </x:c>
      <x:c r="H78" s="110" t="str">
        <x:v>Single external transaction</x:v>
      </x:c>
      <x:c r="I78" s="110" t="str">
        <x:v>Automated</x:v>
      </x:c>
      <x:c r="J78" s="110" t="str">
        <x:v>Hold ambiguous</x:v>
      </x:c>
      <x:c r="K78" s="110" t="str">
        <x:v>Attempt ledger</x:v>
      </x:c>
      <x:c r="L78" s="110" t="str">
        <x:v>SRC-CUS-001, SRC-CUS-003, SRC-CUS-004, SRC-ELC-001, SRC-ELC-002</x:v>
      </x:c>
      <x:c r="M78" s="110" t="str">
        <x:v>T-CUS-015</x:v>
      </x:c>
    </x:row>
    <x:row r="79" ht="66" customHeight="1">
      <x:c r="A79" s="111" t="str">
        <x:v>CUS-016</x:v>
      </x:c>
      <x:c r="B79" s="111" t="str">
        <x:v>Lane, customs &amp; documents</x:v>
      </x:c>
      <x:c r="C79" s="111" t="str">
        <x:v>Amendment/cancellation</x:v>
      </x:c>
      <x:c r="D79" s="111" t="str">
        <x:v>MUST</x:v>
      </x:c>
      <x:c r="E79" s="111" t="str">
        <x:v>Any post-submission change SHALL use the carrier/postal amendment, void or cancellation process; local data may not be overwritten as though the original submission never existed.</x:v>
      </x:c>
      <x:c r="F79" s="111" t="str">
        <x:v>Shipment change/cancel</x:v>
      </x:c>
      <x:c r="G79" s="111" t="str">
        <x:v>External state and change</x:v>
      </x:c>
      <x:c r="H79" s="111" t="str">
        <x:v>Amended/voided/new declaration</x:v>
      </x:c>
      <x:c r="I79" s="111" t="str">
        <x:v>External filer</x:v>
      </x:c>
      <x:c r="J79" s="111" t="str">
        <x:v>Hold pending response</x:v>
      </x:c>
      <x:c r="K79" s="111" t="str">
        <x:v>Before/after records</x:v>
      </x:c>
      <x:c r="L79" s="111" t="str">
        <x:v>SRC-CUS-001, SRC-CUS-003, SRC-CUS-004, SRC-ELC-001, SRC-ELC-002</x:v>
      </x:c>
      <x:c r="M79" s="111" t="str">
        <x:v>T-CUS-016</x:v>
      </x:c>
    </x:row>
    <x:row r="80" ht="66" customHeight="1">
      <x:c r="A80" s="110" t="str">
        <x:v>CUS-017</x:v>
      </x:c>
      <x:c r="B80" s="110" t="str">
        <x:v>Lane, customs &amp; documents</x:v>
      </x:c>
      <x:c r="C80" s="110" t="str">
        <x:v>Document truth source</x:v>
      </x:c>
      <x:c r="D80" s="110" t="str">
        <x:v>MUST</x:v>
      </x:c>
      <x:c r="E80" s="110" t="str">
        <x:v>Commercial invoice, pro forma, packing list, origin statement, permits, DG documents, CN22/CN23, AWB and manifests SHALL be generated from one versioned canonical dataset, with schema-specific transforms.</x:v>
      </x:c>
      <x:c r="F80" s="110" t="str">
        <x:v>Document generation</x:v>
      </x:c>
      <x:c r="G80" s="110" t="str">
        <x:v>Canonical shipment version</x:v>
      </x:c>
      <x:c r="H80" s="110" t="str">
        <x:v>Document set</x:v>
      </x:c>
      <x:c r="I80" s="110" t="str">
        <x:v>Automated</x:v>
      </x:c>
      <x:c r="J80" s="110" t="str">
        <x:v>Do not render inconsistent documents</x:v>
      </x:c>
      <x:c r="K80" s="110" t="str">
        <x:v>Template/version/hash</x:v>
      </x:c>
      <x:c r="L80" s="110" t="str">
        <x:v>SRC-CUS-001, SRC-CUS-003, SRC-CUS-004, SRC-ELC-001, SRC-ELC-002</x:v>
      </x:c>
      <x:c r="M80" s="110" t="str">
        <x:v>T-CUS-017</x:v>
      </x:c>
    </x:row>
    <x:row r="81" ht="66" customHeight="1">
      <x:c r="A81" s="111" t="str">
        <x:v>CUS-018</x:v>
      </x:c>
      <x:c r="B81" s="111" t="str">
        <x:v>Lane, customs &amp; documents</x:v>
      </x:c>
      <x:c r="C81" s="111" t="str">
        <x:v>Electronic signature legality</x:v>
      </x:c>
      <x:c r="D81" s="111" t="str">
        <x:v>MUST</x:v>
      </x:c>
      <x:c r="E81" s="111" t="str">
        <x:v>Electronic signatures SHALL be used only where the country pack and recipient/carrier permit them; signature identity, intent, method, timestamp and tamper evidence SHALL be retained.</x:v>
      </x:c>
      <x:c r="F81" s="111" t="str">
        <x:v>Document signing</x:v>
      </x:c>
      <x:c r="G81" s="111" t="str">
        <x:v>Jurisdictions, document type, signer</x:v>
      </x:c>
      <x:c r="H81" s="111" t="str">
        <x:v>Valid signed document or wet-sign requirement</x:v>
      </x:c>
      <x:c r="I81" s="111" t="str">
        <x:v>Authorized signer</x:v>
      </x:c>
      <x:c r="J81" s="111" t="str">
        <x:v>Hold</x:v>
      </x:c>
      <x:c r="K81" s="111" t="str">
        <x:v>Signature evidence</x:v>
      </x:c>
      <x:c r="L81" s="111" t="str">
        <x:v>SRC-CUS-001, SRC-CUS-003, SRC-CUS-004, SRC-ELC-001, SRC-ELC-002</x:v>
      </x:c>
      <x:c r="M81" s="111" t="str">
        <x:v>T-CUS-018</x:v>
      </x:c>
    </x:row>
    <x:row r="82" ht="66" customHeight="1">
      <x:c r="A82" s="110" t="str">
        <x:v>CUS-019</x:v>
      </x:c>
      <x:c r="B82" s="110" t="str">
        <x:v>Lane, customs &amp; documents</x:v>
      </x:c>
      <x:c r="C82" s="110" t="str">
        <x:v>Document language/copies</x:v>
      </x:c>
      <x:c r="D82" s="110" t="str">
        <x:v>MUST</x:v>
      </x:c>
      <x:c r="E82" s="110" t="str">
        <x:v>Country packs and adapters SHALL specify permitted languages, translations, original/copy status, signature/stamp needs, document count and placement/pouch rules.</x:v>
      </x:c>
      <x:c r="F82" s="110" t="str">
        <x:v>Document generation/handover</x:v>
      </x:c>
      <x:c r="G82" s="110" t="str">
        <x:v>Lane, service, document types</x:v>
      </x:c>
      <x:c r="H82" s="110" t="str">
        <x:v>Document instructions</x:v>
      </x:c>
      <x:c r="I82" s="110" t="str">
        <x:v>Automated</x:v>
      </x:c>
      <x:c r="J82" s="110" t="str">
        <x:v>Hold</x:v>
      </x:c>
      <x:c r="K82" s="110" t="str">
        <x:v>Instruction version and packing confirmation</x:v>
      </x:c>
      <x:c r="L82" s="110" t="str">
        <x:v>SRC-CUS-001, SRC-CUS-003, SRC-CUS-004, SRC-ELC-001, SRC-ELC-002</x:v>
      </x:c>
      <x:c r="M82" s="110" t="str">
        <x:v>T-CUS-019</x:v>
      </x:c>
    </x:row>
    <x:row r="83" ht="66" customHeight="1">
      <x:c r="A83" s="111" t="str">
        <x:v>CUS-020</x:v>
      </x:c>
      <x:c r="B83" s="111" t="str">
        <x:v>Lane, customs &amp; documents</x:v>
      </x:c>
      <x:c r="C83" s="111" t="str">
        <x:v>Record declaration identifiers</x:v>
      </x:c>
      <x:c r="D83" s="111" t="str">
        <x:v>MUST</x:v>
      </x:c>
      <x:c r="E83" s="111" t="str">
        <x:v>MRN/entry number, carrier declaration ID, postal message IDs, referral IDs and status timestamps SHALL be stored as typed external references and never inferred from tracking numbers.</x:v>
      </x:c>
      <x:c r="F83" s="111" t="str">
        <x:v>Filing response</x:v>
      </x:c>
      <x:c r="G83" s="111" t="str">
        <x:v>External identifiers</x:v>
      </x:c>
      <x:c r="H83" s="111" t="str">
        <x:v>Typed references</x:v>
      </x:c>
      <x:c r="I83" s="111" t="str">
        <x:v>Automated</x:v>
      </x:c>
      <x:c r="J83" s="111" t="str">
        <x:v>Hold if required reference absent</x:v>
      </x:c>
      <x:c r="K83" s="111" t="str">
        <x:v>Response snapshot</x:v>
      </x:c>
      <x:c r="L83" s="111" t="str">
        <x:v>SRC-CUS-001, SRC-CUS-003, SRC-CUS-004, SRC-ELC-001, SRC-ELC-002</x:v>
      </x:c>
      <x:c r="M83" s="111" t="str">
        <x:v>T-CUS-020</x:v>
      </x:c>
    </x:row>
    <x:row r="84" ht="66" customHeight="1">
      <x:c r="A84" s="110" t="str">
        <x:v>CUS-021</x:v>
      </x:c>
      <x:c r="B84" s="110" t="str">
        <x:v>Lane, customs &amp; documents</x:v>
      </x:c>
      <x:c r="C84" s="110" t="str">
        <x:v>Return/re-import linkage</x:v>
      </x:c>
      <x:c r="D84" s="110" t="str">
        <x:v>MUST</x:v>
      </x:c>
      <x:c r="E84" s="110" t="str">
        <x:v>Returns and re-imports SHALL link original export/declaration, goods identity/serials, value, reason, condition and relief eligibility; absence of evidence means normal import treatment or hold.</x:v>
      </x:c>
      <x:c r="F84" s="110" t="str">
        <x:v>Return creation</x:v>
      </x:c>
      <x:c r="G84" s="110" t="str">
        <x:v>Original shipment/evidence</x:v>
      </x:c>
      <x:c r="H84" s="110" t="str">
        <x:v>Relief path or standard import</x:v>
      </x:c>
      <x:c r="I84" s="110" t="str">
        <x:v>Customs reviewer/external filer</x:v>
      </x:c>
      <x:c r="J84" s="110" t="str">
        <x:v>Hold if relief claimed without evidence</x:v>
      </x:c>
      <x:c r="K84" s="110" t="str">
        <x:v>Linked records</x:v>
      </x:c>
      <x:c r="L84" s="110" t="str">
        <x:v>SRC-CUS-001, SRC-CUS-003, SRC-CUS-004, SRC-ELC-001, SRC-ELC-002</x:v>
      </x:c>
      <x:c r="M84" s="110" t="str">
        <x:v>T-CUS-021</x:v>
      </x:c>
    </x:row>
    <x:row r="85" ht="66" customHeight="1">
      <x:c r="A85" s="111" t="str">
        <x:v>CUS-022</x:v>
      </x:c>
      <x:c r="B85" s="111" t="str">
        <x:v>Lane, customs &amp; documents</x:v>
      </x:c>
      <x:c r="C85" s="111" t="str">
        <x:v>Temporary export/re-import</x:v>
      </x:c>
      <x:c r="D85" s="111" t="str">
        <x:v>MUST</x:v>
      </x:c>
      <x:c r="E85" s="111" t="str">
        <x:v>Temporary admission/export procedures SHALL capture procedure, authorization/carnet/reference, expiry, goods serial identity, conditions and discharge/re-export evidence; expiry alerts are mandatory.</x:v>
      </x:c>
      <x:c r="F85" s="111" t="str">
        <x:v>Temporary flow</x:v>
      </x:c>
      <x:c r="G85" s="111" t="str">
        <x:v>Authorization and goods IDs</x:v>
      </x:c>
      <x:c r="H85" s="111" t="str">
        <x:v>Procedure allowed/blocked</x:v>
      </x:c>
      <x:c r="I85" s="111" t="str">
        <x:v>External broker/carrier approval</x:v>
      </x:c>
      <x:c r="J85" s="111" t="str">
        <x:v>Hold and escalate</x:v>
      </x:c>
      <x:c r="K85" s="111" t="str">
        <x:v>Lifecycle dossier</x:v>
      </x:c>
      <x:c r="L85" s="111" t="str">
        <x:v>SRC-CUS-001, SRC-CUS-003, SRC-CUS-004, SRC-ELC-001, SRC-ELC-002</x:v>
      </x:c>
      <x:c r="M85" s="111" t="str">
        <x:v>T-CUS-022</x:v>
      </x:c>
    </x:row>
    <x:row r="86" ht="66" customHeight="1">
      <x:c r="A86" s="110" t="str">
        <x:v>POS-001</x:v>
      </x:c>
      <x:c r="B86" s="110" t="str">
        <x:v>Postal packets</x:v>
      </x:c>
      <x:c r="C86" s="110" t="str">
        <x:v>Postal operator contract</x:v>
      </x:c>
      <x:c r="D86" s="110" t="str">
        <x:v>MUST</x:v>
      </x:c>
      <x:c r="E86" s="110" t="str">
        <x:v>Postal services SHALL be enabled only for an origin designated operator or authorized consolidator account whose contract permits the tenant's traffic and commodities.</x:v>
      </x:c>
      <x:c r="F86" s="110" t="str">
        <x:v>Postal service selection</x:v>
      </x:c>
      <x:c r="G86" s="110" t="str">
        <x:v>Origin DO/account, customer class, service</x:v>
      </x:c>
      <x:c r="H86" s="110" t="str">
        <x:v>Eligible service</x:v>
      </x:c>
      <x:c r="I86" s="110" t="str">
        <x:v>Postal operator</x:v>
      </x:c>
      <x:c r="J86" s="110" t="str">
        <x:v>Block</x:v>
      </x:c>
      <x:c r="K86" s="110" t="str">
        <x:v>Account/capability record</x:v>
      </x:c>
      <x:c r="L86" s="110" t="str">
        <x:v>SRC-POST-001, SRC-POST-002, SRC-POST-003, SRC-POST-004</x:v>
      </x:c>
      <x:c r="M86" s="110" t="str">
        <x:v>T-POS-001</x:v>
      </x:c>
    </x:row>
    <x:row r="87" ht="66" customHeight="1">
      <x:c r="A87" s="111" t="str">
        <x:v>POS-002</x:v>
      </x:c>
      <x:c r="B87" s="111" t="str">
        <x:v>Postal packets</x:v>
      </x:c>
      <x:c r="C87" s="111" t="str">
        <x:v>S10 identifier control</x:v>
      </x:c>
      <x:c r="D87" s="111" t="str">
        <x:v>MUST</x:v>
      </x:c>
      <x:c r="E87" s="111" t="str">
        <x:v>International postal item identifiers SHALL conform to the applicable S10 standard and shall not be reused within the prohibited interval; assignment SHALL be atomic and traceable.</x:v>
      </x:c>
      <x:c r="F87" s="111" t="str">
        <x:v>Postal item creation</x:v>
      </x:c>
      <x:c r="G87" s="111" t="str">
        <x:v>Identifier allocation range and service indicator</x:v>
      </x:c>
      <x:c r="H87" s="111" t="str">
        <x:v>Unique S10</x:v>
      </x:c>
      <x:c r="I87" s="111" t="str">
        <x:v>Automated</x:v>
      </x:c>
      <x:c r="J87" s="111" t="str">
        <x:v>No label</x:v>
      </x:c>
      <x:c r="K87" s="111" t="str">
        <x:v>Allocation ledger</x:v>
      </x:c>
      <x:c r="L87" s="111" t="str">
        <x:v>SRC-POST-001, SRC-POST-002, SRC-POST-003, SRC-POST-004</x:v>
      </x:c>
      <x:c r="M87" s="111" t="str">
        <x:v>T-POS-002</x:v>
      </x:c>
    </x:row>
    <x:row r="88" ht="66" customHeight="1">
      <x:c r="A88" s="110" t="str">
        <x:v>POS-003</x:v>
      </x:c>
      <x:c r="B88" s="110" t="str">
        <x:v>Postal packets</x:v>
      </x:c>
      <x:c r="C88" s="110" t="str">
        <x:v>ITMATT message</x:v>
      </x:c>
      <x:c r="D88" s="110" t="str">
        <x:v>MUST</x:v>
      </x:c>
      <x:c r="E88" s="110" t="str">
        <x:v>Goods items SHALL produce complete ITMATT data for each content line including precise description, quantity, value/currency, net weight, origin and HS code where required.</x:v>
      </x:c>
      <x:c r="F88" s="110" t="str">
        <x:v>Pre-advice</x:v>
      </x:c>
      <x:c r="G88" s="110" t="str">
        <x:v>Postal item and contents</x:v>
      </x:c>
      <x:c r="H88" s="110" t="str">
        <x:v>Validated ITMATT</x:v>
      </x:c>
      <x:c r="I88" s="110" t="str">
        <x:v>Automated</x:v>
      </x:c>
      <x:c r="J88" s="110" t="str">
        <x:v>Hold</x:v>
      </x:c>
      <x:c r="K88" s="110" t="str">
        <x:v>Message payload/hash</x:v>
      </x:c>
      <x:c r="L88" s="110" t="str">
        <x:v>SRC-POST-001, SRC-POST-002, SRC-POST-003, SRC-POST-004</x:v>
      </x:c>
      <x:c r="M88" s="110" t="str">
        <x:v>T-POS-003</x:v>
      </x:c>
    </x:row>
    <x:row r="89" ht="66" customHeight="1">
      <x:c r="A89" s="111" t="str">
        <x:v>POS-004</x:v>
      </x:c>
      <x:c r="B89" s="111" t="str">
        <x:v>Postal packets</x:v>
      </x:c>
      <x:c r="C89" s="111" t="str">
        <x:v>CN22/CN23 consistency</x:v>
      </x:c>
      <x:c r="D89" s="111" t="str">
        <x:v>MUST</x:v>
      </x:c>
      <x:c r="E89" s="111" t="str">
        <x:v>Paper or rendered CN22/CN23 data SHALL match the electronic customs data and the package contents; signed forms SHALL be captured where required.</x:v>
      </x:c>
      <x:c r="F89" s="111" t="str">
        <x:v>Document print/handover</x:v>
      </x:c>
      <x:c r="G89" s="111" t="str">
        <x:v>ITMATT/canonical data and form rules</x:v>
      </x:c>
      <x:c r="H89" s="111" t="str">
        <x:v>Consistent form</x:v>
      </x:c>
      <x:c r="I89" s="111" t="str">
        <x:v>Shipper/authorized signatory</x:v>
      </x:c>
      <x:c r="J89" s="111" t="str">
        <x:v>Hold</x:v>
      </x:c>
      <x:c r="K89" s="111" t="str">
        <x:v>Rendered form/hash/signature</x:v>
      </x:c>
      <x:c r="L89" s="111" t="str">
        <x:v>SRC-POST-001, SRC-POST-002, SRC-POST-003, SRC-POST-004</x:v>
      </x:c>
      <x:c r="M89" s="111" t="str">
        <x:v>T-POS-004</x:v>
      </x:c>
    </x:row>
    <x:row r="90" ht="66" customHeight="1">
      <x:c r="A90" s="110" t="str">
        <x:v>POS-005</x:v>
      </x:c>
      <x:c r="B90" s="110" t="str">
        <x:v>Postal packets</x:v>
      </x:c>
      <x:c r="C90" s="110" t="str">
        <x:v>Postal nesting</x:v>
      </x:c>
      <x:c r="D90" s="110" t="str">
        <x:v>MUST</x:v>
      </x:c>
      <x:c r="E90" s="110" t="str">
        <x:v>S10 item identifiers SHALL be nested into receptacle/dispatch identifiers and PREDES messages according to the operator's standard; orphaned or duplicate nesting is prohibited.</x:v>
      </x:c>
      <x:c r="F90" s="110" t="str">
        <x:v>Dispatch close</x:v>
      </x:c>
      <x:c r="G90" s="110" t="str">
        <x:v>Item/receptacle/dispatch IDs</x:v>
      </x:c>
      <x:c r="H90" s="110" t="str">
        <x:v>Valid nesting</x:v>
      </x:c>
      <x:c r="I90" s="110" t="str">
        <x:v>Automated</x:v>
      </x:c>
      <x:c r="J90" s="110" t="str">
        <x:v>Do not close dispatch</x:v>
      </x:c>
      <x:c r="K90" s="110" t="str">
        <x:v>PREDES and scan reconciliation</x:v>
      </x:c>
      <x:c r="L90" s="110" t="str">
        <x:v>SRC-POST-001, SRC-POST-002, SRC-POST-003, SRC-POST-004</x:v>
      </x:c>
      <x:c r="M90" s="110" t="str">
        <x:v>T-POS-005</x:v>
      </x:c>
    </x:row>
    <x:row r="91" ht="66" customHeight="1">
      <x:c r="A91" s="111" t="str">
        <x:v>POS-006</x:v>
      </x:c>
      <x:c r="B91" s="111" t="str">
        <x:v>Postal packets</x:v>
      </x:c>
      <x:c r="C91" s="111" t="str">
        <x:v>CARDIT/air carrier handover</x:v>
      </x:c>
      <x:c r="D91" s="111" t="str">
        <x:v>MUST</x:v>
      </x:c>
      <x:c r="E91" s="111" t="str">
        <x:v>Where the postal route uses air, CARDIT data including advance-risk indicators SHALL be transmitted through the postal/air partner flow before tender as required.</x:v>
      </x:c>
      <x:c r="F91" s="111" t="str">
        <x:v>Dispatch/transport assignment</x:v>
      </x:c>
      <x:c r="G91" s="111" t="str">
        <x:v>Dispatch, flight/transport and security data</x:v>
      </x:c>
      <x:c r="H91" s="111" t="str">
        <x:v>Accepted CARDIT status</x:v>
      </x:c>
      <x:c r="I91" s="111" t="str">
        <x:v>Postal/air partner</x:v>
      </x:c>
      <x:c r="J91" s="111" t="str">
        <x:v>Hold dispatch</x:v>
      </x:c>
      <x:c r="K91" s="111" t="str">
        <x:v>Message/response</x:v>
      </x:c>
      <x:c r="L91" s="111" t="str">
        <x:v>SRC-POST-001, SRC-POST-002, SRC-POST-003, SRC-POST-004</x:v>
      </x:c>
      <x:c r="M91" s="111" t="str">
        <x:v>T-POS-006</x:v>
      </x:c>
    </x:row>
    <x:row r="92" ht="66" customHeight="1">
      <x:c r="A92" s="110" t="str">
        <x:v>POS-007</x:v>
      </x:c>
      <x:c r="B92" s="110" t="str">
        <x:v>Postal packets</x:v>
      </x:c>
      <x:c r="C92" s="110" t="str">
        <x:v>PLACI 7+1 completeness</x:v>
      </x:c>
      <x:c r="D92" s="110" t="str">
        <x:v>MUST</x:v>
      </x:c>
      <x:c r="E92" s="110" t="str">
        <x:v>At minimum when PLACI applies, consignor name/address, consignee name/address, package count, gross weight and unit, brief description and item/consignment identifier SHALL be complete before the filing cut-off.</x:v>
      </x:c>
      <x:c r="F92" s="110" t="str">
        <x:v>Air postal flow</x:v>
      </x:c>
      <x:c r="G92" s="110" t="str">
        <x:v>7+1 fields and timing</x:v>
      </x:c>
      <x:c r="H92" s="110" t="str">
        <x:v>PLACI-ready</x:v>
      </x:c>
      <x:c r="I92" s="110" t="str">
        <x:v>Automated/external filer</x:v>
      </x:c>
      <x:c r="J92" s="110" t="str">
        <x:v>Do not load/tender</x:v>
      </x:c>
      <x:c r="K92" s="110" t="str">
        <x:v>Validation and submission</x:v>
      </x:c>
      <x:c r="L92" s="110" t="str">
        <x:v>SRC-POST-001, SRC-POST-002, SRC-POST-003, SRC-POST-004</x:v>
      </x:c>
      <x:c r="M92" s="110" t="str">
        <x:v>T-POS-007</x:v>
      </x:c>
    </x:row>
    <x:row r="93" ht="66" customHeight="1">
      <x:c r="A93" s="111" t="str">
        <x:v>POS-008</x:v>
      </x:c>
      <x:c r="B93" s="111" t="str">
        <x:v>Postal packets</x:v>
      </x:c>
      <x:c r="C93" s="111" t="str">
        <x:v>Referral handling</x:v>
      </x:c>
      <x:c r="D93" s="111" t="str">
        <x:v>MUST</x:v>
      </x:c>
      <x:c r="E93" s="111" t="str">
        <x:v>RFI, RFS and DNL referrals SHALL enter explicit state-machine workflows; DNL can be cleared only by the competent external authority/carrier response, never by a tenant user.</x:v>
      </x:c>
      <x:c r="F93" s="111" t="str">
        <x:v>Referral received</x:v>
      </x:c>
      <x:c r="G93" s="111" t="str">
        <x:v>Referral type, item, authority response</x:v>
      </x:c>
      <x:c r="H93" s="111" t="str">
        <x:v>Pending/responded/cleared/DNL</x:v>
      </x:c>
      <x:c r="I93" s="111" t="str">
        <x:v>External authority/carrier</x:v>
      </x:c>
      <x:c r="J93" s="111" t="str">
        <x:v>Hold/segregate</x:v>
      </x:c>
      <x:c r="K93" s="111" t="str">
        <x:v>ITMREF/REFRSP or partner equivalent</x:v>
      </x:c>
      <x:c r="L93" s="111" t="str">
        <x:v>SRC-POST-001, SRC-POST-002, SRC-POST-003, SRC-POST-004</x:v>
      </x:c>
      <x:c r="M93" s="111" t="str">
        <x:v>T-POS-008</x:v>
      </x:c>
    </x:row>
    <x:row r="94" ht="66" customHeight="1">
      <x:c r="A94" s="110" t="str">
        <x:v>POS-009</x:v>
      </x:c>
      <x:c r="B94" s="110" t="str">
        <x:v>Postal packets</x:v>
      </x:c>
      <x:c r="C94" s="110" t="str">
        <x:v>Postal security hold</x:v>
      </x:c>
      <x:c r="D94" s="110" t="str">
        <x:v>MUST</x:v>
      </x:c>
      <x:c r="E94" s="110" t="str">
        <x:v>A DNL or unresolved security referral SHALL prevent container close and carrier handover and SHALL trigger physical segregation with restricted access.</x:v>
      </x:c>
      <x:c r="F94" s="110" t="str">
        <x:v>Referral/state</x:v>
      </x:c>
      <x:c r="G94" s="110" t="str">
        <x:v>Item location and dispatch</x:v>
      </x:c>
      <x:c r="H94" s="110" t="str">
        <x:v>Segregated hold</x:v>
      </x:c>
      <x:c r="I94" s="110" t="str">
        <x:v>Warehouse security</x:v>
      </x:c>
      <x:c r="J94" s="110" t="str">
        <x:v>Block dispatch</x:v>
      </x:c>
      <x:c r="K94" s="110" t="str">
        <x:v>Scan/location/incident log</x:v>
      </x:c>
      <x:c r="L94" s="110" t="str">
        <x:v>SRC-POST-001, SRC-POST-002, SRC-POST-003, SRC-POST-004</x:v>
      </x:c>
      <x:c r="M94" s="110" t="str">
        <x:v>T-POS-009</x:v>
      </x:c>
    </x:row>
    <x:row r="95" ht="66" customHeight="1">
      <x:c r="A95" s="111" t="str">
        <x:v>POS-010</x:v>
      </x:c>
      <x:c r="B95" s="111" t="str">
        <x:v>Postal packets</x:v>
      </x:c>
      <x:c r="C95" s="111" t="str">
        <x:v>Data-before-goods</x:v>
      </x:c>
      <x:c r="D95" s="111" t="str">
        <x:v>MUST</x:v>
      </x:c>
      <x:c r="E95" s="111" t="str">
        <x:v>Required EAD SHALL be acknowledged or otherwise in the external accepted state before physical entry/loading/tender cut-offs.</x:v>
      </x:c>
      <x:c r="F95" s="111" t="str">
        <x:v>Handover readiness</x:v>
      </x:c>
      <x:c r="G95" s="111" t="str">
        <x:v>Message status and cut-off</x:v>
      </x:c>
      <x:c r="H95" s="111" t="str">
        <x:v>Ready/not ready</x:v>
      </x:c>
      <x:c r="I95" s="111" t="str">
        <x:v>External operator</x:v>
      </x:c>
      <x:c r="J95" s="111" t="str">
        <x:v>Hold</x:v>
      </x:c>
      <x:c r="K95" s="111" t="str">
        <x:v>Acknowledgement</x:v>
      </x:c>
      <x:c r="L95" s="111" t="str">
        <x:v>SRC-POST-001, SRC-POST-002, SRC-POST-003, SRC-POST-004</x:v>
      </x:c>
      <x:c r="M95" s="111" t="str">
        <x:v>T-POS-010</x:v>
      </x:c>
    </x:row>
    <x:row r="96" ht="66" customHeight="1">
      <x:c r="A96" s="110" t="str">
        <x:v>POS-011</x:v>
      </x:c>
      <x:c r="B96" s="110" t="str">
        <x:v>Postal packets</x:v>
      </x:c>
      <x:c r="C96" s="110" t="str">
        <x:v>Six-digit HS transition</x:v>
      </x:c>
      <x:c r="D96" s="110" t="str">
        <x:v>MUST</x:v>
      </x:c>
      <x:c r="E96" s="110" t="str">
        <x:v>Postal rules SHALL support destination-specific six-digit HS mandates and effective dates; the system SHALL not assume a universal exemption for noncommercial gifts or samples.</x:v>
      </x:c>
      <x:c r="F96" s="110" t="str">
        <x:v>Postal contents validation</x:v>
      </x:c>
      <x:c r="G96" s="110" t="str">
        <x:v>Destination, date, content purpose</x:v>
      </x:c>
      <x:c r="H96" s="110" t="str">
        <x:v>HS required/not required</x:v>
      </x:c>
      <x:c r="I96" s="110" t="str">
        <x:v>Automated</x:v>
      </x:c>
      <x:c r="J96" s="110" t="str">
        <x:v>Hold</x:v>
      </x:c>
      <x:c r="K96" s="110" t="str">
        <x:v>Matched rule</x:v>
      </x:c>
      <x:c r="L96" s="110" t="str">
        <x:v>SRC-POST-001, SRC-POST-002, SRC-POST-003, SRC-POST-004</x:v>
      </x:c>
      <x:c r="M96" s="110" t="str">
        <x:v>T-POS-011</x:v>
      </x:c>
    </x:row>
    <x:row r="97" ht="66" customHeight="1">
      <x:c r="A97" s="111" t="str">
        <x:v>POS-012</x:v>
      </x:c>
      <x:c r="B97" s="111" t="str">
        <x:v>Postal packets</x:v>
      </x:c>
      <x:c r="C97" s="111" t="str">
        <x:v>Postal returns</x:v>
      </x:c>
      <x:c r="D97" s="111" t="str">
        <x:v>MUST</x:v>
      </x:c>
      <x:c r="E97" s="111" t="str">
        <x:v>Undeliverable/return-to-sender flows SHALL preserve original S10 and customs data, create required return identifiers/messages, and link reason, custody and duty-relief evidence.</x:v>
      </x:c>
      <x:c r="F97" s="111" t="str">
        <x:v>Return event</x:v>
      </x:c>
      <x:c r="G97" s="111" t="str">
        <x:v>Original item and operator response</x:v>
      </x:c>
      <x:c r="H97" s="111" t="str">
        <x:v>Linked postal return</x:v>
      </x:c>
      <x:c r="I97" s="111" t="str">
        <x:v>Automated/external operator</x:v>
      </x:c>
      <x:c r="J97" s="111" t="str">
        <x:v>Hold exception</x:v>
      </x:c>
      <x:c r="K97" s="111" t="str">
        <x:v>Return event chain</x:v>
      </x:c>
      <x:c r="L97" s="111" t="str">
        <x:v>SRC-POST-001, SRC-POST-002, SRC-POST-003, SRC-POST-004</x:v>
      </x:c>
      <x:c r="M97" s="111" t="str">
        <x:v>T-POS-012</x:v>
      </x:c>
    </x:row>
    <x:row r="98" ht="66" customHeight="1">
      <x:c r="A98" s="110" t="str">
        <x:v>POS-013</x:v>
      </x:c>
      <x:c r="B98" s="110" t="str">
        <x:v>Postal packets</x:v>
      </x:c>
      <x:c r="C98" s="110" t="str">
        <x:v>Postal message versioning</x:v>
      </x:c>
      <x:c r="D98" s="110" t="str">
        <x:v>MUST</x:v>
      </x:c>
      <x:c r="E98" s="110" t="str">
        <x:v>UPU message versions, code lists and bilateral operator deviations SHALL be adapter configuration with conformance tests; unknown versions fail closed.</x:v>
      </x:c>
      <x:c r="F98" s="110" t="str">
        <x:v>Message exchange</x:v>
      </x:c>
      <x:c r="G98" s="110" t="str">
        <x:v>Operator/version/schema</x:v>
      </x:c>
      <x:c r="H98" s="110" t="str">
        <x:v>Accepted schema</x:v>
      </x:c>
      <x:c r="I98" s="110" t="str">
        <x:v>Integration owner</x:v>
      </x:c>
      <x:c r="J98" s="110" t="str">
        <x:v>Reject/hold</x:v>
      </x:c>
      <x:c r="K98" s="110" t="str">
        <x:v>Schema validation report</x:v>
      </x:c>
      <x:c r="L98" s="110" t="str">
        <x:v>SRC-POST-001, SRC-POST-002, SRC-POST-003, SRC-POST-004</x:v>
      </x:c>
      <x:c r="M98" s="110" t="str">
        <x:v>T-POS-013</x:v>
      </x:c>
    </x:row>
    <x:row r="99" ht="66" customHeight="1">
      <x:c r="A99" s="111" t="str">
        <x:v>AIR-001</x:v>
      </x:c>
      <x:c r="B99" s="111" t="str">
        <x:v>Air freight</x:v>
      </x:c>
      <x:c r="C99" s="111" t="str">
        <x:v>Air forwarder/carrier boundary</x:v>
      </x:c>
      <x:c r="D99" s="111" t="str">
        <x:v>MUST</x:v>
      </x:c>
      <x:c r="E99" s="111" t="str">
        <x:v>Air-freight booking and AWB flows SHALL identify the contracted carrier/forwarder and regulated filing/security party. The warehouse operator SHALL not be presented as airline, freight forwarder or regulated agent unless separately authorized.</x:v>
      </x:c>
      <x:c r="F99" s="111" t="str">
        <x:v>Air quote/booking</x:v>
      </x:c>
      <x:c r="G99" s="111" t="str">
        <x:v>Contracts, roles, security status</x:v>
      </x:c>
      <x:c r="H99" s="111" t="str">
        <x:v>Valid routing roles</x:v>
      </x:c>
      <x:c r="I99" s="111" t="str">
        <x:v>Air operations compliance</x:v>
      </x:c>
      <x:c r="J99" s="111" t="str">
        <x:v>Block</x:v>
      </x:c>
      <x:c r="K99" s="111" t="str">
        <x:v>Role/contract record</x:v>
      </x:c>
      <x:c r="L99" s="111" t="str">
        <x:v>SRC-AIR-009, SRC-AIR-010, SRC-AIR-011, SRC-AIR-012, SRC-AIR-013, SRC-AIR-014</x:v>
      </x:c>
      <x:c r="M99" s="111" t="str">
        <x:v>T-AIR-001</x:v>
      </x:c>
    </x:row>
    <x:row r="100" ht="66" customHeight="1">
      <x:c r="A100" s="110" t="str">
        <x:v>AIR-002</x:v>
      </x:c>
      <x:c r="B100" s="110" t="str">
        <x:v>Air freight</x:v>
      </x:c>
      <x:c r="C100" s="110" t="str">
        <x:v>Known consignor/security status</x:v>
      </x:c>
      <x:c r="D100" s="110" t="str">
        <x:v>MUST</x:v>
      </x:c>
      <x:c r="E100" s="110" t="str">
        <x:v>Where aviation-security programs require regulated agent/known consignor status, the platform SHALL capture status, authority, identifier, scope and expiry and enforce required screening by an authorized external party.</x:v>
      </x:c>
      <x:c r="F100" s="110" t="str">
        <x:v>Air tender</x:v>
      </x:c>
      <x:c r="G100" s="110" t="str">
        <x:v>Origin security regime, parties, site</x:v>
      </x:c>
      <x:c r="H100" s="110" t="str">
        <x:v>Screening route/status</x:v>
      </x:c>
      <x:c r="I100" s="110" t="str">
        <x:v>External authorized security party</x:v>
      </x:c>
      <x:c r="J100" s="110" t="str">
        <x:v>Hold</x:v>
      </x:c>
      <x:c r="K100" s="110" t="str">
        <x:v>Certificate and screening result</x:v>
      </x:c>
      <x:c r="L100" s="110" t="str">
        <x:v>SRC-AIR-009, SRC-AIR-010, SRC-AIR-011, SRC-AIR-012, SRC-AIR-013, SRC-AIR-014</x:v>
      </x:c>
      <x:c r="M100" s="110" t="str">
        <x:v>T-AIR-002</x:v>
      </x:c>
    </x:row>
    <x:row r="101" ht="66" customHeight="1">
      <x:c r="A101" s="111" t="str">
        <x:v>AIR-003</x:v>
      </x:c>
      <x:c r="B101" s="111" t="str">
        <x:v>Air freight</x:v>
      </x:c>
      <x:c r="C101" s="111" t="str">
        <x:v>PLACI timing</x:v>
      </x:c>
      <x:c r="D101" s="111" t="str">
        <x:v>MUST</x:v>
      </x:c>
      <x:c r="E101" s="111" t="str">
        <x:v>The system SHALL calculate per-regime and per-carrier pre-loading filing cut-offs and transmit data only through the carrier/forwarder/postal partner; missed or unknown cut-offs block loading.</x:v>
      </x:c>
      <x:c r="F101" s="111" t="str">
        <x:v>Booking/route/time change</x:v>
      </x:c>
      <x:c r="G101" s="111" t="str">
        <x:v>Regime, departure, carrier, data readiness</x:v>
      </x:c>
      <x:c r="H101" s="111" t="str">
        <x:v>Filed/accepted before cut-off</x:v>
      </x:c>
      <x:c r="I101" s="111" t="str">
        <x:v>External filer</x:v>
      </x:c>
      <x:c r="J101" s="111" t="str">
        <x:v>Do not load</x:v>
      </x:c>
      <x:c r="K101" s="111" t="str">
        <x:v>Timestamps and response</x:v>
      </x:c>
      <x:c r="L101" s="111" t="str">
        <x:v>SRC-AIR-009, SRC-AIR-010, SRC-AIR-011, SRC-AIR-012, SRC-AIR-013, SRC-AIR-014</x:v>
      </x:c>
      <x:c r="M101" s="111" t="str">
        <x:v>T-AIR-003</x:v>
      </x:c>
    </x:row>
    <x:row r="102" ht="66" customHeight="1">
      <x:c r="A102" s="110" t="str">
        <x:v>AIR-004</x:v>
      </x:c>
      <x:c r="B102" s="110" t="str">
        <x:v>Air freight</x:v>
      </x:c>
      <x:c r="C102" s="110" t="str">
        <x:v>PLACI referrals</x:v>
      </x:c>
      <x:c r="D102" s="110" t="str">
        <x:v>MUST</x:v>
      </x:c>
      <x:c r="E102" s="110" t="str">
        <x:v>RFI, RFS, DNL and equivalent referrals SHALL be normalized without losing provider-specific codes; only an external clearance may release a security hold.</x:v>
      </x:c>
      <x:c r="F102" s="110" t="str">
        <x:v>External event</x:v>
      </x:c>
      <x:c r="G102" s="110" t="str">
        <x:v>Referral, source, scope</x:v>
      </x:c>
      <x:c r="H102" s="110" t="str">
        <x:v>Normalized referral state</x:v>
      </x:c>
      <x:c r="I102" s="110" t="str">
        <x:v>External authority/carrier</x:v>
      </x:c>
      <x:c r="J102" s="110" t="str">
        <x:v>Hold</x:v>
      </x:c>
      <x:c r="K102" s="110" t="str">
        <x:v>Raw/normalized event</x:v>
      </x:c>
      <x:c r="L102" s="110" t="str">
        <x:v>SRC-AIR-009, SRC-AIR-010, SRC-AIR-011, SRC-AIR-012, SRC-AIR-013, SRC-AIR-014</x:v>
      </x:c>
      <x:c r="M102" s="110" t="str">
        <x:v>T-AIR-004</x:v>
      </x:c>
    </x:row>
    <x:row r="103" ht="66" customHeight="1">
      <x:c r="A103" s="111" t="str">
        <x:v>AIR-005</x:v>
      </x:c>
      <x:c r="B103" s="111" t="str">
        <x:v>Air freight</x:v>
      </x:c>
      <x:c r="C103" s="111" t="str">
        <x:v>AWB identity</x:v>
      </x:c>
      <x:c r="D103" s="111" t="str">
        <x:v>MUST</x:v>
      </x:c>
      <x:c r="E103" s="111" t="str">
        <x:v>Master and house air waybill numbers SHALL be validated, linked to consignments and packages, and generated/accepted only under the carrier/forwarder allocation rules.</x:v>
      </x:c>
      <x:c r="F103" s="111" t="str">
        <x:v>Booking/manifest</x:v>
      </x:c>
      <x:c r="G103" s="111" t="str">
        <x:v>AWB allocation and shipment</x:v>
      </x:c>
      <x:c r="H103" s="111" t="str">
        <x:v>Valid MAWB/HAWB graph</x:v>
      </x:c>
      <x:c r="I103" s="111" t="str">
        <x:v>Air partner</x:v>
      </x:c>
      <x:c r="J103" s="111" t="str">
        <x:v>Hold</x:v>
      </x:c>
      <x:c r="K103" s="111" t="str">
        <x:v>Allocation response</x:v>
      </x:c>
      <x:c r="L103" s="111" t="str">
        <x:v>SRC-AIR-009, SRC-AIR-010, SRC-AIR-011, SRC-AIR-012, SRC-AIR-013, SRC-AIR-014</x:v>
      </x:c>
      <x:c r="M103" s="111" t="str">
        <x:v>T-AIR-005</x:v>
      </x:c>
    </x:row>
    <x:row r="104" ht="66" customHeight="1">
      <x:c r="A104" s="110" t="str">
        <x:v>AIR-006</x:v>
      </x:c>
      <x:c r="B104" s="110" t="str">
        <x:v>Air freight</x:v>
      </x:c>
      <x:c r="C104" s="110" t="str">
        <x:v>AWB data integrity</x:v>
      </x:c>
      <x:c r="D104" s="110" t="str">
        <x:v>MUST</x:v>
      </x:c>
      <x:c r="E104" s="110" t="str">
        <x:v>Shipper, consignee, routing, handling information, nature/quantity, weights, charges, declared values and special handling SHALL reconcile to canonical shipment and carrier acceptance.</x:v>
      </x:c>
      <x:c r="F104" s="110" t="str">
        <x:v>AWB creation/update</x:v>
      </x:c>
      <x:c r="G104" s="110" t="str">
        <x:v>Canonical data and booking</x:v>
      </x:c>
      <x:c r="H104" s="110" t="str">
        <x:v>Validated AWB</x:v>
      </x:c>
      <x:c r="I104" s="110" t="str">
        <x:v>Automated/external carrier</x:v>
      </x:c>
      <x:c r="J104" s="110" t="str">
        <x:v>Hold</x:v>
      </x:c>
      <x:c r="K104" s="110" t="str">
        <x:v>AWB/hash/response</x:v>
      </x:c>
      <x:c r="L104" s="110" t="str">
        <x:v>SRC-AIR-009, SRC-AIR-010, SRC-AIR-011, SRC-AIR-012, SRC-AIR-013, SRC-AIR-014</x:v>
      </x:c>
      <x:c r="M104" s="110" t="str">
        <x:v>T-AIR-006</x:v>
      </x:c>
    </x:row>
    <x:row r="105" ht="66" customHeight="1">
      <x:c r="A105" s="111" t="str">
        <x:v>AIR-007</x:v>
      </x:c>
      <x:c r="B105" s="111" t="str">
        <x:v>Air freight</x:v>
      </x:c>
      <x:c r="C105" s="111" t="str">
        <x:v>e-AWB applicability</x:v>
      </x:c>
      <x:c r="D105" s="111" t="str">
        <x:v>MUST</x:v>
      </x:c>
      <x:c r="E105" s="111" t="str">
        <x:v>Electronic AWB shall be used only for lanes/participants accepting it; paper fallback and original-document requirements SHALL be country/partner configuration.</x:v>
      </x:c>
      <x:c r="F105" s="111" t="str">
        <x:v>Booking</x:v>
      </x:c>
      <x:c r="G105" s="111" t="str">
        <x:v>Participants, lane, agreement</x:v>
      </x:c>
      <x:c r="H105" s="111" t="str">
        <x:v>e-AWB or paper path</x:v>
      </x:c>
      <x:c r="I105" s="111" t="str">
        <x:v>Air partner</x:v>
      </x:c>
      <x:c r="J105" s="111" t="str">
        <x:v>Hold if no valid form</x:v>
      </x:c>
      <x:c r="K105" s="111" t="str">
        <x:v>Applicability decision</x:v>
      </x:c>
      <x:c r="L105" s="111" t="str">
        <x:v>SRC-AIR-009, SRC-AIR-010, SRC-AIR-011, SRC-AIR-012, SRC-AIR-013, SRC-AIR-014</x:v>
      </x:c>
      <x:c r="M105" s="111" t="str">
        <x:v>T-AIR-007</x:v>
      </x:c>
    </x:row>
    <x:row r="106" ht="66" customHeight="1">
      <x:c r="A106" s="110" t="str">
        <x:v>AIR-008</x:v>
      </x:c>
      <x:c r="B106" s="110" t="str">
        <x:v>Air freight</x:v>
      </x:c>
      <x:c r="C106" s="110" t="str">
        <x:v>ONE Record/Cargo-XML adapter</x:v>
      </x:c>
      <x:c r="D106" s="110" t="str">
        <x:v>MUST</x:v>
      </x:c>
      <x:c r="E106" s="110" t="str">
        <x:v>The vendor-neutral air adapter SHALL support canonical mapping to ONE Record APIs and Cargo-XML/partner formats while preserving identifiers, events, data ownership and security controls.</x:v>
      </x:c>
      <x:c r="F106" s="110" t="str">
        <x:v>Integration</x:v>
      </x:c>
      <x:c r="G106" s="110" t="str">
        <x:v>Canonical cargo graph and partner schema</x:v>
      </x:c>
      <x:c r="H106" s="110" t="str">
        <x:v>Lossless mapped exchange</x:v>
      </x:c>
      <x:c r="I106" s="110" t="str">
        <x:v>Integration owner</x:v>
      </x:c>
      <x:c r="J106" s="110" t="str">
        <x:v>Reject lossy mapping</x:v>
      </x:c>
      <x:c r="K106" s="110" t="str">
        <x:v>Mapping/conformance test</x:v>
      </x:c>
      <x:c r="L106" s="110" t="str">
        <x:v>SRC-AIR-009, SRC-AIR-010, SRC-AIR-011, SRC-AIR-012, SRC-AIR-013, SRC-AIR-014</x:v>
      </x:c>
      <x:c r="M106" s="110" t="str">
        <x:v>T-AIR-008</x:v>
      </x:c>
    </x:row>
    <x:row r="107" ht="66" customHeight="1">
      <x:c r="A107" s="111" t="str">
        <x:v>AIR-009</x:v>
      </x:c>
      <x:c r="B107" s="111" t="str">
        <x:v>Air freight</x:v>
      </x:c>
      <x:c r="C107" s="111" t="str">
        <x:v>Special handling codes</x:v>
      </x:c>
      <x:c r="D107" s="111" t="str">
        <x:v>MUST</x:v>
      </x:c>
      <x:c r="E107" s="111" t="str">
        <x:v>Temperature, DG, live/valuable/vulnerable cargo, perishables, pharmaceuticals, dry ice and other special handling codes SHALL be derived from approved product/package profiles and confirmed by the carrier.</x:v>
      </x:c>
      <x:c r="F107" s="111" t="str">
        <x:v>Booking</x:v>
      </x:c>
      <x:c r="G107" s="111" t="str">
        <x:v>Commodity and package conditions</x:v>
      </x:c>
      <x:c r="H107" s="111" t="str">
        <x:v>Accepted special handling</x:v>
      </x:c>
      <x:c r="I107" s="111" t="str">
        <x:v>Carrier/external approver</x:v>
      </x:c>
      <x:c r="J107" s="111" t="str">
        <x:v>Hold</x:v>
      </x:c>
      <x:c r="K107" s="111" t="str">
        <x:v>Booking response</x:v>
      </x:c>
      <x:c r="L107" s="111" t="str">
        <x:v>SRC-AIR-009, SRC-AIR-010, SRC-AIR-011, SRC-AIR-012, SRC-AIR-013, SRC-AIR-014</x:v>
      </x:c>
      <x:c r="M107" s="111" t="str">
        <x:v>T-AIR-009</x:v>
      </x:c>
    </x:row>
    <x:row r="108" ht="66" customHeight="1">
      <x:c r="A108" s="110" t="str">
        <x:v>AIR-010</x:v>
      </x:c>
      <x:c r="B108" s="110" t="str">
        <x:v>Air freight</x:v>
      </x:c>
      <x:c r="C108" s="110" t="str">
        <x:v>Weight/volume verification</x:v>
      </x:c>
      <x:c r="D108" s="110" t="str">
        <x:v>MUST</x:v>
      </x:c>
      <x:c r="E108" s="110" t="str">
        <x:v>Actual gross, chargeable and dimensional weights and package dimensions SHALL be reconciled at build-up and carrier handover; changes trigger rate, DG, security and declaration reevaluation.</x:v>
      </x:c>
      <x:c r="F108" s="110" t="str">
        <x:v>Weigh/measure event</x:v>
      </x:c>
      <x:c r="G108" s="110" t="str">
        <x:v>Package measurements and booking</x:v>
      </x:c>
      <x:c r="H108" s="110" t="str">
        <x:v>Revalidated booking</x:v>
      </x:c>
      <x:c r="I108" s="110" t="str">
        <x:v>Automated</x:v>
      </x:c>
      <x:c r="J108" s="110" t="str">
        <x:v>Hold discrepancy</x:v>
      </x:c>
      <x:c r="K108" s="110" t="str">
        <x:v>Measurement device/event</x:v>
      </x:c>
      <x:c r="L108" s="110" t="str">
        <x:v>SRC-AIR-009, SRC-AIR-010, SRC-AIR-011, SRC-AIR-012, SRC-AIR-013, SRC-AIR-014</x:v>
      </x:c>
      <x:c r="M108" s="110" t="str">
        <x:v>T-AIR-010</x:v>
      </x:c>
    </x:row>
    <x:row r="109" ht="66" customHeight="1">
      <x:c r="A109" s="111" t="str">
        <x:v>AIR-011</x:v>
      </x:c>
      <x:c r="B109" s="111" t="str">
        <x:v>Air freight</x:v>
      </x:c>
      <x:c r="C109" s="111" t="str">
        <x:v>Flight/routing change</x:v>
      </x:c>
      <x:c r="D109" s="111" t="str">
        <x:v>MUST</x:v>
      </x:c>
      <x:c r="E109" s="111" t="str">
        <x:v>A carrier routing change SHALL trigger transit, sanctions, security, temperature, service and document impact evaluation using carrier events or external assurance.</x:v>
      </x:c>
      <x:c r="F109" s="111" t="str">
        <x:v>Route event</x:v>
      </x:c>
      <x:c r="G109" s="111" t="str">
        <x:v>Old/new routing</x:v>
      </x:c>
      <x:c r="H109" s="111" t="str">
        <x:v>Continue/review/intercept</x:v>
      </x:c>
      <x:c r="I109" s="111" t="str">
        <x:v>Automated/air operations</x:v>
      </x:c>
      <x:c r="J109" s="111" t="str">
        <x:v>Hold if before handover; escalate in transit</x:v>
      </x:c>
      <x:c r="K109" s="111" t="str">
        <x:v>Routing event</x:v>
      </x:c>
      <x:c r="L109" s="111" t="str">
        <x:v>SRC-AIR-009, SRC-AIR-010, SRC-AIR-011, SRC-AIR-012, SRC-AIR-013, SRC-AIR-014</x:v>
      </x:c>
      <x:c r="M109" s="111" t="str">
        <x:v>T-AIR-011</x:v>
      </x:c>
    </x:row>
    <x:row r="110" ht="66" customHeight="1">
      <x:c r="A110" s="110" t="str">
        <x:v>AIR-012</x:v>
      </x:c>
      <x:c r="B110" s="110" t="str">
        <x:v>Air freight</x:v>
      </x:c>
      <x:c r="C110" s="110" t="str">
        <x:v>Montreal Convention versioning</x:v>
      </x:c>
      <x:c r="D110" s="110" t="str">
        <x:v>MUST</x:v>
      </x:c>
      <x:c r="E110" s="110" t="str">
        <x:v>Air-carriage convention applicability and liability limits SHALL be calculated by lane/date/parties and stored as versioned legal data; displayed amounts are informational and never hard-coded globally.</x:v>
      </x:c>
      <x:c r="F110" s="110" t="str">
        <x:v>Quote/claim context</x:v>
      </x:c>
      <x:c r="G110" s="110" t="str">
        <x:v>Lane, carrier, dates, declared value</x:v>
      </x:c>
      <x:c r="H110" s="110" t="str">
        <x:v>Applicable regime/limit</x:v>
      </x:c>
      <x:c r="I110" s="110" t="str">
        <x:v>Legal configuration</x:v>
      </x:c>
      <x:c r="J110" s="110" t="str">
        <x:v>Mark unknown and require review</x:v>
      </x:c>
      <x:c r="K110" s="110" t="str">
        <x:v>Rule version</x:v>
      </x:c>
      <x:c r="L110" s="110" t="str">
        <x:v>SRC-AIR-009, SRC-AIR-010, SRC-AIR-011, SRC-AIR-012, SRC-AIR-013, SRC-AIR-014</x:v>
      </x:c>
      <x:c r="M110" s="110" t="str">
        <x:v>T-AIR-012</x:v>
      </x:c>
    </x:row>
    <x:row r="111" ht="66" customHeight="1">
      <x:c r="A111" s="111" t="str">
        <x:v>AIR-013</x:v>
      </x:c>
      <x:c r="B111" s="111" t="str">
        <x:v>Air freight</x:v>
      </x:c>
      <x:c r="C111" s="111" t="str">
        <x:v>Air manifest close</x:v>
      </x:c>
      <x:c r="D111" s="111" t="str">
        <x:v>MUST</x:v>
      </x:c>
      <x:c r="E111" s="111" t="str">
        <x:v>Manifest close SHALL require all packages scanned, filings/security statuses acceptable, DG approvals current, weights reconciled and carrier booking accepted.</x:v>
      </x:c>
      <x:c r="F111" s="111" t="str">
        <x:v>Build-up close</x:v>
      </x:c>
      <x:c r="G111" s="111" t="str">
        <x:v>Package/filing/booking statuses</x:v>
      </x:c>
      <x:c r="H111" s="111" t="str">
        <x:v>Closed/blocked manifest</x:v>
      </x:c>
      <x:c r="I111" s="111" t="str">
        <x:v>Warehouse release supervisor</x:v>
      </x:c>
      <x:c r="J111" s="111" t="str">
        <x:v>Do not tender</x:v>
      </x:c>
      <x:c r="K111" s="111" t="str">
        <x:v>Close checklist</x:v>
      </x:c>
      <x:c r="L111" s="111" t="str">
        <x:v>SRC-AIR-009, SRC-AIR-010, SRC-AIR-011, SRC-AIR-012, SRC-AIR-013, SRC-AIR-014</x:v>
      </x:c>
      <x:c r="M111" s="111" t="str">
        <x:v>T-AIR-013</x:v>
      </x:c>
    </x:row>
    <x:row r="112" ht="66" customHeight="1">
      <x:c r="A112" s="110" t="str">
        <x:v>DGR-001</x:v>
      </x:c>
      <x:c r="B112" s="110" t="str">
        <x:v>Dangerous goods &amp; lithium batteries</x:v>
      </x:c>
      <x:c r="C112" s="110" t="str">
        <x:v>Universal DG prescreen</x:v>
      </x:c>
      <x:c r="D112" s="110" t="str">
        <x:v>MUST</x:v>
      </x:c>
      <x:c r="E112" s="110" t="str">
        <x:v>Every product SHALL pass a potential-DG screening questionnaire/knowledge rule before it may be classified as non-DG; keywords alone may not determine non-DG status.</x:v>
      </x:c>
      <x:c r="F112" s="110" t="str">
        <x:v>Product onboarding/change</x:v>
      </x:c>
      <x:c r="G112" s="110" t="str">
        <x:v>Composition, SDS, use, battery/aerosol/magnet/dry ice indicators</x:v>
      </x:c>
      <x:c r="H112" s="110" t="str">
        <x:v>Not DG / potential DG</x:v>
      </x:c>
      <x:c r="I112" s="110" t="str">
        <x:v>Automated; DG reviewer for potential</x:v>
      </x:c>
      <x:c r="J112" s="110" t="str">
        <x:v>Hold potential/unknown</x:v>
      </x:c>
      <x:c r="K112" s="110" t="str">
        <x:v>Questionnaire and rule version</x:v>
      </x:c>
      <x:c r="L112" s="110" t="str">
        <x:v>SRC-AIR-001, SRC-AIR-002, SRC-AIR-003, SRC-AIR-004, SRC-AIR-005, SRC-AIR-006, SRC-AIR-007, SRC-AIR-008</x:v>
      </x:c>
      <x:c r="M112" s="110" t="str">
        <x:v>T-DGR-001</x:v>
      </x:c>
    </x:row>
    <x:row r="113" ht="66" customHeight="1">
      <x:c r="A113" s="111" t="str">
        <x:v>DGR-002</x:v>
      </x:c>
      <x:c r="B113" s="111" t="str">
        <x:v>Dangerous goods &amp; lithium batteries</x:v>
      </x:c>
      <x:c r="C113" s="111" t="str">
        <x:v>Certified human approval</x:v>
      </x:c>
      <x:c r="D113" s="111" t="str">
        <x:v>MUST</x:v>
      </x:c>
      <x:c r="E113" s="111" t="str">
        <x:v>Any dangerous goods or lithium battery shipment SHALL require a currently certified human approval scoped to mode, class, packing instruction, carrier and jurisdiction before label/manifest release.</x:v>
      </x:c>
      <x:c r="F113" s="111" t="str">
        <x:v>Pre-label and pre-handover</x:v>
      </x:c>
      <x:c r="G113" s="111" t="str">
        <x:v>DG profile, package, reviewer credential</x:v>
      </x:c>
      <x:c r="H113" s="111" t="str">
        <x:v>Approved/rejected</x:v>
      </x:c>
      <x:c r="I113" s="111" t="str">
        <x:v>Certified DG reviewer</x:v>
      </x:c>
      <x:c r="J113" s="111" t="str">
        <x:v>Hold</x:v>
      </x:c>
      <x:c r="K113" s="111" t="str">
        <x:v>Signed approval</x:v>
      </x:c>
      <x:c r="L113" s="111" t="str">
        <x:v>SRC-AIR-001, SRC-AIR-002, SRC-AIR-003, SRC-AIR-004, SRC-AIR-005, SRC-AIR-006, SRC-AIR-007, SRC-AIR-008</x:v>
      </x:c>
      <x:c r="M113" s="111" t="str">
        <x:v>T-DGR-002</x:v>
      </x:c>
    </x:row>
    <x:row r="114" ht="66" customHeight="1">
      <x:c r="A114" s="110" t="str">
        <x:v>DGR-003</x:v>
      </x:c>
      <x:c r="B114" s="110" t="str">
        <x:v>Dangerous goods &amp; lithium batteries</x:v>
      </x:c>
      <x:c r="C114" s="110" t="str">
        <x:v>External acceptance boundary</x:v>
      </x:c>
      <x:c r="D114" s="110" t="str">
        <x:v>MUST</x:v>
      </x:c>
      <x:c r="E114" s="110" t="str">
        <x:v>The platform MAY generate DG documents but SHALL require carrier/forwarder acceptance or other configured external approval before tender. Internal approval does not guarantee carriage.</x:v>
      </x:c>
      <x:c r="F114" s="110" t="str">
        <x:v>Booking/tender</x:v>
      </x:c>
      <x:c r="G114" s="110" t="str">
        <x:v>Internal approval and carrier response</x:v>
      </x:c>
      <x:c r="H114" s="110" t="str">
        <x:v>Externally accepted</x:v>
      </x:c>
      <x:c r="I114" s="110" t="str">
        <x:v>Carrier/forwarder</x:v>
      </x:c>
      <x:c r="J114" s="110" t="str">
        <x:v>Hold</x:v>
      </x:c>
      <x:c r="K114" s="110" t="str">
        <x:v>Acceptance response</x:v>
      </x:c>
      <x:c r="L114" s="110" t="str">
        <x:v>SRC-AIR-001, SRC-AIR-002, SRC-AIR-003, SRC-AIR-004, SRC-AIR-005, SRC-AIR-006, SRC-AIR-007, SRC-AIR-008</x:v>
      </x:c>
      <x:c r="M114" s="110" t="str">
        <x:v>T-DGR-003</x:v>
      </x:c>
    </x:row>
    <x:row r="115" ht="66" customHeight="1">
      <x:c r="A115" s="111" t="str">
        <x:v>DGR-004</x:v>
      </x:c>
      <x:c r="B115" s="111" t="str">
        <x:v>Dangerous goods &amp; lithium batteries</x:v>
      </x:c>
      <x:c r="C115" s="111" t="str">
        <x:v>Edition and variation</x:v>
      </x:c>
      <x:c r="D115" s="111" t="str">
        <x:v>MUST</x:v>
      </x:c>
      <x:c r="E115" s="111" t="str">
        <x:v>DG evaluation SHALL select ICAO Technical Instructions/IATA DGR edition by acceptance date and include origin, transit, destination state variations plus operator variations and service-contract limitations.</x:v>
      </x:c>
      <x:c r="F115" s="111" t="str">
        <x:v>DG evaluation</x:v>
      </x:c>
      <x:c r="G115" s="111" t="str">
        <x:v>Dates, route, operator, class/profile</x:v>
      </x:c>
      <x:c r="H115" s="111" t="str">
        <x:v>Applicable rule stack</x:v>
      </x:c>
      <x:c r="I115" s="111" t="str">
        <x:v>DG reviewer</x:v>
      </x:c>
      <x:c r="J115" s="111" t="str">
        <x:v>UNKNOWN_BLOCKED if any variation unavailable</x:v>
      </x:c>
      <x:c r="K115" s="111" t="str">
        <x:v>Edition/variation trace</x:v>
      </x:c>
      <x:c r="L115" s="111" t="str">
        <x:v>SRC-AIR-001, SRC-AIR-002, SRC-AIR-003, SRC-AIR-004, SRC-AIR-005, SRC-AIR-006, SRC-AIR-007, SRC-AIR-008</x:v>
      </x:c>
      <x:c r="M115" s="111" t="str">
        <x:v>T-DGR-004</x:v>
      </x:c>
    </x:row>
    <x:row r="116" ht="66" customHeight="1">
      <x:c r="A116" s="110" t="str">
        <x:v>DGR-005</x:v>
      </x:c>
      <x:c r="B116" s="110" t="str">
        <x:v>Dangerous goods &amp; lithium batteries</x:v>
      </x:c>
      <x:c r="C116" s="110" t="str">
        <x:v>UN classification evidence</x:v>
      </x:c>
      <x:c r="D116" s="110" t="str">
        <x:v>MUST</x:v>
      </x:c>
      <x:c r="E116" s="110" t="str">
        <x:v>UN number/classification SHALL be supported by SDS, manufacturer statement, competent authority approval or test evidence appropriate to the material; a carrier product code is not sufficient evidence.</x:v>
      </x:c>
      <x:c r="F116" s="110" t="str">
        <x:v>Product classification</x:v>
      </x:c>
      <x:c r="G116" s="110" t="str">
        <x:v>Evidence and product version</x:v>
      </x:c>
      <x:c r="H116" s="110" t="str">
        <x:v>Approved DG identity</x:v>
      </x:c>
      <x:c r="I116" s="110" t="str">
        <x:v>DG reviewer</x:v>
      </x:c>
      <x:c r="J116" s="110" t="str">
        <x:v>Hold</x:v>
      </x:c>
      <x:c r="K116" s="110" t="str">
        <x:v>Evidence document</x:v>
      </x:c>
      <x:c r="L116" s="110" t="str">
        <x:v>SRC-AIR-001, SRC-AIR-002, SRC-AIR-003, SRC-AIR-004, SRC-AIR-005, SRC-AIR-006, SRC-AIR-007, SRC-AIR-008</x:v>
      </x:c>
      <x:c r="M116" s="110" t="str">
        <x:v>T-DGR-005</x:v>
      </x:c>
    </x:row>
    <x:row r="117" ht="66" customHeight="1">
      <x:c r="A117" s="111" t="str">
        <x:v>DGR-006</x:v>
      </x:c>
      <x:c r="B117" s="111" t="str">
        <x:v>Dangerous goods &amp; lithium batteries</x:v>
      </x:c>
      <x:c r="C117" s="111" t="str">
        <x:v>Packaging selection</x:v>
      </x:c>
      <x:c r="D117" s="111" t="str">
        <x:v>MUST</x:v>
      </x:c>
      <x:c r="E117" s="111" t="str">
        <x:v>The system SHALL enforce permitted combination/single packaging, performance level, material compatibility, closures, inner quantities, absorbent/cushioning, orientation and pressure/temperature conditions per packing instruction.</x:v>
      </x:c>
      <x:c r="F117" s="111" t="str">
        <x:v>Pack planning/confirmation</x:v>
      </x:c>
      <x:c r="G117" s="111" t="str">
        <x:v>DG profile and packaging certificate</x:v>
      </x:c>
      <x:c r="H117" s="111" t="str">
        <x:v>Compliant package plan</x:v>
      </x:c>
      <x:c r="I117" s="111" t="str">
        <x:v>DG reviewer + packer confirmation</x:v>
      </x:c>
      <x:c r="J117" s="111" t="str">
        <x:v>Hold</x:v>
      </x:c>
      <x:c r="K117" s="111" t="str">
        <x:v>Packaging BOM and checklist</x:v>
      </x:c>
      <x:c r="L117" s="111" t="str">
        <x:v>SRC-AIR-001, SRC-AIR-002, SRC-AIR-003, SRC-AIR-004, SRC-AIR-005, SRC-AIR-006, SRC-AIR-007, SRC-AIR-008</x:v>
      </x:c>
      <x:c r="M117" s="111" t="str">
        <x:v>T-DGR-006</x:v>
      </x:c>
    </x:row>
    <x:row r="118" ht="66" customHeight="1">
      <x:c r="A118" s="110" t="str">
        <x:v>DGR-007</x:v>
      </x:c>
      <x:c r="B118" s="110" t="str">
        <x:v>Dangerous goods &amp; lithium batteries</x:v>
      </x:c>
      <x:c r="C118" s="110" t="str">
        <x:v>Quantity limits</x:v>
      </x:c>
      <x:c r="D118" s="110" t="str">
        <x:v>MUST</x:v>
      </x:c>
      <x:c r="E118" s="110" t="str">
        <x:v>Per-inner, per-package, per-consignment, excepted/limited quantity and passenger/cargo-aircraft limits SHALL be calculated in original units and rechecked after actual packing.</x:v>
      </x:c>
      <x:c r="F118" s="110" t="str">
        <x:v>Pack/weight change</x:v>
      </x:c>
      <x:c r="G118" s="110" t="str">
        <x:v>Quantities, packaging, aircraft/service</x:v>
      </x:c>
      <x:c r="H118" s="110" t="str">
        <x:v>Within limit/blocked</x:v>
      </x:c>
      <x:c r="I118" s="110" t="str">
        <x:v>Automated + DG reviewer</x:v>
      </x:c>
      <x:c r="J118" s="110" t="str">
        <x:v>Hold</x:v>
      </x:c>
      <x:c r="K118" s="110" t="str">
        <x:v>Calculation trace</x:v>
      </x:c>
      <x:c r="L118" s="110" t="str">
        <x:v>SRC-AIR-001, SRC-AIR-002, SRC-AIR-003, SRC-AIR-004, SRC-AIR-005, SRC-AIR-006, SRC-AIR-007, SRC-AIR-008</x:v>
      </x:c>
      <x:c r="M118" s="110" t="str">
        <x:v>T-DGR-007</x:v>
      </x:c>
    </x:row>
    <x:row r="119" ht="66" customHeight="1">
      <x:c r="A119" s="111" t="str">
        <x:v>DGR-008</x:v>
      </x:c>
      <x:c r="B119" s="111" t="str">
        <x:v>Dangerous goods &amp; lithium batteries</x:v>
      </x:c>
      <x:c r="C119" s="111" t="str">
        <x:v>Segregation and compatibility</x:v>
      </x:c>
      <x:c r="D119" s="111" t="str">
        <x:v>MUST</x:v>
      </x:c>
      <x:c r="E119" s="111" t="str">
        <x:v>Incompatible DG classes/materials SHALL not be co-packed, overpacked, stored or loaded together contrary to applicable rules; warehouse zone and handling constraints SHALL be enforced.</x:v>
      </x:c>
      <x:c r="F119" s="111" t="str">
        <x:v>Putaway, pack, manifest</x:v>
      </x:c>
      <x:c r="G119" s="111" t="str">
        <x:v>Hazards, packages, locations</x:v>
      </x:c>
      <x:c r="H119" s="111" t="str">
        <x:v>Compatible/blocked</x:v>
      </x:c>
      <x:c r="I119" s="111" t="str">
        <x:v>Automated</x:v>
      </x:c>
      <x:c r="J119" s="111" t="str">
        <x:v>Quarantine/hold</x:v>
      </x:c>
      <x:c r="K119" s="111" t="str">
        <x:v>Compatibility decision</x:v>
      </x:c>
      <x:c r="L119" s="111" t="str">
        <x:v>SRC-AIR-001, SRC-AIR-002, SRC-AIR-003, SRC-AIR-004, SRC-AIR-005, SRC-AIR-006, SRC-AIR-007, SRC-AIR-008</x:v>
      </x:c>
      <x:c r="M119" s="111" t="str">
        <x:v>T-DGR-008</x:v>
      </x:c>
    </x:row>
    <x:row r="120" ht="66" customHeight="1">
      <x:c r="A120" s="110" t="str">
        <x:v>DGR-009</x:v>
      </x:c>
      <x:c r="B120" s="110" t="str">
        <x:v>Dangerous goods &amp; lithium batteries</x:v>
      </x:c>
      <x:c r="C120" s="110" t="str">
        <x:v>Marks and labels</x:v>
      </x:c>
      <x:c r="D120" s="110" t="str">
        <x:v>MUST</x:v>
      </x:c>
      <x:c r="E120" s="110" t="str">
        <x:v>Required UN marks, proper shipping name, hazard/subsidiary labels, handling marks, orientation arrows, lithium marks, cargo-aircraft-only label and overpack marks SHALL be generated/verified for exact package configuration.</x:v>
      </x:c>
      <x:c r="F120" s="110" t="str">
        <x:v>Package close</x:v>
      </x:c>
      <x:c r="G120" s="110" t="str">
        <x:v>DG decision and packaging</x:v>
      </x:c>
      <x:c r="H120" s="110" t="str">
        <x:v>Verified marking set</x:v>
      </x:c>
      <x:c r="I120" s="110" t="str">
        <x:v>Certified checker</x:v>
      </x:c>
      <x:c r="J120" s="110" t="str">
        <x:v>Hold</x:v>
      </x:c>
      <x:c r="K120" s="110" t="str">
        <x:v>Label templates and scan/photo</x:v>
      </x:c>
      <x:c r="L120" s="110" t="str">
        <x:v>SRC-AIR-001, SRC-AIR-002, SRC-AIR-003, SRC-AIR-004, SRC-AIR-005, SRC-AIR-006, SRC-AIR-007, SRC-AIR-008</x:v>
      </x:c>
      <x:c r="M120" s="110" t="str">
        <x:v>T-DGR-009</x:v>
      </x:c>
    </x:row>
    <x:row r="121" ht="66" customHeight="1">
      <x:c r="A121" s="111" t="str">
        <x:v>DGR-010</x:v>
      </x:c>
      <x:c r="B121" s="111" t="str">
        <x:v>Dangerous goods &amp; lithium batteries</x:v>
      </x:c>
      <x:c r="C121" s="111" t="str">
        <x:v>DGD/e-DGD</x:v>
      </x:c>
      <x:c r="D121" s="111" t="str">
        <x:v>MUST</x:v>
      </x:c>
      <x:c r="E121" s="111" t="str">
        <x:v>Shipper's Declaration or e-DGD SHALL be populated from approved DG data, signed by an authorized person, version locked and reconciled with carrier booking and physical package.</x:v>
      </x:c>
      <x:c r="F121" s="111" t="str">
        <x:v>Document generation</x:v>
      </x:c>
      <x:c r="G121" s="111" t="str">
        <x:v>Approved DG/package/booking</x:v>
      </x:c>
      <x:c r="H121" s="111" t="str">
        <x:v>Signed declaration</x:v>
      </x:c>
      <x:c r="I121" s="111" t="str">
        <x:v>Authorized trained signatory</x:v>
      </x:c>
      <x:c r="J121" s="111" t="str">
        <x:v>Hold</x:v>
      </x:c>
      <x:c r="K121" s="111" t="str">
        <x:v>Document/hash/signature</x:v>
      </x:c>
      <x:c r="L121" s="111" t="str">
        <x:v>SRC-AIR-001, SRC-AIR-002, SRC-AIR-003, SRC-AIR-004, SRC-AIR-005, SRC-AIR-006, SRC-AIR-007, SRC-AIR-008</x:v>
      </x:c>
      <x:c r="M121" s="111" t="str">
        <x:v>T-DGR-010</x:v>
      </x:c>
    </x:row>
    <x:row r="122" ht="66" customHeight="1">
      <x:c r="A122" s="110" t="str">
        <x:v>DGR-011</x:v>
      </x:c>
      <x:c r="B122" s="110" t="str">
        <x:v>Dangerous goods &amp; lithium batteries</x:v>
      </x:c>
      <x:c r="C122" s="110" t="str">
        <x:v>Dry ice</x:v>
      </x:c>
      <x:c r="D122" s="110" t="str">
        <x:v>MUST</x:v>
      </x:c>
      <x:c r="E122" s="110" t="str">
        <x:v>Dry ice used as coolant SHALL be modeled as DG with UN number, net quantity per package, ventilation/packaging controls and package marks; it also affects cold-chain duration and weight.</x:v>
      </x:c>
      <x:c r="F122" s="110" t="str">
        <x:v>Dry ice selected</x:v>
      </x:c>
      <x:c r="G122" s="110" t="str">
        <x:v>Coolant plan and packages</x:v>
      </x:c>
      <x:c r="H122" s="110" t="str">
        <x:v>Compliant/blocked</x:v>
      </x:c>
      <x:c r="I122" s="110" t="str">
        <x:v>DG reviewer</x:v>
      </x:c>
      <x:c r="J122" s="110" t="str">
        <x:v>Hold</x:v>
      </x:c>
      <x:c r="K122" s="110" t="str">
        <x:v>Coolant calculation</x:v>
      </x:c>
      <x:c r="L122" s="110" t="str">
        <x:v>SRC-AIR-001, SRC-AIR-002, SRC-AIR-003, SRC-AIR-004, SRC-AIR-005, SRC-AIR-006, SRC-AIR-007, SRC-AIR-008</x:v>
      </x:c>
      <x:c r="M122" s="110" t="str">
        <x:v>T-DGR-011</x:v>
      </x:c>
    </x:row>
    <x:row r="123" ht="66" customHeight="1">
      <x:c r="A123" s="111" t="str">
        <x:v>DGR-012</x:v>
      </x:c>
      <x:c r="B123" s="111" t="str">
        <x:v>Dangerous goods &amp; lithium batteries</x:v>
      </x:c>
      <x:c r="C123" s="111" t="str">
        <x:v>UN 38.3 evidence</x:v>
      </x:c>
      <x:c r="D123" s="111" t="str">
        <x:v>MUST</x:v>
      </x:c>
      <x:c r="E123" s="111" t="str">
        <x:v>Lithium cells/batteries requiring UN 38.3 shall have a test-summary reference tied to manufacturer, model and production type; evidence expiry/change controls and retrieval for carrier requests are required.</x:v>
      </x:c>
      <x:c r="F123" s="111" t="str">
        <x:v>Battery onboarding/shipment</x:v>
      </x:c>
      <x:c r="G123" s="111" t="str">
        <x:v>Test summary and model data</x:v>
      </x:c>
      <x:c r="H123" s="111" t="str">
        <x:v>Verified/exception path</x:v>
      </x:c>
      <x:c r="I123" s="111" t="str">
        <x:v>DG reviewer</x:v>
      </x:c>
      <x:c r="J123" s="111" t="str">
        <x:v>Hold</x:v>
      </x:c>
      <x:c r="K123" s="111" t="str">
        <x:v>Test summary metadata</x:v>
      </x:c>
      <x:c r="L123" s="111" t="str">
        <x:v>SRC-AIR-001, SRC-AIR-002, SRC-AIR-003, SRC-AIR-004, SRC-AIR-005, SRC-AIR-006, SRC-AIR-007, SRC-AIR-008</x:v>
      </x:c>
      <x:c r="M123" s="111" t="str">
        <x:v>T-DGR-012</x:v>
      </x:c>
    </x:row>
    <x:row r="124" ht="66" customHeight="1">
      <x:c r="A124" s="110" t="str">
        <x:v>DGR-013</x:v>
      </x:c>
      <x:c r="B124" s="110" t="str">
        <x:v>Dangerous goods &amp; lithium batteries</x:v>
      </x:c>
      <x:c r="C124" s="110" t="str">
        <x:v>Damaged/defective/recalled batteries</x:v>
      </x:c>
      <x:c r="D124" s="110" t="str">
        <x:v>MUST</x:v>
      </x:c>
      <x:c r="E124" s="110" t="str">
        <x:v>Damaged, defective, recalled, waste or recycling lithium batteries SHALL default to BLOCKED for air and require an expressly supported non-air specialist workflow outside this release.</x:v>
      </x:c>
      <x:c r="F124" s="110" t="str">
        <x:v>Condition indication/return</x:v>
      </x:c>
      <x:c r="G124" s="110" t="str">
        <x:v>Condition and recall data</x:v>
      </x:c>
      <x:c r="H124" s="110" t="str">
        <x:v>BLOCKED</x:v>
      </x:c>
      <x:c r="I124" s="110" t="str">
        <x:v>Automated</x:v>
      </x:c>
      <x:c r="J124" s="110" t="str">
        <x:v>Block</x:v>
      </x:c>
      <x:c r="K124" s="110" t="str">
        <x:v>Reason and incident</x:v>
      </x:c>
      <x:c r="L124" s="110" t="str">
        <x:v>SRC-AIR-001, SRC-AIR-002, SRC-AIR-003, SRC-AIR-004, SRC-AIR-005, SRC-AIR-006, SRC-AIR-007, SRC-AIR-008</x:v>
      </x:c>
      <x:c r="M124" s="110" t="str">
        <x:v>T-DGR-013</x:v>
      </x:c>
    </x:row>
    <x:row r="125" ht="66" customHeight="1">
      <x:c r="A125" s="111" t="str">
        <x:v>DGR-014</x:v>
      </x:c>
      <x:c r="B125" s="111" t="str">
        <x:v>Dangerous goods &amp; lithium batteries</x:v>
      </x:c>
      <x:c r="C125" s="111" t="str">
        <x:v>Standalone battery restrictions</x:v>
      </x:c>
      <x:c r="D125" s="111" t="str">
        <x:v>MUST</x:v>
      </x:c>
      <x:c r="E125" s="111" t="str">
        <x:v>Standalone lithium battery acceptance, state-of-charge, packing-section and cargo-aircraft constraints SHALL be evaluated by edition, state, operator and service; no global permissive default is allowed.</x:v>
      </x:c>
      <x:c r="F125" s="111" t="str">
        <x:v>Battery configuration</x:v>
      </x:c>
      <x:c r="G125" s="111" t="str">
        <x:v>Chemistry, WH/LC, SoC, package, route</x:v>
      </x:c>
      <x:c r="H125" s="111" t="str">
        <x:v>Allowed/conditions/blocked</x:v>
      </x:c>
      <x:c r="I125" s="111" t="str">
        <x:v>DG reviewer/external carrier</x:v>
      </x:c>
      <x:c r="J125" s="111" t="str">
        <x:v>Hold</x:v>
      </x:c>
      <x:c r="K125" s="111" t="str">
        <x:v>Decision trace</x:v>
      </x:c>
      <x:c r="L125" s="111" t="str">
        <x:v>SRC-AIR-001, SRC-AIR-002, SRC-AIR-003, SRC-AIR-004, SRC-AIR-005, SRC-AIR-006, SRC-AIR-007, SRC-AIR-008</x:v>
      </x:c>
      <x:c r="M125" s="111" t="str">
        <x:v>T-DGR-014</x:v>
      </x:c>
    </x:row>
    <x:row r="126" ht="66" customHeight="1">
      <x:c r="A126" s="110" t="str">
        <x:v>DGR-015</x:v>
      </x:c>
      <x:c r="B126" s="110" t="str">
        <x:v>Dangerous goods &amp; lithium batteries</x:v>
      </x:c>
      <x:c r="C126" s="110" t="str">
        <x:v>Prototype/small production</x:v>
      </x:c>
      <x:c r="D126" s="110" t="str">
        <x:v>MUST</x:v>
      </x:c>
      <x:c r="E126" s="110" t="str">
        <x:v>Prototype or low-production-run battery exceptions SHALL require competent-authority approvals and carrier acceptance explicitly linked to the shipment.</x:v>
      </x:c>
      <x:c r="F126" s="110" t="str">
        <x:v>Product trigger</x:v>
      </x:c>
      <x:c r="G126" s="110" t="str">
        <x:v>Approval documents and route</x:v>
      </x:c>
      <x:c r="H126" s="110" t="str">
        <x:v>External approval required</x:v>
      </x:c>
      <x:c r="I126" s="110" t="str">
        <x:v>DG reviewer + carrier</x:v>
      </x:c>
      <x:c r="J126" s="110" t="str">
        <x:v>Hold</x:v>
      </x:c>
      <x:c r="K126" s="110" t="str">
        <x:v>Approval/response</x:v>
      </x:c>
      <x:c r="L126" s="110" t="str">
        <x:v>SRC-AIR-001, SRC-AIR-002, SRC-AIR-003, SRC-AIR-004, SRC-AIR-005, SRC-AIR-006, SRC-AIR-007, SRC-AIR-008</x:v>
      </x:c>
      <x:c r="M126" s="110" t="str">
        <x:v>T-DGR-015</x:v>
      </x:c>
    </x:row>
    <x:row r="127" ht="66" customHeight="1">
      <x:c r="A127" s="111" t="str">
        <x:v>DGR-016</x:v>
      </x:c>
      <x:c r="B127" s="111" t="str">
        <x:v>Dangerous goods &amp; lithium batteries</x:v>
      </x:c>
      <x:c r="C127" s="111" t="str">
        <x:v>DG training</x:v>
      </x:c>
      <x:c r="D127" s="111" t="str">
        <x:v>MUST</x:v>
      </x:c>
      <x:c r="E127" s="111" t="str">
        <x:v>Training records SHALL be role- and function-specific, include recurrent due dates, course/assessment evidence and suspension; expired training disables the function immediately.</x:v>
      </x:c>
      <x:c r="F127" s="111" t="str">
        <x:v>Assignment/action</x:v>
      </x:c>
      <x:c r="G127" s="111" t="str">
        <x:v>Role and training record</x:v>
      </x:c>
      <x:c r="H127" s="111" t="str">
        <x:v>Authorized/denied</x:v>
      </x:c>
      <x:c r="I127" s="111" t="str">
        <x:v>Compliance admin</x:v>
      </x:c>
      <x:c r="J127" s="111" t="str">
        <x:v>Deny</x:v>
      </x:c>
      <x:c r="K127" s="111" t="str">
        <x:v>Training record</x:v>
      </x:c>
      <x:c r="L127" s="111" t="str">
        <x:v>SRC-AIR-001, SRC-AIR-002, SRC-AIR-003, SRC-AIR-004, SRC-AIR-005, SRC-AIR-006, SRC-AIR-007, SRC-AIR-008</x:v>
      </x:c>
      <x:c r="M127" s="111" t="str">
        <x:v>T-DGR-016</x:v>
      </x:c>
    </x:row>
    <x:row r="128" ht="66" customHeight="1">
      <x:c r="A128" s="110" t="str">
        <x:v>DGR-017</x:v>
      </x:c>
      <x:c r="B128" s="110" t="str">
        <x:v>Dangerous goods &amp; lithium batteries</x:v>
      </x:c>
      <x:c r="C128" s="110" t="str">
        <x:v>Emergency response</x:v>
      </x:c>
      <x:c r="D128" s="110" t="str">
        <x:v>MUST</x:v>
      </x:c>
      <x:c r="E128" s="110" t="str">
        <x:v>DG incidents, leakage, damage, temperature events and misdeclaration SHALL trigger emergency SOPs, area isolation, carrier notification, evidence preservation and regulatory escalation defined by site/country pack.</x:v>
      </x:c>
      <x:c r="F128" s="110" t="str">
        <x:v>Incident</x:v>
      </x:c>
      <x:c r="G128" s="110" t="str">
        <x:v>Product, location, exposure, contacts</x:v>
      </x:c>
      <x:c r="H128" s="110" t="str">
        <x:v>Incident workflow</x:v>
      </x:c>
      <x:c r="I128" s="110" t="str">
        <x:v>Site safety/DG officer</x:v>
      </x:c>
      <x:c r="J128" s="110" t="str">
        <x:v>Stop movement</x:v>
      </x:c>
      <x:c r="K128" s="110" t="str">
        <x:v>Incident dossier</x:v>
      </x:c>
      <x:c r="L128" s="110" t="str">
        <x:v>SRC-AIR-001, SRC-AIR-002, SRC-AIR-003, SRC-AIR-004, SRC-AIR-005, SRC-AIR-006, SRC-AIR-007, SRC-AIR-008</x:v>
      </x:c>
      <x:c r="M128" s="110" t="str">
        <x:v>T-DGR-017</x:v>
      </x:c>
    </x:row>
    <x:row r="129" ht="66" customHeight="1">
      <x:c r="A129" s="111" t="str">
        <x:v>DGR-018</x:v>
      </x:c>
      <x:c r="B129" s="111" t="str">
        <x:v>Dangerous goods &amp; lithium batteries</x:v>
      </x:c>
      <x:c r="C129" s="111" t="str">
        <x:v>DG record retention</x:v>
      </x:c>
      <x:c r="D129" s="111" t="str">
        <x:v>MUST</x:v>
      </x:c>
      <x:c r="E129" s="111" t="str">
        <x:v>DG declarations, acceptance checklists, training, test evidence, approvals and incident records SHALL use the longest applicable retention period across rule, carrier contract and tenant policy.</x:v>
      </x:c>
      <x:c r="F129" s="111" t="str">
        <x:v>Record creation</x:v>
      </x:c>
      <x:c r="G129" s="111" t="str">
        <x:v>Record type and jurisdictions</x:v>
      </x:c>
      <x:c r="H129" s="111" t="str">
        <x:v>Retention/destruction schedule</x:v>
      </x:c>
      <x:c r="I129" s="111" t="str">
        <x:v>Records owner</x:v>
      </x:c>
      <x:c r="J129" s="111" t="str">
        <x:v>Legal hold/no deletion</x:v>
      </x:c>
      <x:c r="K129" s="111" t="str">
        <x:v>Retention decision</x:v>
      </x:c>
      <x:c r="L129" s="111" t="str">
        <x:v>SRC-AIR-001, SRC-AIR-002, SRC-AIR-003, SRC-AIR-004, SRC-AIR-005, SRC-AIR-006, SRC-AIR-007, SRC-AIR-008</x:v>
      </x:c>
      <x:c r="M129" s="111" t="str">
        <x:v>T-DGR-018</x:v>
      </x:c>
    </x:row>
    <x:row r="130" ht="66" customHeight="1">
      <x:c r="A130" s="110" t="str">
        <x:v>SPC-001</x:v>
      </x:c>
      <x:c r="B130" s="110" t="str">
        <x:v>Regulated &amp; special commodities</x:v>
      </x:c>
      <x:c r="C130" s="110" t="str">
        <x:v>SPS eligibility</x:v>
      </x:c>
      <x:c r="D130" s="110" t="str">
        <x:v>MUST</x:v>
      </x:c>
      <x:c r="E130" s="110" t="str">
        <x:v>Food, animal-origin, plant-origin and related products SHALL be evaluated against origin/destination SPS measures, establishment approvals, health/phytosanitary certificates, border-control routing and personal/commercial exemptions.</x:v>
      </x:c>
      <x:c r="F130" s="110" t="str">
        <x:v>Regulated item/lane</x:v>
      </x:c>
      <x:c r="G130" s="110" t="str">
        <x:v>Product composition, origin, manufacturer, destination, quantity/use</x:v>
      </x:c>
      <x:c r="H130" s="110" t="str">
        <x:v>Permit/certificate/control-post conditions</x:v>
      </x:c>
      <x:c r="I130" s="110" t="str">
        <x:v>Food/SPS specialist/external authority</x:v>
      </x:c>
      <x:c r="J130" s="110" t="str">
        <x:v>Hold</x:v>
      </x:c>
      <x:c r="K130" s="110" t="str">
        <x:v>SPS source and certificates</x:v>
      </x:c>
      <x:c r="L130" s="110" t="str">
        <x:v>SRC-COM-001, SRC-COM-002, SRC-COM-003, SRC-COM-004, SRC-COM-005, SRC-COM-012, SRC-SAN-007, SRC-SAN-010, SRC-SAN-011, SRC-SAN-012, SRC-SAN-013</x:v>
      </x:c>
      <x:c r="M130" s="110" t="str">
        <x:v>T-SPC-001</x:v>
      </x:c>
    </x:row>
    <x:row r="131" ht="66" customHeight="1">
      <x:c r="A131" s="111" t="str">
        <x:v>SPC-002</x:v>
      </x:c>
      <x:c r="B131" s="111" t="str">
        <x:v>Regulated &amp; special commodities</x:v>
      </x:c>
      <x:c r="C131" s="111" t="str">
        <x:v>Food prior notice/agency filing</x:v>
      </x:c>
      <x:c r="D131" s="111" t="str">
        <x:v>MUST</x:v>
      </x:c>
      <x:c r="E131" s="111" t="str">
        <x:v>Where a destination requires prior notice or agency data, the platform SHALL collect and transmit it only through the carrier/approved external filer and retain the accepted external reference before tender.</x:v>
      </x:c>
      <x:c r="F131" s="111" t="str">
        <x:v>Shipment readiness</x:v>
      </x:c>
      <x:c r="G131" s="111" t="str">
        <x:v>Food dossier and filing route</x:v>
      </x:c>
      <x:c r="H131" s="111" t="str">
        <x:v>Accepted reference</x:v>
      </x:c>
      <x:c r="I131" s="111" t="str">
        <x:v>External filer</x:v>
      </x:c>
      <x:c r="J131" s="111" t="str">
        <x:v>Hold</x:v>
      </x:c>
      <x:c r="K131" s="111" t="str">
        <x:v>External response</x:v>
      </x:c>
      <x:c r="L131" s="111" t="str">
        <x:v>SRC-COM-001, SRC-COM-002, SRC-COM-003, SRC-COM-004, SRC-COM-005, SRC-COM-012, SRC-SAN-007, SRC-SAN-010, SRC-SAN-011, SRC-SAN-012, SRC-SAN-013</x:v>
      </x:c>
      <x:c r="M131" s="111" t="str">
        <x:v>T-SPC-002</x:v>
      </x:c>
    </x:row>
    <x:row r="132" ht="66" customHeight="1">
      <x:c r="A132" s="110" t="str">
        <x:v>SPC-003</x:v>
      </x:c>
      <x:c r="B132" s="110" t="str">
        <x:v>Regulated &amp; special commodities</x:v>
      </x:c>
      <x:c r="C132" s="110" t="str">
        <x:v>Cold-chain lane qualification</x:v>
      </x:c>
      <x:c r="D132" s="110" t="str">
        <x:v>MUST</x:v>
      </x:c>
      <x:c r="E132" s="110" t="str">
        <x:v>Temperature-controlled service SHALL be offered only when packaging, coolant, sensor, carrier product, transit time, seasonal profile, contingency and customs-delay assumptions meet the product stability budget.</x:v>
      </x:c>
      <x:c r="F132" s="110" t="str">
        <x:v>Quote/pack</x:v>
      </x:c>
      <x:c r="G132" s="110" t="str">
        <x:v>Temperature range, stability, route, packaging qualification</x:v>
      </x:c>
      <x:c r="H132" s="110" t="str">
        <x:v>Qualified lane or block</x:v>
      </x:c>
      <x:c r="I132" s="110" t="str">
        <x:v>Quality approver</x:v>
      </x:c>
      <x:c r="J132" s="110" t="str">
        <x:v>Hold</x:v>
      </x:c>
      <x:c r="K132" s="110" t="str">
        <x:v>Lane qualification</x:v>
      </x:c>
      <x:c r="L132" s="110" t="str">
        <x:v>SRC-COM-001, SRC-COM-002, SRC-COM-003, SRC-COM-004, SRC-COM-005, SRC-COM-012, SRC-SAN-007, SRC-SAN-010, SRC-SAN-011, SRC-SAN-012, SRC-SAN-013</x:v>
      </x:c>
      <x:c r="M132" s="110" t="str">
        <x:v>T-SPC-003</x:v>
      </x:c>
    </x:row>
    <x:row r="133" ht="66" customHeight="1">
      <x:c r="A133" s="111" t="str">
        <x:v>SPC-004</x:v>
      </x:c>
      <x:c r="B133" s="111" t="str">
        <x:v>Regulated &amp; special commodities</x:v>
      </x:c>
      <x:c r="C133" s="111" t="str">
        <x:v>Temperature monitoring</x:v>
      </x:c>
      <x:c r="D133" s="111" t="str">
        <x:v>MUST</x:v>
      </x:c>
      <x:c r="E133" s="111" t="str">
        <x:v>Sensor IDs, calibration, placement, start/stop, readings and time-zone-normalized events SHALL be linked to package/lot; gaps and excursions trigger quarantine.</x:v>
      </x:c>
      <x:c r="F133" s="111" t="str">
        <x:v>Pack/handover/arrival</x:v>
      </x:c>
      <x:c r="G133" s="111" t="str">
        <x:v>Sensor and product limits</x:v>
      </x:c>
      <x:c r="H133" s="111" t="str">
        <x:v>Within range/excursion</x:v>
      </x:c>
      <x:c r="I133" s="111" t="str">
        <x:v>Quality unit</x:v>
      </x:c>
      <x:c r="J133" s="111" t="str">
        <x:v>Quarantine</x:v>
      </x:c>
      <x:c r="K133" s="111" t="str">
        <x:v>Sensor file and chain</x:v>
      </x:c>
      <x:c r="L133" s="111" t="str">
        <x:v>SRC-COM-001, SRC-COM-002, SRC-COM-003, SRC-COM-004, SRC-COM-005, SRC-COM-012, SRC-SAN-007, SRC-SAN-010, SRC-SAN-011, SRC-SAN-012, SRC-SAN-013</x:v>
      </x:c>
      <x:c r="M133" s="111" t="str">
        <x:v>T-SPC-004</x:v>
      </x:c>
    </x:row>
    <x:row r="134" ht="66" customHeight="1">
      <x:c r="A134" s="110" t="str">
        <x:v>SPC-005</x:v>
      </x:c>
      <x:c r="B134" s="110" t="str">
        <x:v>Regulated &amp; special commodities</x:v>
      </x:c>
      <x:c r="C134" s="110" t="str">
        <x:v>Shelf-life at delivery</x:v>
      </x:c>
      <x:c r="D134" s="110" t="str">
        <x:v>MUST</x:v>
      </x:c>
      <x:c r="E134" s="110" t="str">
        <x:v>The system SHALL calculate minimum remaining shelf life at planned and worst-case delivery including customs delays; items below customer/regulatory policy are blocked.</x:v>
      </x:c>
      <x:c r="F134" s="110" t="str">
        <x:v>Allocation/route change</x:v>
      </x:c>
      <x:c r="G134" s="110" t="str">
        <x:v>Expiry, transit, delay buffer</x:v>
      </x:c>
      <x:c r="H134" s="110" t="str">
        <x:v>Eligible lot</x:v>
      </x:c>
      <x:c r="I134" s="110" t="str">
        <x:v>Automated</x:v>
      </x:c>
      <x:c r="J134" s="110" t="str">
        <x:v>Block lot</x:v>
      </x:c>
      <x:c r="K134" s="110" t="str">
        <x:v>Calculation</x:v>
      </x:c>
      <x:c r="L134" s="110" t="str">
        <x:v>SRC-COM-001, SRC-COM-002, SRC-COM-003, SRC-COM-004, SRC-COM-005, SRC-COM-012, SRC-SAN-007, SRC-SAN-010, SRC-SAN-011, SRC-SAN-012, SRC-SAN-013</x:v>
      </x:c>
      <x:c r="M134" s="110" t="str">
        <x:v>T-SPC-005</x:v>
      </x:c>
    </x:row>
    <x:row r="135" ht="66" customHeight="1">
      <x:c r="A135" s="111" t="str">
        <x:v>SPC-006</x:v>
      </x:c>
      <x:c r="B135" s="111" t="str">
        <x:v>Regulated &amp; special commodities</x:v>
      </x:c>
      <x:c r="C135" s="111" t="str">
        <x:v>GDP quality release</x:v>
      </x:c>
      <x:c r="D135" s="111" t="str">
        <x:v>MUST</x:v>
      </x:c>
      <x:c r="E135" s="111" t="str">
        <x:v>Medicinal-product flows SHALL require qualified supplier/customer/site status, authorized product/market, lot traceability, storage compliance, anti-falsification controls and quality-unit release.</x:v>
      </x:c>
      <x:c r="F135" s="111" t="str">
        <x:v>Life-science shipment</x:v>
      </x:c>
      <x:c r="G135" s="111" t="str">
        <x:v>GDP dossier and lane</x:v>
      </x:c>
      <x:c r="H135" s="111" t="str">
        <x:v>Released/hold</x:v>
      </x:c>
      <x:c r="I135" s="111" t="str">
        <x:v>Responsible quality person/external approval</x:v>
      </x:c>
      <x:c r="J135" s="111" t="str">
        <x:v>Hold</x:v>
      </x:c>
      <x:c r="K135" s="111" t="str">
        <x:v>Quality release</x:v>
      </x:c>
      <x:c r="L135" s="111" t="str">
        <x:v>SRC-COM-001, SRC-COM-002, SRC-COM-003, SRC-COM-004, SRC-COM-005, SRC-COM-012, SRC-SAN-007, SRC-SAN-010, SRC-SAN-011, SRC-SAN-012, SRC-SAN-013</x:v>
      </x:c>
      <x:c r="M135" s="111" t="str">
        <x:v>T-SPC-006</x:v>
      </x:c>
    </x:row>
    <x:row r="136" ht="66" customHeight="1">
      <x:c r="A136" s="110" t="str">
        <x:v>SPC-007</x:v>
      </x:c>
      <x:c r="B136" s="110" t="str">
        <x:v>Regulated &amp; special commodities</x:v>
      </x:c>
      <x:c r="C136" s="110" t="str">
        <x:v>Medical-device identifiers</x:v>
      </x:c>
      <x:c r="D136" s="110" t="str">
        <x:v>MUST</x:v>
      </x:c>
      <x:c r="E136" s="110" t="str">
        <x:v>Device shipments SHALL capture manufacturer, device name/model, UDI where applicable, registration/listing/authorization, lot/serial and destination importer information.</x:v>
      </x:c>
      <x:c r="F136" s="110" t="str">
        <x:v>Device item/lane</x:v>
      </x:c>
      <x:c r="G136" s="110" t="str">
        <x:v>Device dossier</x:v>
      </x:c>
      <x:c r="H136" s="110" t="str">
        <x:v>Eligible/agency data required</x:v>
      </x:c>
      <x:c r="I136" s="110" t="str">
        <x:v>Device regulatory reviewer</x:v>
      </x:c>
      <x:c r="J136" s="110" t="str">
        <x:v>Hold</x:v>
      </x:c>
      <x:c r="K136" s="110" t="str">
        <x:v>Registration evidence</x:v>
      </x:c>
      <x:c r="L136" s="110" t="str">
        <x:v>SRC-COM-001, SRC-COM-002, SRC-COM-003, SRC-COM-004, SRC-COM-005, SRC-COM-012, SRC-SAN-007, SRC-SAN-010, SRC-SAN-011, SRC-SAN-012, SRC-SAN-013</x:v>
      </x:c>
      <x:c r="M136" s="110" t="str">
        <x:v>T-SPC-007</x:v>
      </x:c>
    </x:row>
    <x:row r="137" ht="66" customHeight="1">
      <x:c r="A137" s="111" t="str">
        <x:v>SPC-008</x:v>
      </x:c>
      <x:c r="B137" s="111" t="str">
        <x:v>Regulated &amp; special commodities</x:v>
      </x:c>
      <x:c r="C137" s="111" t="str">
        <x:v>Recall capability</x:v>
      </x:c>
      <x:c r="D137" s="111" t="str">
        <x:v>MUST</x:v>
      </x:c>
      <x:c r="E137" s="111" t="str">
        <x:v>Food, pharma and devices SHALL be searchable by product, lot/batch/serial/UDI, customer, destination and shipment, with hold/recall actions and regulatory/customer notification evidence.</x:v>
      </x:c>
      <x:c r="F137" s="111" t="str">
        <x:v>Recall/incident</x:v>
      </x:c>
      <x:c r="G137" s="111" t="str">
        <x:v>Traceability data</x:v>
      </x:c>
      <x:c r="H137" s="111" t="str">
        <x:v>Affected population and actions</x:v>
      </x:c>
      <x:c r="I137" s="111" t="str">
        <x:v>Quality unit</x:v>
      </x:c>
      <x:c r="J137" s="111" t="str">
        <x:v>Stop stock/shipments</x:v>
      </x:c>
      <x:c r="K137" s="111" t="str">
        <x:v>Recall dossier</x:v>
      </x:c>
      <x:c r="L137" s="111" t="str">
        <x:v>SRC-COM-001, SRC-COM-002, SRC-COM-003, SRC-COM-004, SRC-COM-005, SRC-COM-012, SRC-SAN-007, SRC-SAN-010, SRC-SAN-011, SRC-SAN-012, SRC-SAN-013</x:v>
      </x:c>
      <x:c r="M137" s="111" t="str">
        <x:v>T-SPC-008</x:v>
      </x:c>
    </x:row>
    <x:row r="138" ht="66" customHeight="1">
      <x:c r="A138" s="110" t="str">
        <x:v>SPC-009</x:v>
      </x:c>
      <x:c r="B138" s="110" t="str">
        <x:v>Regulated &amp; special commodities</x:v>
      </x:c>
      <x:c r="C138" s="110" t="str">
        <x:v>Excise licences</x:v>
      </x:c>
      <x:c r="D138" s="110" t="str">
        <x:v>MUST</x:v>
      </x:c>
      <x:c r="E138" s="110" t="str">
        <x:v>Alcohol/tobacco SHALL require origin warehouse/shipper, carrier, importer/consignee and destination licences/registrations as applicable; consumer shipments need explicit lane permission.</x:v>
      </x:c>
      <x:c r="F138" s="110" t="str">
        <x:v>Excise item/lane</x:v>
      </x:c>
      <x:c r="G138" s="110" t="str">
        <x:v>Licences, customer type, route</x:v>
      </x:c>
      <x:c r="H138" s="110" t="str">
        <x:v>Eligible/blocked</x:v>
      </x:c>
      <x:c r="I138" s="110" t="str">
        <x:v>Excise specialist/external carrier</x:v>
      </x:c>
      <x:c r="J138" s="110" t="str">
        <x:v>Hold</x:v>
      </x:c>
      <x:c r="K138" s="110" t="str">
        <x:v>Verified licences</x:v>
      </x:c>
      <x:c r="L138" s="110" t="str">
        <x:v>SRC-COM-001, SRC-COM-002, SRC-COM-003, SRC-COM-004, SRC-COM-005, SRC-COM-012, SRC-SAN-007, SRC-SAN-010, SRC-SAN-011, SRC-SAN-012, SRC-SAN-013</x:v>
      </x:c>
      <x:c r="M138" s="110" t="str">
        <x:v>T-SPC-009</x:v>
      </x:c>
    </x:row>
    <x:row r="139" ht="66" customHeight="1">
      <x:c r="A139" s="111" t="str">
        <x:v>SPC-010</x:v>
      </x:c>
      <x:c r="B139" s="111" t="str">
        <x:v>Regulated &amp; special commodities</x:v>
      </x:c>
      <x:c r="C139" s="111" t="str">
        <x:v>Excise tax and movement references</x:v>
      </x:c>
      <x:c r="D139" s="111" t="str">
        <x:v>MUST</x:v>
      </x:c>
      <x:c r="E139" s="111" t="str">
        <x:v>Duty-suspension or excise movement documents/references SHALL be externally approved and linked; the SaaS SHALL not simulate an authority acceptance.</x:v>
      </x:c>
      <x:c r="F139" s="111" t="str">
        <x:v>Excise procedure</x:v>
      </x:c>
      <x:c r="G139" s="111" t="str">
        <x:v>External system/filing response</x:v>
      </x:c>
      <x:c r="H139" s="111" t="str">
        <x:v>Accepted movement reference</x:v>
      </x:c>
      <x:c r="I139" s="111" t="str">
        <x:v>External filer</x:v>
      </x:c>
      <x:c r="J139" s="111" t="str">
        <x:v>Hold</x:v>
      </x:c>
      <x:c r="K139" s="111" t="str">
        <x:v>Response/reference</x:v>
      </x:c>
      <x:c r="L139" s="111" t="str">
        <x:v>SRC-COM-001, SRC-COM-002, SRC-COM-003, SRC-COM-004, SRC-COM-005, SRC-COM-012, SRC-SAN-007, SRC-SAN-010, SRC-SAN-011, SRC-SAN-012, SRC-SAN-013</x:v>
      </x:c>
      <x:c r="M139" s="111" t="str">
        <x:v>T-SPC-010</x:v>
      </x:c>
    </x:row>
    <x:row r="140" ht="66" customHeight="1">
      <x:c r="A140" s="110" t="str">
        <x:v>SPC-011</x:v>
      </x:c>
      <x:c r="B140" s="110" t="str">
        <x:v>Regulated &amp; special commodities</x:v>
      </x:c>
      <x:c r="C140" s="110" t="str">
        <x:v>Age and identity service</x:v>
      </x:c>
      <x:c r="D140" s="110" t="str">
        <x:v>MUST</x:v>
      </x:c>
      <x:c r="E140" s="110" t="str">
        <x:v>Where required, adult signature/age verification SHALL be a carrier-supported special service, with privacy-minimized evidence and no unsupported promise of legal age verification.</x:v>
      </x:c>
      <x:c r="F140" s="110" t="str">
        <x:v>Service selection</x:v>
      </x:c>
      <x:c r="G140" s="110" t="str">
        <x:v>Destination law, product, carrier service</x:v>
      </x:c>
      <x:c r="H140" s="110" t="str">
        <x:v>Eligible service</x:v>
      </x:c>
      <x:c r="I140" s="110" t="str">
        <x:v>Automated/external carrier</x:v>
      </x:c>
      <x:c r="J140" s="110" t="str">
        <x:v>Block consumer shipment</x:v>
      </x:c>
      <x:c r="K140" s="110" t="str">
        <x:v>Capability response</x:v>
      </x:c>
      <x:c r="L140" s="110" t="str">
        <x:v>SRC-COM-001, SRC-COM-002, SRC-COM-003, SRC-COM-004, SRC-COM-005, SRC-COM-012, SRC-SAN-007, SRC-SAN-010, SRC-SAN-011, SRC-SAN-012, SRC-SAN-013</x:v>
      </x:c>
      <x:c r="M140" s="110" t="str">
        <x:v>T-SPC-011</x:v>
      </x:c>
    </x:row>
    <x:row r="141" ht="66" customHeight="1">
      <x:c r="A141" s="111" t="str">
        <x:v>SPC-012</x:v>
      </x:c>
      <x:c r="B141" s="111" t="str">
        <x:v>Regulated &amp; special commodities</x:v>
      </x:c>
      <x:c r="C141" s="111" t="str">
        <x:v>Dual-use licence determination</x:v>
      </x:c>
      <x:c r="D141" s="111" t="str">
        <x:v>MUST</x:v>
      </x:c>
      <x:c r="E141" s="111" t="str">
        <x:v>Controlled and potentially controlled goods SHALL require jurisdiction-specific classification, end-use/end-user review, licence exception/general authorization eligibility and external licence evidence before release.</x:v>
      </x:c>
      <x:c r="F141" s="111" t="str">
        <x:v>Controlled-goods trigger</x:v>
      </x:c>
      <x:c r="G141" s="111" t="str">
        <x:v>Technical dossier, nexuses, parties, end use</x:v>
      </x:c>
      <x:c r="H141" s="111" t="str">
        <x:v>NLR/authorization/licence/block</x:v>
      </x:c>
      <x:c r="I141" s="111" t="str">
        <x:v>Export-control specialist/external authority</x:v>
      </x:c>
      <x:c r="J141" s="111" t="str">
        <x:v>Hold</x:v>
      </x:c>
      <x:c r="K141" s="111" t="str">
        <x:v>Determination and licence</x:v>
      </x:c>
      <x:c r="L141" s="111" t="str">
        <x:v>SRC-COM-001, SRC-COM-002, SRC-COM-003, SRC-COM-004, SRC-COM-005, SRC-COM-012, SRC-SAN-007, SRC-SAN-010, SRC-SAN-011, SRC-SAN-012, SRC-SAN-013</x:v>
      </x:c>
      <x:c r="M141" s="111" t="str">
        <x:v>T-SPC-012</x:v>
      </x:c>
    </x:row>
    <x:row r="142" ht="66" customHeight="1">
      <x:c r="A142" s="110" t="str">
        <x:v>SPC-013</x:v>
      </x:c>
      <x:c r="B142" s="110" t="str">
        <x:v>Regulated &amp; special commodities</x:v>
      </x:c>
      <x:c r="C142" s="110" t="str">
        <x:v>Licence decrement/control</x:v>
      </x:c>
      <x:c r="D142" s="110" t="str">
        <x:v>MUST</x:v>
      </x:c>
      <x:c r="E142" s="110" t="str">
        <x:v>Quantity/value-limited licences SHALL be validated for holder, goods, parties, countries, conditions and validity and decremented atomically; overuse is prohibited.</x:v>
      </x:c>
      <x:c r="F142" s="110" t="str">
        <x:v>Shipment allocation</x:v>
      </x:c>
      <x:c r="G142" s="110" t="str">
        <x:v>Licence balance and shipment</x:v>
      </x:c>
      <x:c r="H142" s="110" t="str">
        <x:v>Reserved/consumed/released</x:v>
      </x:c>
      <x:c r="I142" s="110" t="str">
        <x:v>Export-control specialist</x:v>
      </x:c>
      <x:c r="J142" s="110" t="str">
        <x:v>Hold</x:v>
      </x:c>
      <x:c r="K142" s="110" t="str">
        <x:v>Licence ledger</x:v>
      </x:c>
      <x:c r="L142" s="110" t="str">
        <x:v>SRC-COM-001, SRC-COM-002, SRC-COM-003, SRC-COM-004, SRC-COM-005, SRC-COM-012, SRC-SAN-007, SRC-SAN-010, SRC-SAN-011, SRC-SAN-012, SRC-SAN-013</x:v>
      </x:c>
      <x:c r="M142" s="110" t="str">
        <x:v>T-SPC-013</x:v>
      </x:c>
    </x:row>
    <x:row r="143" ht="66" customHeight="1">
      <x:c r="A143" s="111" t="str">
        <x:v>SPC-014</x:v>
      </x:c>
      <x:c r="B143" s="111" t="str">
        <x:v>Regulated &amp; special commodities</x:v>
      </x:c>
      <x:c r="C143" s="111" t="str">
        <x:v>Encryption/technology controls</x:v>
      </x:c>
      <x:c r="D143" s="111" t="str">
        <x:v>MUST</x:v>
      </x:c>
      <x:c r="E143" s="111" t="str">
        <x:v>Software, firmware, technical data and encryption embedded in goods SHALL be considered in export-control classification; physical shipment data SHALL not expose controlled technical content unnecessarily.</x:v>
      </x:c>
      <x:c r="F143" s="111" t="str">
        <x:v>Product onboarding/lane</x:v>
      </x:c>
      <x:c r="G143" s="111" t="str">
        <x:v>Technical attributes and origin</x:v>
      </x:c>
      <x:c r="H143" s="111" t="str">
        <x:v>Control status</x:v>
      </x:c>
      <x:c r="I143" s="111" t="str">
        <x:v>Export-control specialist</x:v>
      </x:c>
      <x:c r="J143" s="111" t="str">
        <x:v>Hold</x:v>
      </x:c>
      <x:c r="K143" s="111" t="str">
        <x:v>Assessment</x:v>
      </x:c>
      <x:c r="L143" s="111" t="str">
        <x:v>SRC-COM-001, SRC-COM-002, SRC-COM-003, SRC-COM-004, SRC-COM-005, SRC-COM-012, SRC-SAN-007, SRC-SAN-010, SRC-SAN-011, SRC-SAN-012, SRC-SAN-013</x:v>
      </x:c>
      <x:c r="M143" s="111" t="str">
        <x:v>T-SPC-014</x:v>
      </x:c>
    </x:row>
    <x:row r="144" ht="66" customHeight="1">
      <x:c r="A144" s="110" t="str">
        <x:v>SPC-015</x:v>
      </x:c>
      <x:c r="B144" s="110" t="str">
        <x:v>Regulated &amp; special commodities</x:v>
      </x:c>
      <x:c r="C144" s="110" t="str">
        <x:v>High-value service</x:v>
      </x:c>
      <x:c r="D144" s="110" t="str">
        <x:v>MUST</x:v>
      </x:c>
      <x:c r="E144" s="110" t="str">
        <x:v>High-value goods SHALL require carrier service/value limits, declared-value/insurance options, secure storage, restricted access, dual-control packing, tamper evidence and verified handover.</x:v>
      </x:c>
      <x:c r="F144" s="110" t="str">
        <x:v>Value/category trigger</x:v>
      </x:c>
      <x:c r="G144" s="110" t="str">
        <x:v>Value, carrier capability, site security</x:v>
      </x:c>
      <x:c r="H144" s="110" t="str">
        <x:v>Qualified secure workflow</x:v>
      </x:c>
      <x:c r="I144" s="110" t="str">
        <x:v>Security supervisor</x:v>
      </x:c>
      <x:c r="J144" s="110" t="str">
        <x:v>Hold</x:v>
      </x:c>
      <x:c r="K144" s="110" t="str">
        <x:v>Custody/insurance evidence</x:v>
      </x:c>
      <x:c r="L144" s="110" t="str">
        <x:v>SRC-COM-001, SRC-COM-002, SRC-COM-003, SRC-COM-004, SRC-COM-005, SRC-COM-012, SRC-SAN-007, SRC-SAN-010, SRC-SAN-011, SRC-SAN-012, SRC-SAN-013</x:v>
      </x:c>
      <x:c r="M144" s="110" t="str">
        <x:v>T-SPC-015</x:v>
      </x:c>
    </x:row>
    <x:row r="145" ht="66" customHeight="1">
      <x:c r="A145" s="111" t="str">
        <x:v>SPC-016</x:v>
      </x:c>
      <x:c r="B145" s="111" t="str">
        <x:v>Regulated &amp; special commodities</x:v>
      </x:c>
      <x:c r="C145" s="111" t="str">
        <x:v>Art/cultural provenance</x:v>
      </x:c>
      <x:c r="D145" s="111" t="str">
        <x:v>MUST</x:v>
      </x:c>
      <x:c r="E145" s="111" t="str">
        <x:v>Art and cultural goods SHALL capture creator, title, medium/material, dimensions, age, origin/provenance, ownership, valuation, export permit and stolen-art screening where triggered.</x:v>
      </x:c>
      <x:c r="F145" s="111" t="str">
        <x:v>Art item/lane</x:v>
      </x:c>
      <x:c r="G145" s="111" t="str">
        <x:v>Object dossier</x:v>
      </x:c>
      <x:c r="H145" s="111" t="str">
        <x:v>Eligible/permit/review</x:v>
      </x:c>
      <x:c r="I145" s="111" t="str">
        <x:v>Cultural-property specialist/external authority</x:v>
      </x:c>
      <x:c r="J145" s="111" t="str">
        <x:v>Hold</x:v>
      </x:c>
      <x:c r="K145" s="111" t="str">
        <x:v>Provenance/screening</x:v>
      </x:c>
      <x:c r="L145" s="111" t="str">
        <x:v>SRC-COM-001, SRC-COM-002, SRC-COM-003, SRC-COM-004, SRC-COM-005, SRC-COM-012, SRC-SAN-007, SRC-SAN-010, SRC-SAN-011, SRC-SAN-012, SRC-SAN-013</x:v>
      </x:c>
      <x:c r="M145" s="111" t="str">
        <x:v>T-SPC-016</x:v>
      </x:c>
    </x:row>
    <x:row r="146" ht="66" customHeight="1">
      <x:c r="A146" s="110" t="str">
        <x:v>SPC-017</x:v>
      </x:c>
      <x:c r="B146" s="110" t="str">
        <x:v>Regulated &amp; special commodities</x:v>
      </x:c>
      <x:c r="C146" s="110" t="str">
        <x:v>Precious materials</x:v>
      </x:c>
      <x:c r="D146" s="110" t="str">
        <x:v>MUST</x:v>
      </x:c>
      <x:c r="E146" s="110" t="str">
        <x:v>Precious metals, stones and rough diamonds SHALL capture weight/fineness/category, provenance, valuation, KP certificate where applicable, AML/high-value controls and carrier permission.</x:v>
      </x:c>
      <x:c r="F146" s="110" t="str">
        <x:v>Precious item/lane</x:v>
      </x:c>
      <x:c r="G146" s="110" t="str">
        <x:v>Commodity dossier and parties</x:v>
      </x:c>
      <x:c r="H146" s="110" t="str">
        <x:v>Eligible/blocked</x:v>
      </x:c>
      <x:c r="I146" s="110" t="str">
        <x:v>Specialist/external carrier</x:v>
      </x:c>
      <x:c r="J146" s="110" t="str">
        <x:v>Hold</x:v>
      </x:c>
      <x:c r="K146" s="110" t="str">
        <x:v>Certificates/custody</x:v>
      </x:c>
      <x:c r="L146" s="110" t="str">
        <x:v>SRC-COM-001, SRC-COM-002, SRC-COM-003, SRC-COM-004, SRC-COM-005, SRC-COM-012, SRC-SAN-007, SRC-SAN-010, SRC-SAN-011, SRC-SAN-012, SRC-SAN-013</x:v>
      </x:c>
      <x:c r="M146" s="110" t="str">
        <x:v>T-SPC-017</x:v>
      </x:c>
    </x:row>
    <x:row r="147" ht="66" customHeight="1">
      <x:c r="A147" s="111" t="str">
        <x:v>SPC-018</x:v>
      </x:c>
      <x:c r="B147" s="111" t="str">
        <x:v>Regulated &amp; special commodities</x:v>
      </x:c>
      <x:c r="C147" s="111" t="str">
        <x:v>Personal effects inventory</x:v>
      </x:c>
      <x:c r="D147" s="111" t="str">
        <x:v>MUST</x:v>
      </x:c>
      <x:c r="E147" s="111" t="str">
        <x:v>Personal-effects shipments SHALL require owner identity, residency/move/travel context, itemized inventory, ownership/use period, values, restricted-item questionnaire and destination relief evidence.</x:v>
      </x:c>
      <x:c r="F147" s="111" t="str">
        <x:v>Personal effects flow</x:v>
      </x:c>
      <x:c r="G147" s="111" t="str">
        <x:v>Owner and inventory</x:v>
      </x:c>
      <x:c r="H147" s="111" t="str">
        <x:v>Eligible/procedure</x:v>
      </x:c>
      <x:c r="I147" s="111" t="str">
        <x:v>Customs specialist/external filer</x:v>
      </x:c>
      <x:c r="J147" s="111" t="str">
        <x:v>Hold</x:v>
      </x:c>
      <x:c r="K147" s="111" t="str">
        <x:v>Attestation/inventory</x:v>
      </x:c>
      <x:c r="L147" s="111" t="str">
        <x:v>SRC-COM-001, SRC-COM-002, SRC-COM-003, SRC-COM-004, SRC-COM-005, SRC-COM-012, SRC-SAN-007, SRC-SAN-010, SRC-SAN-011, SRC-SAN-012, SRC-SAN-013</x:v>
      </x:c>
      <x:c r="M147" s="111" t="str">
        <x:v>T-SPC-018</x:v>
      </x:c>
    </x:row>
    <x:row r="148" ht="66" customHeight="1">
      <x:c r="A148" s="110" t="str">
        <x:v>SPC-019</x:v>
      </x:c>
      <x:c r="B148" s="110" t="str">
        <x:v>Regulated &amp; special commodities</x:v>
      </x:c>
      <x:c r="C148" s="110" t="str">
        <x:v>Gift validation</x:v>
      </x:c>
      <x:c r="D148" s="110" t="str">
        <x:v>MUST</x:v>
      </x:c>
      <x:c r="E148" s="110" t="str">
        <x:v>Gift status SHALL require natural-person sender and recipient, no commercial consideration, genuine occasion/purpose and line values; thresholds and exclusions are destination-specific and splitting to evade limits is prohibited.</x:v>
      </x:c>
      <x:c r="F148" s="110" t="str">
        <x:v>Gift flow</x:v>
      </x:c>
      <x:c r="G148" s="110" t="str">
        <x:v>Party type, purpose, value/history</x:v>
      </x:c>
      <x:c r="H148" s="110" t="str">
        <x:v>Gift treatment or commercial treatment</x:v>
      </x:c>
      <x:c r="I148" s="110" t="str">
        <x:v>Automated/reviewer</x:v>
      </x:c>
      <x:c r="J148" s="110" t="str">
        <x:v>Hold suspicious; otherwise reclassify</x:v>
      </x:c>
      <x:c r="K148" s="110" t="str">
        <x:v>Attestation/rule</x:v>
      </x:c>
      <x:c r="L148" s="110" t="str">
        <x:v>SRC-COM-001, SRC-COM-002, SRC-COM-003, SRC-COM-004, SRC-COM-005, SRC-COM-012, SRC-SAN-007, SRC-SAN-010, SRC-SAN-011, SRC-SAN-012, SRC-SAN-013</x:v>
      </x:c>
      <x:c r="M148" s="110" t="str">
        <x:v>T-SPC-019</x:v>
      </x:c>
    </x:row>
    <x:row r="149" ht="66" customHeight="1">
      <x:c r="A149" s="111" t="str">
        <x:v>SPC-020</x:v>
      </x:c>
      <x:c r="B149" s="111" t="str">
        <x:v>Regulated &amp; special commodities</x:v>
      </x:c>
      <x:c r="C149" s="111" t="str">
        <x:v>Sample validation</x:v>
      </x:c>
      <x:c r="D149" s="111" t="str">
        <x:v>MUST</x:v>
      </x:c>
      <x:c r="E149" s="111" t="str">
        <x:v>Samples SHALL have a commercial purpose, defensible value, condition/marking where required and destination-specific relief eligibility; saleable samples do not automatically qualify.</x:v>
      </x:c>
      <x:c r="F149" s="111" t="str">
        <x:v>Sample flow</x:v>
      </x:c>
      <x:c r="G149" s="111" t="str">
        <x:v>Purpose, condition, value, recipient business</x:v>
      </x:c>
      <x:c r="H149" s="111" t="str">
        <x:v>Relief/normal import</x:v>
      </x:c>
      <x:c r="I149" s="111" t="str">
        <x:v>Customs reviewer</x:v>
      </x:c>
      <x:c r="J149" s="111" t="str">
        <x:v>Hold relief claim</x:v>
      </x:c>
      <x:c r="K149" s="111" t="str">
        <x:v>Evidence</x:v>
      </x:c>
      <x:c r="L149" s="111" t="str">
        <x:v>SRC-COM-001, SRC-COM-002, SRC-COM-003, SRC-COM-004, SRC-COM-005, SRC-COM-012, SRC-SAN-007, SRC-SAN-010, SRC-SAN-011, SRC-SAN-012, SRC-SAN-013</x:v>
      </x:c>
      <x:c r="M149" s="111" t="str">
        <x:v>T-SPC-020</x:v>
      </x:c>
    </x:row>
    <x:row r="150" ht="66" customHeight="1">
      <x:c r="A150" s="110" t="str">
        <x:v>SPC-021</x:v>
      </x:c>
      <x:c r="B150" s="110" t="str">
        <x:v>Regulated &amp; special commodities</x:v>
      </x:c>
      <x:c r="C150" s="110" t="str">
        <x:v>Perishables contingency</x:v>
      </x:c>
      <x:c r="D150" s="110" t="str">
        <x:v>MUST</x:v>
      </x:c>
      <x:c r="E150" s="110" t="str">
        <x:v>Perishable shipments SHALL have latest-tender, maximum delay, weekend/holiday, customs-hold, re-icing/refrigeration and disposal/return decision plans acknowledged by the tenant/customer.</x:v>
      </x:c>
      <x:c r="F150" s="110" t="str">
        <x:v>Quote and handover</x:v>
      </x:c>
      <x:c r="G150" s="110" t="str">
        <x:v>Shelf life, lane schedule, facility options</x:v>
      </x:c>
      <x:c r="H150" s="110" t="str">
        <x:v>Accepted contingency plan</x:v>
      </x:c>
      <x:c r="I150" s="110" t="str">
        <x:v>Quality/operations</x:v>
      </x:c>
      <x:c r="J150" s="110" t="str">
        <x:v>Do not tender</x:v>
      </x:c>
      <x:c r="K150" s="110" t="str">
        <x:v>Plan and acceptance</x:v>
      </x:c>
      <x:c r="L150" s="110" t="str">
        <x:v>SRC-COM-001, SRC-COM-002, SRC-COM-003, SRC-COM-004, SRC-COM-005, SRC-COM-012, SRC-SAN-007, SRC-SAN-010, SRC-SAN-011, SRC-SAN-012, SRC-SAN-013</x:v>
      </x:c>
      <x:c r="M150" s="110" t="str">
        <x:v>T-SPC-021</x:v>
      </x:c>
    </x:row>
    <x:row r="151" ht="66" customHeight="1">
      <x:c r="A151" s="111" t="str">
        <x:v>WHS-001</x:v>
      </x:c>
      <x:c r="B151" s="111" t="str">
        <x:v>Warehouse &amp; fulfilment operations</x:v>
      </x:c>
      <x:c r="C151" s="111" t="str">
        <x:v>Inbound identity</x:v>
      </x:c>
      <x:c r="D151" s="111" t="str">
        <x:v>MUST</x:v>
      </x:c>
      <x:c r="E151" s="111" t="str">
        <x:v>Receiving SHALL reconcile purchase/order/customer reference, product version, lot/serial, declared condition, quantity and package identity before regulated stock is made available.</x:v>
      </x:c>
      <x:c r="F151" s="111" t="str">
        <x:v>Receipt</x:v>
      </x:c>
      <x:c r="G151" s="111" t="str">
        <x:v>Expected and scanned stock</x:v>
      </x:c>
      <x:c r="H151" s="111" t="str">
        <x:v>Received/quarantined discrepancy</x:v>
      </x:c>
      <x:c r="I151" s="111" t="str">
        <x:v>Warehouse operator</x:v>
      </x:c>
      <x:c r="J151" s="111" t="str">
        <x:v>Quarantine</x:v>
      </x:c>
      <x:c r="K151" s="111" t="str">
        <x:v>Receipt and discrepancy</x:v>
      </x:c>
      <x:c r="L151" s="111" t="str">
        <x:v>SRC-CUS-002, SRC-COM-003, SRC-COM-004, SRC-AIR-001</x:v>
      </x:c>
      <x:c r="M151" s="111" t="str">
        <x:v>T-WHS-001</x:v>
      </x:c>
    </x:row>
    <x:row r="152" ht="66" customHeight="1">
      <x:c r="A152" s="110" t="str">
        <x:v>WHS-002</x:v>
      </x:c>
      <x:c r="B152" s="110" t="str">
        <x:v>Warehouse &amp; fulfilment operations</x:v>
      </x:c>
      <x:c r="C152" s="110" t="str">
        <x:v>Regulated quarantine</x:v>
      </x:c>
      <x:c r="D152" s="110" t="str">
        <x:v>MUST</x:v>
      </x:c>
      <x:c r="E152" s="110" t="str">
        <x:v>Unknown, damaged, leaking, recalled, temperature-exposed, undocumented, sanctions-linked or unapproved goods SHALL be placed in a system-controlled quarantine location that cannot allocate to orders.</x:v>
      </x:c>
      <x:c r="F152" s="110" t="str">
        <x:v>Receipt/incident/rule change</x:v>
      </x:c>
      <x:c r="G152" s="110" t="str">
        <x:v>Stock condition and decisions</x:v>
      </x:c>
      <x:c r="H152" s="110" t="str">
        <x:v>Quarantined</x:v>
      </x:c>
      <x:c r="I152" s="110" t="str">
        <x:v>Automated</x:v>
      </x:c>
      <x:c r="J152" s="110" t="str">
        <x:v>No allocation/pick</x:v>
      </x:c>
      <x:c r="K152" s="110" t="str">
        <x:v>Location/status event</x:v>
      </x:c>
      <x:c r="L152" s="110" t="str">
        <x:v>SRC-CUS-002, SRC-COM-003, SRC-COM-004, SRC-AIR-001</x:v>
      </x:c>
      <x:c r="M152" s="110" t="str">
        <x:v>T-WHS-002</x:v>
      </x:c>
    </x:row>
    <x:row r="153" ht="66" customHeight="1">
      <x:c r="A153" s="111" t="str">
        <x:v>WHS-003</x:v>
      </x:c>
      <x:c r="B153" s="111" t="str">
        <x:v>Warehouse &amp; fulfilment operations</x:v>
      </x:c>
      <x:c r="C153" s="111" t="str">
        <x:v>Storage zoning</x:v>
      </x:c>
      <x:c r="D153" s="111" t="str">
        <x:v>MUST</x:v>
      </x:c>
      <x:c r="E153" s="111" t="str">
        <x:v>Putaway SHALL enforce temperature, security, DG segregation, food/pharma hygiene, excise, high-value and access constraints from the approved product/site profiles.</x:v>
      </x:c>
      <x:c r="F153" s="111" t="str">
        <x:v>Putaway/move</x:v>
      </x:c>
      <x:c r="G153" s="111" t="str">
        <x:v>Product profile and location capability</x:v>
      </x:c>
      <x:c r="H153" s="111" t="str">
        <x:v>Allowed/blocked location</x:v>
      </x:c>
      <x:c r="I153" s="111" t="str">
        <x:v>Automated</x:v>
      </x:c>
      <x:c r="J153" s="111" t="str">
        <x:v>Reject move</x:v>
      </x:c>
      <x:c r="K153" s="111" t="str">
        <x:v>Scan and rule</x:v>
      </x:c>
      <x:c r="L153" s="111" t="str">
        <x:v>SRC-CUS-002, SRC-COM-003, SRC-COM-004, SRC-AIR-001</x:v>
      </x:c>
      <x:c r="M153" s="111" t="str">
        <x:v>T-WHS-003</x:v>
      </x:c>
    </x:row>
    <x:row r="154" ht="66" customHeight="1">
      <x:c r="A154" s="110" t="str">
        <x:v>WHS-004</x:v>
      </x:c>
      <x:c r="B154" s="110" t="str">
        <x:v>Warehouse &amp; fulfilment operations</x:v>
      </x:c>
      <x:c r="C154" s="110" t="str">
        <x:v>FEFO/lot allocation</x:v>
      </x:c>
      <x:c r="D154" s="110" t="str">
        <x:v>MUST</x:v>
      </x:c>
      <x:c r="E154" s="110" t="str">
        <x:v>Perishables, food and life-science goods SHALL use configured FEFO/lot/market authorization rules and prevent allocation of expired, recalled, quarantined or insufficient-shelf-life stock.</x:v>
      </x:c>
      <x:c r="F154" s="110" t="str">
        <x:v>Allocation</x:v>
      </x:c>
      <x:c r="G154" s="110" t="str">
        <x:v>Lot status/expiry/market</x:v>
      </x:c>
      <x:c r="H154" s="110" t="str">
        <x:v>Eligible allocation</x:v>
      </x:c>
      <x:c r="I154" s="110" t="str">
        <x:v>Automated</x:v>
      </x:c>
      <x:c r="J154" s="110" t="str">
        <x:v>No allocation</x:v>
      </x:c>
      <x:c r="K154" s="110" t="str">
        <x:v>Allocation trace</x:v>
      </x:c>
      <x:c r="L154" s="110" t="str">
        <x:v>SRC-CUS-002, SRC-COM-003, SRC-COM-004, SRC-AIR-001</x:v>
      </x:c>
      <x:c r="M154" s="110" t="str">
        <x:v>T-WHS-004</x:v>
      </x:c>
    </x:row>
    <x:row r="155" ht="66" customHeight="1">
      <x:c r="A155" s="111" t="str">
        <x:v>WHS-005</x:v>
      </x:c>
      <x:c r="B155" s="111" t="str">
        <x:v>Warehouse &amp; fulfilment operations</x:v>
      </x:c>
      <x:c r="C155" s="111" t="str">
        <x:v>Pack instruction lock</x:v>
      </x:c>
      <x:c r="D155" s="111" t="str">
        <x:v>MUST</x:v>
      </x:c>
      <x:c r="E155" s="111" t="str">
        <x:v>High-risk pack instructions SHALL be versioned and locked after approval. Packer SHALL confirm materials, quantities, closures, marks, sensors and photographs/scans where policy requires.</x:v>
      </x:c>
      <x:c r="F155" s="111" t="str">
        <x:v>Pack</x:v>
      </x:c>
      <x:c r="G155" s="111" t="str">
        <x:v>Approved instruction and actuals</x:v>
      </x:c>
      <x:c r="H155" s="111" t="str">
        <x:v>Completed/exception</x:v>
      </x:c>
      <x:c r="I155" s="111" t="str">
        <x:v>Packer + checker</x:v>
      </x:c>
      <x:c r="J155" s="111" t="str">
        <x:v>Hold package</x:v>
      </x:c>
      <x:c r="K155" s="111" t="str">
        <x:v>Checklist</x:v>
      </x:c>
      <x:c r="L155" s="111" t="str">
        <x:v>SRC-CUS-002, SRC-COM-003, SRC-COM-004, SRC-AIR-001</x:v>
      </x:c>
      <x:c r="M155" s="111" t="str">
        <x:v>T-WHS-005</x:v>
      </x:c>
    </x:row>
    <x:row r="156" ht="66" customHeight="1">
      <x:c r="A156" s="110" t="str">
        <x:v>WHS-006</x:v>
      </x:c>
      <x:c r="B156" s="110" t="str">
        <x:v>Warehouse &amp; fulfilment operations</x:v>
      </x:c>
      <x:c r="C156" s="110" t="str">
        <x:v>Scale/device integrity</x:v>
      </x:c>
      <x:c r="D156" s="110" t="str">
        <x:v>MUST</x:v>
      </x:c>
      <x:c r="E156" s="110" t="str">
        <x:v>Weights, dimensions and temperatures used for compliance SHALL capture device ID, calibration status, units, timestamp and operator; expired/out-of-range devices cannot supply compliance measurements.</x:v>
      </x:c>
      <x:c r="F156" s="110" t="str">
        <x:v>Measurement</x:v>
      </x:c>
      <x:c r="G156" s="110" t="str">
        <x:v>Device calibration and reading</x:v>
      </x:c>
      <x:c r="H156" s="110" t="str">
        <x:v>Accepted/rejected reading</x:v>
      </x:c>
      <x:c r="I156" s="110" t="str">
        <x:v>Automated</x:v>
      </x:c>
      <x:c r="J156" s="110" t="str">
        <x:v>Hold</x:v>
      </x:c>
      <x:c r="K156" s="110" t="str">
        <x:v>Measurement record</x:v>
      </x:c>
      <x:c r="L156" s="110" t="str">
        <x:v>SRC-CUS-002, SRC-COM-003, SRC-COM-004, SRC-AIR-001</x:v>
      </x:c>
      <x:c r="M156" s="110" t="str">
        <x:v>T-WHS-006</x:v>
      </x:c>
    </x:row>
    <x:row r="157" ht="66" customHeight="1">
      <x:c r="A157" s="111" t="str">
        <x:v>WHS-007</x:v>
      </x:c>
      <x:c r="B157" s="111" t="str">
        <x:v>Warehouse &amp; fulfilment operations</x:v>
      </x:c>
      <x:c r="C157" s="111" t="str">
        <x:v>Package content reconciliation</x:v>
      </x:c>
      <x:c r="D157" s="111" t="str">
        <x:v>MUST</x:v>
      </x:c>
      <x:c r="E157" s="111" t="str">
        <x:v>Package close SHALL reconcile every serial/lot/line and actual quantity to customs, DG and carrier data; undocumented substitutions or short/over packs are prohibited.</x:v>
      </x:c>
      <x:c r="F157" s="111" t="str">
        <x:v>Package close</x:v>
      </x:c>
      <x:c r="G157" s="111" t="str">
        <x:v>Picked contents and canonical lines</x:v>
      </x:c>
      <x:c r="H157" s="111" t="str">
        <x:v>Closed/exception</x:v>
      </x:c>
      <x:c r="I157" s="111" t="str">
        <x:v>Automated</x:v>
      </x:c>
      <x:c r="J157" s="111" t="str">
        <x:v>Hold</x:v>
      </x:c>
      <x:c r="K157" s="111" t="str">
        <x:v>Pack scans</x:v>
      </x:c>
      <x:c r="L157" s="111" t="str">
        <x:v>SRC-CUS-002, SRC-COM-003, SRC-COM-004, SRC-AIR-001</x:v>
      </x:c>
      <x:c r="M157" s="111" t="str">
        <x:v>T-WHS-007</x:v>
      </x:c>
    </x:row>
    <x:row r="158" ht="66" customHeight="1">
      <x:c r="A158" s="110" t="str">
        <x:v>WHS-008</x:v>
      </x:c>
      <x:c r="B158" s="110" t="str">
        <x:v>Warehouse &amp; fulfilment operations</x:v>
      </x:c>
      <x:c r="C158" s="110" t="str">
        <x:v>Label governance</x:v>
      </x:c>
      <x:c r="D158" s="110" t="str">
        <x:v>MUST</x:v>
      </x:c>
      <x:c r="E158" s="110" t="str">
        <x:v>Labels SHALL be generated only after required decisions; reprint reason/count and prior-label invalidation SHALL be controlled. Voided labels must not remain usable.</x:v>
      </x:c>
      <x:c r="F158" s="110" t="str">
        <x:v>Label/reprint/void</x:v>
      </x:c>
      <x:c r="G158" s="110" t="str">
        <x:v>Shipment status and label version</x:v>
      </x:c>
      <x:c r="H158" s="110" t="str">
        <x:v>Issued/reprinted/voided label</x:v>
      </x:c>
      <x:c r="I158" s="110" t="str">
        <x:v>Authorized operator</x:v>
      </x:c>
      <x:c r="J158" s="110" t="str">
        <x:v>No label</x:v>
      </x:c>
      <x:c r="K158" s="110" t="str">
        <x:v>Label event</x:v>
      </x:c>
      <x:c r="L158" s="110" t="str">
        <x:v>SRC-CUS-002, SRC-COM-003, SRC-COM-004, SRC-AIR-001</x:v>
      </x:c>
      <x:c r="M158" s="110" t="str">
        <x:v>T-WHS-008</x:v>
      </x:c>
    </x:row>
    <x:row r="159" ht="66" customHeight="1">
      <x:c r="A159" s="111" t="str">
        <x:v>WHS-009</x:v>
      </x:c>
      <x:c r="B159" s="111" t="str">
        <x:v>Warehouse &amp; fulfilment operations</x:v>
      </x:c>
      <x:c r="C159" s="111" t="str">
        <x:v>Document pouch control</x:v>
      </x:c>
      <x:c r="D159" s="111" t="str">
        <x:v>MUST</x:v>
      </x:c>
      <x:c r="E159" s="111" t="str">
        <x:v>Required originals/copies and placement instructions SHALL be presented to packers and confirmed; sensitive documents SHALL not be exposed beyond carrier/legal need.</x:v>
      </x:c>
      <x:c r="F159" s="111" t="str">
        <x:v>Pack close</x:v>
      </x:c>
      <x:c r="G159" s="111" t="str">
        <x:v>Document instructions</x:v>
      </x:c>
      <x:c r="H159" s="111" t="str">
        <x:v>Confirmed pouch/inside placement</x:v>
      </x:c>
      <x:c r="I159" s="111" t="str">
        <x:v>Packer</x:v>
      </x:c>
      <x:c r="J159" s="111" t="str">
        <x:v>Hold</x:v>
      </x:c>
      <x:c r="K159" s="111" t="str">
        <x:v>Checklist</x:v>
      </x:c>
      <x:c r="L159" s="111" t="str">
        <x:v>SRC-CUS-002, SRC-COM-003, SRC-COM-004, SRC-AIR-001</x:v>
      </x:c>
      <x:c r="M159" s="111" t="str">
        <x:v>T-WHS-009</x:v>
      </x:c>
    </x:row>
    <x:row r="160" ht="66" customHeight="1">
      <x:c r="A160" s="110" t="str">
        <x:v>WHS-010</x:v>
      </x:c>
      <x:c r="B160" s="110" t="str">
        <x:v>Warehouse &amp; fulfilment operations</x:v>
      </x:c>
      <x:c r="C160" s="110" t="str">
        <x:v>Final release gate</x:v>
      </x:c>
      <x:c r="D160" s="110" t="str">
        <x:v>MUST</x:v>
      </x:c>
      <x:c r="E160" s="110" t="str">
        <x:v>Handover release SHALL require current screening, country/service/commodity eligibility, document completeness, external approvals, carrier booking/label, physical reconciliation and no active holds.</x:v>
      </x:c>
      <x:c r="F160" s="110" t="str">
        <x:v>Handover scan</x:v>
      </x:c>
      <x:c r="G160" s="110" t="str">
        <x:v>All decision states</x:v>
      </x:c>
      <x:c r="H160" s="110" t="str">
        <x:v>RELEASED/BLOCKED</x:v>
      </x:c>
      <x:c r="I160" s="110" t="str">
        <x:v>Warehouse release supervisor for high risk</x:v>
      </x:c>
      <x:c r="J160" s="110" t="str">
        <x:v>No handover</x:v>
      </x:c>
      <x:c r="K160" s="110" t="str">
        <x:v>Release bundle</x:v>
      </x:c>
      <x:c r="L160" s="110" t="str">
        <x:v>SRC-CUS-002, SRC-COM-003, SRC-COM-004, SRC-AIR-001</x:v>
      </x:c>
      <x:c r="M160" s="110" t="str">
        <x:v>T-WHS-010</x:v>
      </x:c>
    </x:row>
    <x:row r="161" ht="66" customHeight="1">
      <x:c r="A161" s="111" t="str">
        <x:v>WHS-011</x:v>
      </x:c>
      <x:c r="B161" s="111" t="str">
        <x:v>Warehouse &amp; fulfilment operations</x:v>
      </x:c>
      <x:c r="C161" s="111" t="str">
        <x:v>Carrier handover proof</x:v>
      </x:c>
      <x:c r="D161" s="111" t="str">
        <x:v>MUST</x:v>
      </x:c>
      <x:c r="E161" s="111" t="str">
        <x:v>Handover SHALL capture carrier/driver identity where available, pickup/manifest reference, packages, seals, timestamp, location and exceptions; a label creation is not proof of tender.</x:v>
      </x:c>
      <x:c r="F161" s="111" t="str">
        <x:v>Pickup</x:v>
      </x:c>
      <x:c r="G161" s="111" t="str">
        <x:v>Manifest and scans</x:v>
      </x:c>
      <x:c r="H161" s="111" t="str">
        <x:v>Tendered custody event</x:v>
      </x:c>
      <x:c r="I161" s="111" t="str">
        <x:v>Warehouse/carrier</x:v>
      </x:c>
      <x:c r="J161" s="111" t="str">
        <x:v>Remain not tendered</x:v>
      </x:c>
      <x:c r="K161" s="111" t="str">
        <x:v>Handover receipt</x:v>
      </x:c>
      <x:c r="L161" s="111" t="str">
        <x:v>SRC-CUS-002, SRC-COM-003, SRC-COM-004, SRC-AIR-001</x:v>
      </x:c>
      <x:c r="M161" s="111" t="str">
        <x:v>T-WHS-011</x:v>
      </x:c>
    </x:row>
    <x:row r="162" ht="66" customHeight="1">
      <x:c r="A162" s="110" t="str">
        <x:v>WHS-012</x:v>
      </x:c>
      <x:c r="B162" s="110" t="str">
        <x:v>Warehouse &amp; fulfilment operations</x:v>
      </x:c>
      <x:c r="C162" s="110" t="str">
        <x:v>Exception and intercept</x:v>
      </x:c>
      <x:c r="D162" s="110" t="str">
        <x:v>MUST</x:v>
      </x:c>
      <x:c r="E162" s="110" t="str">
        <x:v>Post-release rule, screening, route, damage or data changes SHALL create intercept/return/notify actions based on custody stage; the platform SHALL not imply control once carrier custody prevents interception.</x:v>
      </x:c>
      <x:c r="F162" s="110" t="str">
        <x:v>Risk event</x:v>
      </x:c>
      <x:c r="G162" s="110" t="str">
        <x:v>Custody and carrier capability</x:v>
      </x:c>
      <x:c r="H162" s="110" t="str">
        <x:v>Intercept state</x:v>
      </x:c>
      <x:c r="I162" s="110" t="str">
        <x:v>Compliance/operations</x:v>
      </x:c>
      <x:c r="J162" s="110" t="str">
        <x:v>Escalate</x:v>
      </x:c>
      <x:c r="K162" s="110" t="str">
        <x:v>Requests/responses</x:v>
      </x:c>
      <x:c r="L162" s="110" t="str">
        <x:v>SRC-CUS-002, SRC-COM-003, SRC-COM-004, SRC-AIR-001</x:v>
      </x:c>
      <x:c r="M162" s="110" t="str">
        <x:v>T-WHS-012</x:v>
      </x:c>
    </x:row>
    <x:row r="163" ht="66" customHeight="1">
      <x:c r="A163" s="111" t="str">
        <x:v>WHS-013</x:v>
      </x:c>
      <x:c r="B163" s="111" t="str">
        <x:v>Warehouse &amp; fulfilment operations</x:v>
      </x:c>
      <x:c r="C163" s="111" t="str">
        <x:v>Returns quarantine</x:v>
      </x:c>
      <x:c r="D163" s="111" t="str">
        <x:v>MUST</x:v>
      </x:c>
      <x:c r="E163" s="111" t="str">
        <x:v>Returned goods SHALL not re-enter saleable stock until identity, tamper, condition, temperature, recall, regulatory and customs status are evaluated.</x:v>
      </x:c>
      <x:c r="F163" s="111" t="str">
        <x:v>Return receipt</x:v>
      </x:c>
      <x:c r="G163" s="111" t="str">
        <x:v>Original shipment and condition</x:v>
      </x:c>
      <x:c r="H163" s="111" t="str">
        <x:v>Restock/quarantine/dispose</x:v>
      </x:c>
      <x:c r="I163" s="111" t="str">
        <x:v>Quality/compliance</x:v>
      </x:c>
      <x:c r="J163" s="111" t="str">
        <x:v>Quarantine</x:v>
      </x:c>
      <x:c r="K163" s="111" t="str">
        <x:v>Return inspection</x:v>
      </x:c>
      <x:c r="L163" s="111" t="str">
        <x:v>SRC-CUS-002, SRC-COM-003, SRC-COM-004, SRC-AIR-001</x:v>
      </x:c>
      <x:c r="M163" s="111" t="str">
        <x:v>T-WHS-013</x:v>
      </x:c>
    </x:row>
    <x:row r="164" ht="66" customHeight="1">
      <x:c r="A164" s="110" t="str">
        <x:v>WHS-014</x:v>
      </x:c>
      <x:c r="B164" s="110" t="str">
        <x:v>Warehouse &amp; fulfilment operations</x:v>
      </x:c>
      <x:c r="C164" s="110" t="str">
        <x:v>Destruction/disposal</x:v>
      </x:c>
      <x:c r="D164" s="110" t="str">
        <x:v>MUST</x:v>
      </x:c>
      <x:c r="E164" s="110" t="str">
        <x:v>Regulated, excise, DG, pharma and high-value disposal SHALL require authorized method/vendor, approvals, witness where applicable and certificate, with stock/customs/licence reconciliation.</x:v>
      </x:c>
      <x:c r="F164" s="110" t="str">
        <x:v>Disposal</x:v>
      </x:c>
      <x:c r="G164" s="110" t="str">
        <x:v>Stock and legal requirements</x:v>
      </x:c>
      <x:c r="H164" s="110" t="str">
        <x:v>Disposed/blocked</x:v>
      </x:c>
      <x:c r="I164" s="110" t="str">
        <x:v>Authorized approver/vendor</x:v>
      </x:c>
      <x:c r="J164" s="110" t="str">
        <x:v>Hold</x:v>
      </x:c>
      <x:c r="K164" s="110" t="str">
        <x:v>Certificate and inventory event</x:v>
      </x:c>
      <x:c r="L164" s="110" t="str">
        <x:v>SRC-CUS-002, SRC-COM-003, SRC-COM-004, SRC-AIR-001</x:v>
      </x:c>
      <x:c r="M164" s="110" t="str">
        <x:v>T-WHS-014</x:v>
      </x:c>
    </x:row>
    <x:row r="165" ht="66" customHeight="1">
      <x:c r="A165" s="111" t="str">
        <x:v>WHS-015</x:v>
      </x:c>
      <x:c r="B165" s="111" t="str">
        <x:v>Warehouse &amp; fulfilment operations</x:v>
      </x:c>
      <x:c r="C165" s="111" t="str">
        <x:v>Inventory audit</x:v>
      </x:c>
      <x:c r="D165" s="111" t="str">
        <x:v>MUST</x:v>
      </x:c>
      <x:c r="E165" s="111" t="str">
        <x:v>Regulated stock counts, licence balances, high-value custody and quarantines SHALL be cycle-counted at risk-based intervals; discrepancies trigger investigation and shipment holds.</x:v>
      </x:c>
      <x:c r="F165" s="111" t="str">
        <x:v>Schedule/discrepancy</x:v>
      </x:c>
      <x:c r="G165" s="111" t="str">
        <x:v>System/physical inventory</x:v>
      </x:c>
      <x:c r="H165" s="111" t="str">
        <x:v>Reconciled/investigation</x:v>
      </x:c>
      <x:c r="I165" s="111" t="str">
        <x:v>Independent auditor</x:v>
      </x:c>
      <x:c r="J165" s="111" t="str">
        <x:v>Hold affected stock</x:v>
      </x:c>
      <x:c r="K165" s="111" t="str">
        <x:v>Count and investigation</x:v>
      </x:c>
      <x:c r="L165" s="111" t="str">
        <x:v>SRC-CUS-002, SRC-COM-003, SRC-COM-004, SRC-AIR-001</x:v>
      </x:c>
      <x:c r="M165" s="111" t="str">
        <x:v>T-WHS-015</x:v>
      </x:c>
    </x:row>
    <x:row r="166" ht="66" customHeight="1">
      <x:c r="A166" s="110" t="str">
        <x:v>INT-001</x:v>
      </x:c>
      <x:c r="B166" s="110" t="str">
        <x:v>Partner adapters</x:v>
      </x:c>
      <x:c r="C166" s="110" t="str">
        <x:v>Canonical adapter contract</x:v>
      </x:c>
      <x:c r="D166" s="110" t="str">
        <x:v>MUST</x:v>
      </x:c>
      <x:c r="E166" s="110" t="str">
        <x:v>All carrier, postal and air partners SHALL implement a versioned canonical contract for capability, address validation, rate/transit, booking/ship, labels/docs, pickup, tracking/events, cancel/void, filing status, referrals, manifests and billing adjustments.</x:v>
      </x:c>
      <x:c r="F166" s="110" t="str">
        <x:v>Adapter onboarding</x:v>
      </x:c>
      <x:c r="G166" s="110" t="str">
        <x:v>Partner schemas and capabilities</x:v>
      </x:c>
      <x:c r="H166" s="110" t="str">
        <x:v>Conformant adapter</x:v>
      </x:c>
      <x:c r="I166" s="110" t="str">
        <x:v>Integration governance</x:v>
      </x:c>
      <x:c r="J166" s="110" t="str">
        <x:v>Do not activate</x:v>
      </x:c>
      <x:c r="K166" s="110" t="str">
        <x:v>Contract test results</x:v>
      </x:c>
      <x:c r="L166" s="110" t="str">
        <x:v>SRC-CAR-001, SRC-CAR-002, SRC-CAR-003, SRC-CAR-004, SRC-CAR-005, SRC-CAR-006, SRC-POST-003, SRC-AIR-009, SRC-AIR-010</x:v>
      </x:c>
      <x:c r="M166" s="110" t="str">
        <x:v>T-INT-001</x:v>
      </x:c>
    </x:row>
    <x:row r="167" ht="66" customHeight="1">
      <x:c r="A167" s="111" t="str">
        <x:v>INT-002</x:v>
      </x:c>
      <x:c r="B167" s="111" t="str">
        <x:v>Partner adapters</x:v>
      </x:c>
      <x:c r="C167" s="111" t="str">
        <x:v>Capability declaration</x:v>
      </x:c>
      <x:c r="D167" s="111" t="str">
        <x:v>MUST</x:v>
      </x:c>
      <x:c r="E167" s="111" t="str">
        <x:v>Adapters SHALL declare supported countries, accounts, products, commodities, DG classes, incoterms, special services, documents, API versions, limits and cut-offs with effective dates.</x:v>
      </x:c>
      <x:c r="F167" s="111" t="str">
        <x:v>Adapter startup/change</x:v>
      </x:c>
      <x:c r="G167" s="111" t="str">
        <x:v>Partner metadata</x:v>
      </x:c>
      <x:c r="H167" s="111" t="str">
        <x:v>Capability registry</x:v>
      </x:c>
      <x:c r="I167" s="111" t="str">
        <x:v>Integration owner</x:v>
      </x:c>
      <x:c r="J167" s="111" t="str">
        <x:v>Disable affected capability</x:v>
      </x:c>
      <x:c r="K167" s="111" t="str">
        <x:v>Signed capability snapshot</x:v>
      </x:c>
      <x:c r="L167" s="111" t="str">
        <x:v>SRC-CAR-001, SRC-CAR-002, SRC-CAR-003, SRC-CAR-004, SRC-CAR-005, SRC-CAR-006, SRC-POST-003, SRC-AIR-009, SRC-AIR-010</x:v>
      </x:c>
      <x:c r="M167" s="111" t="str">
        <x:v>T-INT-002</x:v>
      </x:c>
    </x:row>
    <x:row r="168" ht="66" customHeight="1">
      <x:c r="A168" s="110" t="str">
        <x:v>INT-003</x:v>
      </x:c>
      <x:c r="B168" s="110" t="str">
        <x:v>Partner adapters</x:v>
      </x:c>
      <x:c r="C168" s="110" t="str">
        <x:v>Live plus cached policy</x:v>
      </x:c>
      <x:c r="D168" s="110" t="str">
        <x:v>MUST</x:v>
      </x:c>
      <x:c r="E168" s="110" t="str">
        <x:v>Live provider responses are preferred. Cached capability/rate/address results SHALL have type-specific TTLs and may not outlive carrier rule or country-pack changes.</x:v>
      </x:c>
      <x:c r="F168" s="110" t="str">
        <x:v>Quote/ship</x:v>
      </x:c>
      <x:c r="G168" s="110" t="str">
        <x:v>Cache timestamp/version and change events</x:v>
      </x:c>
      <x:c r="H168" s="110" t="str">
        <x:v>Fresh/stale</x:v>
      </x:c>
      <x:c r="I168" s="110" t="str">
        <x:v>Automated</x:v>
      </x:c>
      <x:c r="J168" s="110" t="str">
        <x:v>Refresh or block</x:v>
      </x:c>
      <x:c r="K168" s="110" t="str">
        <x:v>Cache decision</x:v>
      </x:c>
      <x:c r="L168" s="110" t="str">
        <x:v>SRC-CAR-001, SRC-CAR-002, SRC-CAR-003, SRC-CAR-004, SRC-CAR-005, SRC-CAR-006, SRC-POST-003, SRC-AIR-009, SRC-AIR-010</x:v>
      </x:c>
      <x:c r="M168" s="110" t="str">
        <x:v>T-INT-003</x:v>
      </x:c>
    </x:row>
    <x:row r="169" ht="66" customHeight="1">
      <x:c r="A169" s="111" t="str">
        <x:v>INT-004</x:v>
      </x:c>
      <x:c r="B169" s="111" t="str">
        <x:v>Partner adapters</x:v>
      </x:c>
      <x:c r="C169" s="111" t="str">
        <x:v>Authentication isolation</x:v>
      </x:c>
      <x:c r="D169" s="111" t="str">
        <x:v>MUST</x:v>
      </x:c>
      <x:c r="E169" s="111" t="str">
        <x:v>OAuth keys, API keys, certificates and account numbers SHALL be tenant/account/environment scoped, encrypted, rotated, access-controlled and never logged; sandbox and production credentials cannot mix.</x:v>
      </x:c>
      <x:c r="F169" s="111" t="str">
        <x:v>Every call/credential change</x:v>
      </x:c>
      <x:c r="G169" s="111" t="str">
        <x:v>Tenant account and environment</x:v>
      </x:c>
      <x:c r="H169" s="111" t="str">
        <x:v>Authorized credential</x:v>
      </x:c>
      <x:c r="I169" s="111" t="str">
        <x:v>Secrets platform</x:v>
      </x:c>
      <x:c r="J169" s="111" t="str">
        <x:v>Deny</x:v>
      </x:c>
      <x:c r="K169" s="111" t="str">
        <x:v>Credential audit metadata</x:v>
      </x:c>
      <x:c r="L169" s="111" t="str">
        <x:v>SRC-CAR-001, SRC-CAR-002, SRC-CAR-003, SRC-CAR-004, SRC-CAR-005, SRC-CAR-006, SRC-POST-003, SRC-AIR-009, SRC-AIR-010</x:v>
      </x:c>
      <x:c r="M169" s="111" t="str">
        <x:v>T-INT-004</x:v>
      </x:c>
    </x:row>
    <x:row r="170" ht="66" customHeight="1">
      <x:c r="A170" s="110" t="str">
        <x:v>INT-005</x:v>
      </x:c>
      <x:c r="B170" s="110" t="str">
        <x:v>Partner adapters</x:v>
      </x:c>
      <x:c r="C170" s="110" t="str">
        <x:v>Request signing and transport</x:v>
      </x:c>
      <x:c r="D170" s="110" t="str">
        <x:v>MUST</x:v>
      </x:c>
      <x:c r="E170" s="110" t="str">
        <x:v>Adapters SHALL enforce current TLS, certificate validation, provider-required signing, replay protection and outbound allowlists; webhook signatures and timestamps SHALL be verified.</x:v>
      </x:c>
      <x:c r="F170" s="110" t="str">
        <x:v>API/webhook</x:v>
      </x:c>
      <x:c r="G170" s="110" t="str">
        <x:v>Endpoint and security material</x:v>
      </x:c>
      <x:c r="H170" s="110" t="str">
        <x:v>Accepted/rejected communication</x:v>
      </x:c>
      <x:c r="I170" s="110" t="str">
        <x:v>Automated</x:v>
      </x:c>
      <x:c r="J170" s="110" t="str">
        <x:v>Reject</x:v>
      </x:c>
      <x:c r="K170" s="110" t="str">
        <x:v>Security event</x:v>
      </x:c>
      <x:c r="L170" s="110" t="str">
        <x:v>SRC-CAR-001, SRC-CAR-002, SRC-CAR-003, SRC-CAR-004, SRC-CAR-005, SRC-CAR-006, SRC-POST-003, SRC-AIR-009, SRC-AIR-010</x:v>
      </x:c>
      <x:c r="M170" s="110" t="str">
        <x:v>T-INT-005</x:v>
      </x:c>
    </x:row>
    <x:row r="171" ht="66" customHeight="1">
      <x:c r="A171" s="111" t="str">
        <x:v>INT-006</x:v>
      </x:c>
      <x:c r="B171" s="111" t="str">
        <x:v>Partner adapters</x:v>
      </x:c>
      <x:c r="C171" s="111" t="str">
        <x:v>Schema validation</x:v>
      </x:c>
      <x:c r="D171" s="111" t="str">
        <x:v>MUST</x:v>
      </x:c>
      <x:c r="E171" s="111" t="str">
        <x:v>Outbound and inbound payloads SHALL be validated against the configured provider schema/version, required enumerations and size constraints before business processing.</x:v>
      </x:c>
      <x:c r="F171" s="111" t="str">
        <x:v>Every message</x:v>
      </x:c>
      <x:c r="G171" s="111" t="str">
        <x:v>Payload and schema</x:v>
      </x:c>
      <x:c r="H171" s="111" t="str">
        <x:v>Valid/invalid</x:v>
      </x:c>
      <x:c r="I171" s="111" t="str">
        <x:v>Automated</x:v>
      </x:c>
      <x:c r="J171" s="111" t="str">
        <x:v>Reject/hold</x:v>
      </x:c>
      <x:c r="K171" s="111" t="str">
        <x:v>Validation errors</x:v>
      </x:c>
      <x:c r="L171" s="111" t="str">
        <x:v>SRC-CAR-001, SRC-CAR-002, SRC-CAR-003, SRC-CAR-004, SRC-CAR-005, SRC-CAR-006, SRC-POST-003, SRC-AIR-009, SRC-AIR-010</x:v>
      </x:c>
      <x:c r="M171" s="111" t="str">
        <x:v>T-INT-006</x:v>
      </x:c>
    </x:row>
    <x:row r="172" ht="66" customHeight="1">
      <x:c r="A172" s="110" t="str">
        <x:v>INT-007</x:v>
      </x:c>
      <x:c r="B172" s="110" t="str">
        <x:v>Partner adapters</x:v>
      </x:c>
      <x:c r="C172" s="110" t="str">
        <x:v>Raw and canonical persistence</x:v>
      </x:c>
      <x:c r="D172" s="110" t="str">
        <x:v>MUST</x:v>
      </x:c>
      <x:c r="E172" s="110" t="str">
        <x:v>Legally/contractually permitted raw requests/responses SHALL be encrypted and retained with redaction, while normalized records preserve all business-significant codes and unknown fields for reconciliation.</x:v>
      </x:c>
      <x:c r="F172" s="110" t="str">
        <x:v>Every exchange</x:v>
      </x:c>
      <x:c r="G172" s="110" t="str">
        <x:v>Raw message and mappings</x:v>
      </x:c>
      <x:c r="H172" s="110" t="str">
        <x:v>Stored evidence</x:v>
      </x:c>
      <x:c r="I172" s="110" t="str">
        <x:v>Automated</x:v>
      </x:c>
      <x:c r="J172" s="110" t="str">
        <x:v>Hold if mandatory audit record fails</x:v>
      </x:c>
      <x:c r="K172" s="110" t="str">
        <x:v>Hashes and storage refs</x:v>
      </x:c>
      <x:c r="L172" s="110" t="str">
        <x:v>SRC-CAR-001, SRC-CAR-002, SRC-CAR-003, SRC-CAR-004, SRC-CAR-005, SRC-CAR-006, SRC-POST-003, SRC-AIR-009, SRC-AIR-010</x:v>
      </x:c>
      <x:c r="M172" s="110" t="str">
        <x:v>T-INT-007</x:v>
      </x:c>
    </x:row>
    <x:row r="173" ht="66" customHeight="1">
      <x:c r="A173" s="111" t="str">
        <x:v>INT-008</x:v>
      </x:c>
      <x:c r="B173" s="111" t="str">
        <x:v>Partner adapters</x:v>
      </x:c>
      <x:c r="C173" s="111" t="str">
        <x:v>Error taxonomy</x:v>
      </x:c>
      <x:c r="D173" s="111" t="str">
        <x:v>MUST</x:v>
      </x:c>
      <x:c r="E173" s="111" t="str">
        <x:v>Provider errors SHALL normalize to validation, authorization, rate limit, transient, duplicate/ambiguous, business rejection, referral, DNL, cancellation and provider outage without losing raw codes.</x:v>
      </x:c>
      <x:c r="F173" s="111" t="str">
        <x:v>Response</x:v>
      </x:c>
      <x:c r="G173" s="111" t="str">
        <x:v>Raw error</x:v>
      </x:c>
      <x:c r="H173" s="111" t="str">
        <x:v>Normalized action</x:v>
      </x:c>
      <x:c r="I173" s="111" t="str">
        <x:v>Automated</x:v>
      </x:c>
      <x:c r="J173" s="111" t="str">
        <x:v>Safe retry/hold</x:v>
      </x:c>
      <x:c r="K173" s="111" t="str">
        <x:v>Mapping version</x:v>
      </x:c>
      <x:c r="L173" s="111" t="str">
        <x:v>SRC-CAR-001, SRC-CAR-002, SRC-CAR-003, SRC-CAR-004, SRC-CAR-005, SRC-CAR-006, SRC-POST-003, SRC-AIR-009, SRC-AIR-010</x:v>
      </x:c>
      <x:c r="M173" s="111" t="str">
        <x:v>T-INT-008</x:v>
      </x:c>
    </x:row>
    <x:row r="174" ht="66" customHeight="1">
      <x:c r="A174" s="110" t="str">
        <x:v>INT-009</x:v>
      </x:c>
      <x:c r="B174" s="110" t="str">
        <x:v>Partner adapters</x:v>
      </x:c>
      <x:c r="C174" s="110" t="str">
        <x:v>Retry discipline</x:v>
      </x:c>
      <x:c r="D174" s="110" t="str">
        <x:v>MUST</x:v>
      </x:c>
      <x:c r="E174" s="110" t="str">
        <x:v>Only demonstrably idempotent operations SHALL auto-retry with exponential backoff/jitter and rate-limit respect; shipment/filing creation with ambiguous outcome requires status query.</x:v>
      </x:c>
      <x:c r="F174" s="110" t="str">
        <x:v>Technical failure</x:v>
      </x:c>
      <x:c r="G174" s="110" t="str">
        <x:v>Operation semantics and prior response</x:v>
      </x:c>
      <x:c r="H174" s="110" t="str">
        <x:v>Retry/query/manual reconcile</x:v>
      </x:c>
      <x:c r="I174" s="110" t="str">
        <x:v>Automated</x:v>
      </x:c>
      <x:c r="J174" s="110" t="str">
        <x:v>Hold</x:v>
      </x:c>
      <x:c r="K174" s="110" t="str">
        <x:v>Attempt ledger</x:v>
      </x:c>
      <x:c r="L174" s="110" t="str">
        <x:v>SRC-CAR-001, SRC-CAR-002, SRC-CAR-003, SRC-CAR-004, SRC-CAR-005, SRC-CAR-006, SRC-POST-003, SRC-AIR-009, SRC-AIR-010</x:v>
      </x:c>
      <x:c r="M174" s="110" t="str">
        <x:v>T-INT-009</x:v>
      </x:c>
    </x:row>
    <x:row r="175" ht="66" customHeight="1">
      <x:c r="A175" s="111" t="str">
        <x:v>INT-010</x:v>
      </x:c>
      <x:c r="B175" s="111" t="str">
        <x:v>Partner adapters</x:v>
      </x:c>
      <x:c r="C175" s="111" t="str">
        <x:v>Webhook ordering</x:v>
      </x:c>
      <x:c r="D175" s="111" t="str">
        <x:v>MUST</x:v>
      </x:c>
      <x:c r="E175" s="111" t="str">
        <x:v>Events SHALL be authenticated, deduplicated and ordered by provider event time/version where possible; late/out-of-order events SHALL not regress terminal state without reconciliation.</x:v>
      </x:c>
      <x:c r="F175" s="111" t="str">
        <x:v>Webhook</x:v>
      </x:c>
      <x:c r="G175" s="111" t="str">
        <x:v>Event ID/time/status</x:v>
      </x:c>
      <x:c r="H175" s="111" t="str">
        <x:v>Monotonic canonical state</x:v>
      </x:c>
      <x:c r="I175" s="111" t="str">
        <x:v>Automated</x:v>
      </x:c>
      <x:c r="J175" s="111" t="str">
        <x:v>Quarantine event</x:v>
      </x:c>
      <x:c r="K175" s="111" t="str">
        <x:v>Raw event and transition</x:v>
      </x:c>
      <x:c r="L175" s="111" t="str">
        <x:v>SRC-CAR-001, SRC-CAR-002, SRC-CAR-003, SRC-CAR-004, SRC-CAR-005, SRC-CAR-006, SRC-POST-003, SRC-AIR-009, SRC-AIR-010</x:v>
      </x:c>
      <x:c r="M175" s="111" t="str">
        <x:v>T-INT-010</x:v>
      </x:c>
    </x:row>
    <x:row r="176" ht="66" customHeight="1">
      <x:c r="A176" s="110" t="str">
        <x:v>INT-011</x:v>
      </x:c>
      <x:c r="B176" s="110" t="str">
        <x:v>Partner adapters</x:v>
      </x:c>
      <x:c r="C176" s="110" t="str">
        <x:v>Provider certification</x:v>
      </x:c>
      <x:c r="D176" s="110" t="str">
        <x:v>MUST</x:v>
      </x:c>
      <x:c r="E176" s="110" t="str">
        <x:v>Adapters SHALL complete provider-required certification, resale/integrator enrollment, test cases, label review and account approval before production; tenant credentials alone do not prove software authorization.</x:v>
      </x:c>
      <x:c r="F176" s="110" t="str">
        <x:v>Adapter release</x:v>
      </x:c>
      <x:c r="G176" s="110" t="str">
        <x:v>Provider program requirements</x:v>
      </x:c>
      <x:c r="H176" s="110" t="str">
        <x:v>Certified/rejected</x:v>
      </x:c>
      <x:c r="I176" s="110" t="str">
        <x:v>Integration legal/product</x:v>
      </x:c>
      <x:c r="J176" s="110" t="str">
        <x:v>No production activation</x:v>
      </x:c>
      <x:c r="K176" s="110" t="str">
        <x:v>Certificate/approval</x:v>
      </x:c>
      <x:c r="L176" s="110" t="str">
        <x:v>SRC-CAR-001, SRC-CAR-002, SRC-CAR-003, SRC-CAR-004, SRC-CAR-005, SRC-CAR-006, SRC-POST-003, SRC-AIR-009, SRC-AIR-010</x:v>
      </x:c>
      <x:c r="M176" s="110" t="str">
        <x:v>T-INT-011</x:v>
      </x:c>
    </x:row>
    <x:row r="177" ht="66" customHeight="1">
      <x:c r="A177" s="111" t="str">
        <x:v>INT-012</x:v>
      </x:c>
      <x:c r="B177" s="111" t="str">
        <x:v>Partner adapters</x:v>
      </x:c>
      <x:c r="C177" s="111" t="str">
        <x:v>Terms and branding</x:v>
      </x:c>
      <x:c r="D177" s="111" t="str">
        <x:v>MUST</x:v>
      </x:c>
      <x:c r="E177" s="111" t="str">
        <x:v>Carrier API terms, label/document rendering, marks, rate display, data use, caching and branding obligations SHALL be configuration/release gates reviewed by legal.</x:v>
      </x:c>
      <x:c r="F177" s="111" t="str">
        <x:v>Adapter release/change</x:v>
      </x:c>
      <x:c r="G177" s="111" t="str">
        <x:v>Provider agreement</x:v>
      </x:c>
      <x:c r="H177" s="111" t="str">
        <x:v>Approved implementation</x:v>
      </x:c>
      <x:c r="I177" s="111" t="str">
        <x:v>Legal</x:v>
      </x:c>
      <x:c r="J177" s="111" t="str">
        <x:v>Disable</x:v>
      </x:c>
      <x:c r="K177" s="111" t="str">
        <x:v>Review record</x:v>
      </x:c>
      <x:c r="L177" s="111" t="str">
        <x:v>SRC-CAR-001, SRC-CAR-002, SRC-CAR-003, SRC-CAR-004, SRC-CAR-005, SRC-CAR-006, SRC-POST-003, SRC-AIR-009, SRC-AIR-010</x:v>
      </x:c>
      <x:c r="M177" s="111" t="str">
        <x:v>T-INT-012</x:v>
      </x:c>
    </x:row>
    <x:row r="178" ht="66" customHeight="1">
      <x:c r="A178" s="110" t="str">
        <x:v>INT-013</x:v>
      </x:c>
      <x:c r="B178" s="110" t="str">
        <x:v>Partner adapters</x:v>
      </x:c>
      <x:c r="C178" s="110" t="str">
        <x:v>DHL MyDHL scope</x:v>
      </x:c>
      <x:c r="D178" s="110" t="str">
        <x:v>MUST</x:v>
      </x:c>
      <x:c r="E178" s="110" t="str">
        <x:v>The DHL Express adapter SHALL map account access, capabilities/rates, shipment validation/creation, customs content, labels/documents, pickup, tracking and cancellation per the active MyDHL API and reference-data versions.</x:v>
      </x:c>
      <x:c r="F178" s="110" t="str">
        <x:v>DHL flow</x:v>
      </x:c>
      <x:c r="G178" s="110" t="str">
        <x:v>DHL account/lane/shipment</x:v>
      </x:c>
      <x:c r="H178" s="110" t="str">
        <x:v>DHL response mapped</x:v>
      </x:c>
      <x:c r="I178" s="110" t="str">
        <x:v>DHL integration owner</x:v>
      </x:c>
      <x:c r="J178" s="110" t="str">
        <x:v>Hold</x:v>
      </x:c>
      <x:c r="K178" s="110" t="str">
        <x:v>DHL request/response</x:v>
      </x:c>
      <x:c r="L178" s="110" t="str">
        <x:v>SRC-CAR-001, SRC-CAR-002, SRC-CAR-003, SRC-CAR-004, SRC-CAR-005, SRC-CAR-006, SRC-POST-003, SRC-AIR-009, SRC-AIR-010</x:v>
      </x:c>
      <x:c r="M178" s="110" t="str">
        <x:v>T-INT-013</x:v>
      </x:c>
    </x:row>
    <x:row r="179" ht="66" customHeight="1">
      <x:c r="A179" s="111" t="str">
        <x:v>INT-014</x:v>
      </x:c>
      <x:c r="B179" s="111" t="str">
        <x:v>Partner adapters</x:v>
      </x:c>
      <x:c r="C179" s="111" t="str">
        <x:v>UPS scope</x:v>
      </x:c>
      <x:c r="D179" s="111" t="str">
        <x:v>MUST</x:v>
      </x:c>
      <x:c r="E179" s="111" t="str">
        <x:v>The UPS adapter SHALL map OAuth, address validation, rating/time in transit, shipping/labels, pickups, tracking, paperless/trade data and voids using only account-enabled products.</x:v>
      </x:c>
      <x:c r="F179" s="111" t="str">
        <x:v>UPS flow</x:v>
      </x:c>
      <x:c r="G179" s="111" t="str">
        <x:v>UPS account/lane/shipment</x:v>
      </x:c>
      <x:c r="H179" s="111" t="str">
        <x:v>UPS response mapped</x:v>
      </x:c>
      <x:c r="I179" s="111" t="str">
        <x:v>UPS integration owner</x:v>
      </x:c>
      <x:c r="J179" s="111" t="str">
        <x:v>Hold</x:v>
      </x:c>
      <x:c r="K179" s="111" t="str">
        <x:v>UPS request/response</x:v>
      </x:c>
      <x:c r="L179" s="111" t="str">
        <x:v>SRC-CAR-001, SRC-CAR-002, SRC-CAR-003, SRC-CAR-004, SRC-CAR-005, SRC-CAR-006, SRC-POST-003, SRC-AIR-009, SRC-AIR-010</x:v>
      </x:c>
      <x:c r="M179" s="111" t="str">
        <x:v>T-INT-014</x:v>
      </x:c>
    </x:row>
    <x:row r="180" ht="66" customHeight="1">
      <x:c r="A180" s="110" t="str">
        <x:v>INT-015</x:v>
      </x:c>
      <x:c r="B180" s="110" t="str">
        <x:v>Partner adapters</x:v>
      </x:c>
      <x:c r="C180" s="110" t="str">
        <x:v>UPS dangerous goods</x:v>
      </x:c>
      <x:c r="D180" s="110" t="str">
        <x:v>MUST</x:v>
      </x:c>
      <x:c r="E180" s="110" t="str">
        <x:v>UPS DG acceptance SHALL require UPS contract/service capability and its provider-specific data/documents in addition to legal DG approval; absence of UPS DG capability blocks UPS selection.</x:v>
      </x:c>
      <x:c r="F180" s="110" t="str">
        <x:v>UPS DG shipment</x:v>
      </x:c>
      <x:c r="G180" s="110" t="str">
        <x:v>DG profile, account, service</x:v>
      </x:c>
      <x:c r="H180" s="110" t="str">
        <x:v>UPS DG accepted/blocked</x:v>
      </x:c>
      <x:c r="I180" s="110" t="str">
        <x:v>UPS/external + DG reviewer</x:v>
      </x:c>
      <x:c r="J180" s="110" t="str">
        <x:v>Hold</x:v>
      </x:c>
      <x:c r="K180" s="110" t="str">
        <x:v>UPS capability/response</x:v>
      </x:c>
      <x:c r="L180" s="110" t="str">
        <x:v>SRC-CAR-001, SRC-CAR-002, SRC-CAR-003, SRC-CAR-004, SRC-CAR-005, SRC-CAR-006, SRC-POST-003, SRC-AIR-009, SRC-AIR-010</x:v>
      </x:c>
      <x:c r="M180" s="110" t="str">
        <x:v>T-INT-015</x:v>
      </x:c>
    </x:row>
    <x:row r="181" ht="66" customHeight="1">
      <x:c r="A181" s="111" t="str">
        <x:v>INT-016</x:v>
      </x:c>
      <x:c r="B181" s="111" t="str">
        <x:v>Partner adapters</x:v>
      </x:c>
      <x:c r="C181" s="111" t="str">
        <x:v>FedEx scope</x:v>
      </x:c>
      <x:c r="D181" s="111" t="str">
        <x:v>MUST</x:v>
      </x:c>
      <x:c r="E181" s="111" t="str">
        <x:v>The FedEx adapter SHALL map OAuth, address validation, rates/transit, ship/labels, returns, pickups, tracking/visibility, trade documents, special services and cancellation per account/country availability.</x:v>
      </x:c>
      <x:c r="F181" s="111" t="str">
        <x:v>FedEx flow</x:v>
      </x:c>
      <x:c r="G181" s="111" t="str">
        <x:v>FedEx account/lane/shipment</x:v>
      </x:c>
      <x:c r="H181" s="111" t="str">
        <x:v>FedEx response mapped</x:v>
      </x:c>
      <x:c r="I181" s="111" t="str">
        <x:v>FedEx integration owner</x:v>
      </x:c>
      <x:c r="J181" s="111" t="str">
        <x:v>Hold</x:v>
      </x:c>
      <x:c r="K181" s="111" t="str">
        <x:v>FedEx request/response</x:v>
      </x:c>
      <x:c r="L181" s="111" t="str">
        <x:v>SRC-CAR-001, SRC-CAR-002, SRC-CAR-003, SRC-CAR-004, SRC-CAR-005, SRC-CAR-006, SRC-POST-003, SRC-AIR-009, SRC-AIR-010</x:v>
      </x:c>
      <x:c r="M181" s="111" t="str">
        <x:v>T-INT-016</x:v>
      </x:c>
    </x:row>
    <x:row r="182" ht="66" customHeight="1">
      <x:c r="A182" s="110" t="str">
        <x:v>INT-017</x:v>
      </x:c>
      <x:c r="B182" s="110" t="str">
        <x:v>Partner adapters</x:v>
      </x:c>
      <x:c r="C182" s="110" t="str">
        <x:v>FedEx integrator program</x:v>
      </x:c>
      <x:c r="D182" s="110" t="str">
        <x:v>MUST</x:v>
      </x:c>
      <x:c r="E182" s="110" t="str">
        <x:v>A SaaS resale integration SHALL meet current FedEx integrator/compatible program requirements and SHALL treat webhook/account-country limitations as capabilities, not universal features.</x:v>
      </x:c>
      <x:c r="F182" s="110" t="str">
        <x:v>FedEx adapter release</x:v>
      </x:c>
      <x:c r="G182" s="110" t="str">
        <x:v>Program/account data</x:v>
      </x:c>
      <x:c r="H182" s="110" t="str">
        <x:v>Approved capability</x:v>
      </x:c>
      <x:c r="I182" s="110" t="str">
        <x:v>Integration legal/product</x:v>
      </x:c>
      <x:c r="J182" s="110" t="str">
        <x:v>Disable</x:v>
      </x:c>
      <x:c r="K182" s="110" t="str">
        <x:v>Program approval</x:v>
      </x:c>
      <x:c r="L182" s="110" t="str">
        <x:v>SRC-CAR-001, SRC-CAR-002, SRC-CAR-003, SRC-CAR-004, SRC-CAR-005, SRC-CAR-006, SRC-POST-003, SRC-AIR-009, SRC-AIR-010</x:v>
      </x:c>
      <x:c r="M182" s="110" t="str">
        <x:v>T-INT-017</x:v>
      </x:c>
    </x:row>
    <x:row r="183" ht="66" customHeight="1">
      <x:c r="A183" s="111" t="str">
        <x:v>INT-018</x:v>
      </x:c>
      <x:c r="B183" s="111" t="str">
        <x:v>Partner adapters</x:v>
      </x:c>
      <x:c r="C183" s="111" t="str">
        <x:v>Postal operator adapter</x:v>
      </x:c>
      <x:c r="D183" s="111" t="str">
        <x:v>MUST</x:v>
      </x:c>
      <x:c r="E183" s="111" t="str">
        <x:v>UPU-compatible adapters SHALL map bilateral/operator-specific deviations, S10 allocation, ITMATT, PREDES/RESDES, CARDIT/RESDIT and referrals only for messages actually supported by the contracted operator.</x:v>
      </x:c>
      <x:c r="F183" s="111" t="str">
        <x:v>Postal flow</x:v>
      </x:c>
      <x:c r="G183" s="111" t="str">
        <x:v>Operator contract/message versions</x:v>
      </x:c>
      <x:c r="H183" s="111" t="str">
        <x:v>Supported message flow</x:v>
      </x:c>
      <x:c r="I183" s="111" t="str">
        <x:v>Postal integration owner</x:v>
      </x:c>
      <x:c r="J183" s="111" t="str">
        <x:v>Hold</x:v>
      </x:c>
      <x:c r="K183" s="111" t="str">
        <x:v>Conformance suite</x:v>
      </x:c>
      <x:c r="L183" s="111" t="str">
        <x:v>SRC-CAR-001, SRC-CAR-002, SRC-CAR-003, SRC-CAR-004, SRC-CAR-005, SRC-CAR-006, SRC-POST-003, SRC-AIR-009, SRC-AIR-010</x:v>
      </x:c>
      <x:c r="M183" s="111" t="str">
        <x:v>T-INT-018</x:v>
      </x:c>
    </x:row>
    <x:row r="184" ht="66" customHeight="1">
      <x:c r="A184" s="110" t="str">
        <x:v>INT-019</x:v>
      </x:c>
      <x:c r="B184" s="110" t="str">
        <x:v>Partner adapters</x:v>
      </x:c>
      <x:c r="C184" s="110" t="str">
        <x:v>Air partner adapter</x:v>
      </x:c>
      <x:c r="D184" s="110" t="str">
        <x:v>MUST</x:v>
      </x:c>
      <x:c r="E184" s="110" t="str">
        <x:v>Forwarder/airline/platform adapters SHALL map booking, routing, MAWB/HAWB, Cargo-XML/ONE Record, security filings/referrals, e-AWB, e-DGD, status, manifest and cancellation based on partner role.</x:v>
      </x:c>
      <x:c r="F184" s="110" t="str">
        <x:v>Air flow</x:v>
      </x:c>
      <x:c r="G184" s="110" t="str">
        <x:v>Partner capability and cargo data</x:v>
      </x:c>
      <x:c r="H184" s="110" t="str">
        <x:v>Supported exchange</x:v>
      </x:c>
      <x:c r="I184" s="110" t="str">
        <x:v>Air integration owner</x:v>
      </x:c>
      <x:c r="J184" s="110" t="str">
        <x:v>Hold</x:v>
      </x:c>
      <x:c r="K184" s="110" t="str">
        <x:v>Conformance suite</x:v>
      </x:c>
      <x:c r="L184" s="110" t="str">
        <x:v>SRC-CAR-001, SRC-CAR-002, SRC-CAR-003, SRC-CAR-004, SRC-CAR-005, SRC-CAR-006, SRC-POST-003, SRC-AIR-009, SRC-AIR-010</x:v>
      </x:c>
      <x:c r="M184" s="110" t="str">
        <x:v>T-INT-019</x:v>
      </x:c>
    </x:row>
    <x:row r="185" ht="66" customHeight="1">
      <x:c r="A185" s="111" t="str">
        <x:v>INT-020</x:v>
      </x:c>
      <x:c r="B185" s="111" t="str">
        <x:v>Partner adapters</x:v>
      </x:c>
      <x:c r="C185" s="111" t="str">
        <x:v>Regional carrier onboarding</x:v>
      </x:c>
      <x:c r="D185" s="111" t="str">
        <x:v>MUST</x:v>
      </x:c>
      <x:c r="E185" s="111" t="str">
        <x:v>Regional carriers and aggregators SHALL meet the same security, idempotency, capability, compliance-evidence and certification gates; aggregator acceptance SHALL identify the actual carrier/service where required for rules.</x:v>
      </x:c>
      <x:c r="F185" s="111" t="str">
        <x:v>New partner</x:v>
      </x:c>
      <x:c r="G185" s="111" t="str">
        <x:v>Partner/actual carrier data</x:v>
      </x:c>
      <x:c r="H185" s="111" t="str">
        <x:v>Approved/blocked adapter</x:v>
      </x:c>
      <x:c r="I185" s="111" t="str">
        <x:v>Integration governance</x:v>
      </x:c>
      <x:c r="J185" s="111" t="str">
        <x:v>Disable</x:v>
      </x:c>
      <x:c r="K185" s="111" t="str">
        <x:v>Due diligence and tests</x:v>
      </x:c>
      <x:c r="L185" s="111" t="str">
        <x:v>SRC-CAR-001, SRC-CAR-002, SRC-CAR-003, SRC-CAR-004, SRC-CAR-005, SRC-CAR-006, SRC-POST-003, SRC-AIR-009, SRC-AIR-010</x:v>
      </x:c>
      <x:c r="M185" s="111" t="str">
        <x:v>T-INT-020</x:v>
      </x:c>
    </x:row>
    <x:row r="186" ht="66" customHeight="1">
      <x:c r="A186" s="110" t="str">
        <x:v>INT-021</x:v>
      </x:c>
      <x:c r="B186" s="110" t="str">
        <x:v>Partner adapters</x:v>
      </x:c>
      <x:c r="C186" s="110" t="str">
        <x:v>Reconciliation</x:v>
      </x:c>
      <x:c r="D186" s="110" t="str">
        <x:v>MUST</x:v>
      </x:c>
      <x:c r="E186" s="110" t="str">
        <x:v>Daily reconciliation SHALL compare labels, shipments, declarations, pickups, tracking numbers, voids, surcharges and invoices against provider records and route anomalies to operations/finance/compliance.</x:v>
      </x:c>
      <x:c r="F186" s="110" t="str">
        <x:v>Schedule</x:v>
      </x:c>
      <x:c r="G186" s="110" t="str">
        <x:v>Internal/provider transactions</x:v>
      </x:c>
      <x:c r="H186" s="110" t="str">
        <x:v>Matched/exceptions</x:v>
      </x:c>
      <x:c r="I186" s="110" t="str">
        <x:v>Operations/finance</x:v>
      </x:c>
      <x:c r="J186" s="110" t="str">
        <x:v>Investigate/hold accounts if systemic</x:v>
      </x:c>
      <x:c r="K186" s="110" t="str">
        <x:v>Reconciliation report</x:v>
      </x:c>
      <x:c r="L186" s="110" t="str">
        <x:v>SRC-CAR-001, SRC-CAR-002, SRC-CAR-003, SRC-CAR-004, SRC-CAR-005, SRC-CAR-006, SRC-POST-003, SRC-AIR-009, SRC-AIR-010</x:v>
      </x:c>
      <x:c r="M186" s="110" t="str">
        <x:v>T-INT-021</x:v>
      </x:c>
    </x:row>
    <x:row r="187" ht="66" customHeight="1">
      <x:c r="A187" s="111" t="str">
        <x:v>INT-022</x:v>
      </x:c>
      <x:c r="B187" s="111" t="str">
        <x:v>Partner adapters</x:v>
      </x:c>
      <x:c r="C187" s="111" t="str">
        <x:v>Provider outage</x:v>
      </x:c>
      <x:c r="D187" s="111" t="str">
        <x:v>MUST</x:v>
      </x:c>
      <x:c r="E187" s="111" t="str">
        <x:v>Outage mode SHALL show affected capabilities, prohibit fabricated success, allow only policy-approved cached quoting, queue safe operations, and require reconciliation before release.</x:v>
      </x:c>
      <x:c r="F187" s="111" t="str">
        <x:v>Health failure</x:v>
      </x:c>
      <x:c r="G187" s="111" t="str">
        <x:v>Provider status and operation type</x:v>
      </x:c>
      <x:c r="H187" s="111" t="str">
        <x:v>Degraded/blocked</x:v>
      </x:c>
      <x:c r="I187" s="111" t="str">
        <x:v>Automated</x:v>
      </x:c>
      <x:c r="J187" s="111" t="str">
        <x:v>Hold</x:v>
      </x:c>
      <x:c r="K187" s="111" t="str">
        <x:v>Outage timeline</x:v>
      </x:c>
      <x:c r="L187" s="111" t="str">
        <x:v>SRC-CAR-001, SRC-CAR-002, SRC-CAR-003, SRC-CAR-004, SRC-CAR-005, SRC-CAR-006, SRC-POST-003, SRC-AIR-009, SRC-AIR-010</x:v>
      </x:c>
      <x:c r="M187" s="111" t="str">
        <x:v>T-INT-022</x:v>
      </x:c>
    </x:row>
    <x:row r="188" ht="66" customHeight="1">
      <x:c r="A188" s="110" t="str">
        <x:v>SEC-001</x:v>
      </x:c>
      <x:c r="B188" s="110" t="str">
        <x:v>Privacy, residency &amp; security</x:v>
      </x:c>
      <x:c r="C188" s="110" t="str">
        <x:v>Tenant-selected hosting region</x:v>
      </x:c>
      <x:c r="D188" s="110" t="str">
        <x:v>MUST</x:v>
      </x:c>
      <x:c r="E188" s="110" t="str">
        <x:v>Each tenant SHALL select an approved primary hosting region before production. Tenant transactional data, documents, search indexes, backups, logs and keys SHALL follow the selected residency policy except documented legal/operational transfers.</x:v>
      </x:c>
      <x:c r="F188" s="110" t="str">
        <x:v>Tenant onboarding/change</x:v>
      </x:c>
      <x:c r="G188" s="110" t="str">
        <x:v>Region, data categories, legal nexuses</x:v>
      </x:c>
      <x:c r="H188" s="110" t="str">
        <x:v>Approved deployment policy</x:v>
      </x:c>
      <x:c r="I188" s="110" t="str">
        <x:v>Privacy/security</x:v>
      </x:c>
      <x:c r="J188" s="110" t="str">
        <x:v>No production use</x:v>
      </x:c>
      <x:c r="K188" s="110" t="str">
        <x:v>Residency configuration</x:v>
      </x:c>
      <x:c r="L188" s="110" t="str">
        <x:v>SRC-PRV-001, SRC-PRV-002, SRC-PRV-003, SRC-PRV-004</x:v>
      </x:c>
      <x:c r="M188" s="110" t="str">
        <x:v>T-SEC-001</x:v>
      </x:c>
    </x:row>
    <x:row r="189" ht="66" customHeight="1">
      <x:c r="A189" s="111" t="str">
        <x:v>SEC-002</x:v>
      </x:c>
      <x:c r="B189" s="111" t="str">
        <x:v>Privacy, residency &amp; security</x:v>
      </x:c>
      <x:c r="C189" s="111" t="str">
        <x:v>No absolute residency promise</x:v>
      </x:c>
      <x:c r="D189" s="111" t="str">
        <x:v>MUST</x:v>
      </x:c>
      <x:c r="E189" s="111" t="str">
        <x:v>Contracts/UI SHALL describe exact data categories and unavoidable cross-border disclosures to carriers, postal operators, air partners, authorities, subprocessors and support; selecting a region SHALL not be represented as zero data transfer.</x:v>
      </x:c>
      <x:c r="F189" s="111" t="str">
        <x:v>Contract/onboarding</x:v>
      </x:c>
      <x:c r="G189" s="111" t="str">
        <x:v>Data flow map</x:v>
      </x:c>
      <x:c r="H189" s="111" t="str">
        <x:v>Transparent notice/terms</x:v>
      </x:c>
      <x:c r="I189" s="111" t="str">
        <x:v>Privacy/legal</x:v>
      </x:c>
      <x:c r="J189" s="111" t="str">
        <x:v>Do not activate</x:v>
      </x:c>
      <x:c r="K189" s="111" t="str">
        <x:v>Accepted notice</x:v>
      </x:c>
      <x:c r="L189" s="111" t="str">
        <x:v>SRC-PRV-001, SRC-PRV-002, SRC-PRV-003, SRC-PRV-004</x:v>
      </x:c>
      <x:c r="M189" s="111" t="str">
        <x:v>T-SEC-002</x:v>
      </x:c>
    </x:row>
    <x:row r="190" ht="66" customHeight="1">
      <x:c r="A190" s="110" t="str">
        <x:v>SEC-003</x:v>
      </x:c>
      <x:c r="B190" s="110" t="str">
        <x:v>Privacy, residency &amp; security</x:v>
      </x:c>
      <x:c r="C190" s="110" t="str">
        <x:v>Regional control plane</x:v>
      </x:c>
      <x:c r="D190" s="110" t="str">
        <x:v>MUST</x:v>
      </x:c>
      <x:c r="E190" s="110" t="str">
        <x:v>Global tenant directory and operational control-plane data SHALL be minimized, pseudonymized where feasible and documented separately from regional shipment data.</x:v>
      </x:c>
      <x:c r="F190" s="110" t="str">
        <x:v>Architecture/change</x:v>
      </x:c>
      <x:c r="G190" s="110" t="str">
        <x:v>Data inventory and purpose</x:v>
      </x:c>
      <x:c r="H190" s="110" t="str">
        <x:v>Allowed control-plane fields</x:v>
      </x:c>
      <x:c r="I190" s="110" t="str">
        <x:v>Privacy architecture</x:v>
      </x:c>
      <x:c r="J190" s="110" t="str">
        <x:v>Reject excess</x:v>
      </x:c>
      <x:c r="K190" s="110" t="str">
        <x:v>Data-flow record</x:v>
      </x:c>
      <x:c r="L190" s="110" t="str">
        <x:v>SRC-PRV-001, SRC-PRV-002, SRC-PRV-003, SRC-PRV-004</x:v>
      </x:c>
      <x:c r="M190" s="110" t="str">
        <x:v>T-SEC-003</x:v>
      </x:c>
    </x:row>
    <x:row r="191" ht="66" customHeight="1">
      <x:c r="A191" s="111" t="str">
        <x:v>SEC-004</x:v>
      </x:c>
      <x:c r="B191" s="111" t="str">
        <x:v>Privacy, residency &amp; security</x:v>
      </x:c>
      <x:c r="C191" s="111" t="str">
        <x:v>Transfer mechanism</x:v>
      </x:c>
      <x:c r="D191" s="111" t="str">
        <x:v>MUST</x:v>
      </x:c>
      <x:c r="E191" s="111" t="str">
        <x:v>Cross-border transfers SHALL resolve a lawful mechanism or permitted exception per exporter/importer jurisdictions, including adequacy, contractual clauses, certification, assessment and supplementary measures where applicable.</x:v>
      </x:c>
      <x:c r="F191" s="111" t="str">
        <x:v>Data-flow onboarding/change</x:v>
      </x:c>
      <x:c r="G191" s="111" t="str">
        <x:v>Countries, parties, data, mechanism</x:v>
      </x:c>
      <x:c r="H191" s="111" t="str">
        <x:v>Approved/blocked transfer</x:v>
      </x:c>
      <x:c r="I191" s="111" t="str">
        <x:v>Privacy/legal</x:v>
      </x:c>
      <x:c r="J191" s="111" t="str">
        <x:v>Block integration/flow</x:v>
      </x:c>
      <x:c r="K191" s="111" t="str">
        <x:v>Transfer assessment</x:v>
      </x:c>
      <x:c r="L191" s="111" t="str">
        <x:v>SRC-PRV-001, SRC-PRV-002, SRC-PRV-003, SRC-PRV-004</x:v>
      </x:c>
      <x:c r="M191" s="111" t="str">
        <x:v>T-SEC-004</x:v>
      </x:c>
    </x:row>
    <x:row r="192" ht="66" customHeight="1">
      <x:c r="A192" s="110" t="str">
        <x:v>SEC-005</x:v>
      </x:c>
      <x:c r="B192" s="110" t="str">
        <x:v>Privacy, residency &amp; security</x:v>
      </x:c>
      <x:c r="C192" s="110" t="str">
        <x:v>Data processing roles</x:v>
      </x:c>
      <x:c r="D192" s="110" t="str">
        <x:v>MUST</x:v>
      </x:c>
      <x:c r="E192" s="110" t="str">
        <x:v>For every processing purpose and integration, controller, joint controller, processor, subprocessor or independent-controller roles SHALL be documented; tenant instructions cannot authorize unlawful processing.</x:v>
      </x:c>
      <x:c r="F192" s="110" t="str">
        <x:v>Contract/data-flow change</x:v>
      </x:c>
      <x:c r="G192" s="110" t="str">
        <x:v>Purpose, parties, law</x:v>
      </x:c>
      <x:c r="H192" s="110" t="str">
        <x:v>Role matrix</x:v>
      </x:c>
      <x:c r="I192" s="110" t="str">
        <x:v>Privacy/legal</x:v>
      </x:c>
      <x:c r="J192" s="110" t="str">
        <x:v>Block</x:v>
      </x:c>
      <x:c r="K192" s="110" t="str">
        <x:v>Record of processing</x:v>
      </x:c>
      <x:c r="L192" s="110" t="str">
        <x:v>SRC-PRV-001, SRC-PRV-002, SRC-PRV-003, SRC-PRV-004</x:v>
      </x:c>
      <x:c r="M192" s="110" t="str">
        <x:v>T-SEC-005</x:v>
      </x:c>
    </x:row>
    <x:row r="193" ht="66" customHeight="1">
      <x:c r="A193" s="111" t="str">
        <x:v>SEC-006</x:v>
      </x:c>
      <x:c r="B193" s="111" t="str">
        <x:v>Privacy, residency &amp; security</x:v>
      </x:c>
      <x:c r="C193" s="111" t="str">
        <x:v>Purpose limitation</x:v>
      </x:c>
      <x:c r="D193" s="111" t="str">
        <x:v>MUST</x:v>
      </x:c>
      <x:c r="E193" s="111" t="str">
        <x:v>Personal data SHALL be collected and used only for documented order, delivery, customs, security, compliance, support, billing and legal purposes; secondary analytics/AI use requires a compatible basis and tenant controls.</x:v>
      </x:c>
      <x:c r="F193" s="111" t="str">
        <x:v>Collection/use</x:v>
      </x:c>
      <x:c r="G193" s="111" t="str">
        <x:v>Field and purpose</x:v>
      </x:c>
      <x:c r="H193" s="111" t="str">
        <x:v>Allowed/denied use</x:v>
      </x:c>
      <x:c r="I193" s="111" t="str">
        <x:v>Privacy</x:v>
      </x:c>
      <x:c r="J193" s="111" t="str">
        <x:v>Deny</x:v>
      </x:c>
      <x:c r="K193" s="111" t="str">
        <x:v>Purpose trace</x:v>
      </x:c>
      <x:c r="L193" s="111" t="str">
        <x:v>SRC-PRV-001, SRC-PRV-002, SRC-PRV-003, SRC-PRV-004</x:v>
      </x:c>
      <x:c r="M193" s="111" t="str">
        <x:v>T-SEC-006</x:v>
      </x:c>
    </x:row>
    <x:row r="194" ht="66" customHeight="1">
      <x:c r="A194" s="110" t="str">
        <x:v>SEC-007</x:v>
      </x:c>
      <x:c r="B194" s="110" t="str">
        <x:v>Privacy, residency &amp; security</x:v>
      </x:c>
      <x:c r="C194" s="110" t="str">
        <x:v>Rights workflow</x:v>
      </x:c>
      <x:c r="D194" s="110" t="str">
        <x:v>MUST</x:v>
      </x:c>
      <x:c r="E194" s="110" t="str">
        <x:v>The platform SHALL support access, correction, deletion, restriction, objection, portability and consent withdrawal as applicable while preserving legal holds and regulatory records; identity verification is required.</x:v>
      </x:c>
      <x:c r="F194" s="110" t="str">
        <x:v>Rights request</x:v>
      </x:c>
      <x:c r="G194" s="110" t="str">
        <x:v>Requester, jurisdictions, data locations</x:v>
      </x:c>
      <x:c r="H194" s="110" t="str">
        <x:v>Completed/limited response</x:v>
      </x:c>
      <x:c r="I194" s="110" t="str">
        <x:v>Privacy operations</x:v>
      </x:c>
      <x:c r="J194" s="110" t="str">
        <x:v>Escalate overdue</x:v>
      </x:c>
      <x:c r="K194" s="110" t="str">
        <x:v>Case log</x:v>
      </x:c>
      <x:c r="L194" s="110" t="str">
        <x:v>SRC-PRV-001, SRC-PRV-002, SRC-PRV-003, SRC-PRV-004</x:v>
      </x:c>
      <x:c r="M194" s="110" t="str">
        <x:v>T-SEC-007</x:v>
      </x:c>
    </x:row>
    <x:row r="195" ht="66" customHeight="1">
      <x:c r="A195" s="111" t="str">
        <x:v>SEC-008</x:v>
      </x:c>
      <x:c r="B195" s="111" t="str">
        <x:v>Privacy, residency &amp; security</x:v>
      </x:c>
      <x:c r="C195" s="111" t="str">
        <x:v>Retention by record class</x:v>
      </x:c>
      <x:c r="D195" s="111" t="str">
        <x:v>MUST</x:v>
      </x:c>
      <x:c r="E195" s="111" t="str">
        <x:v>Retention SHALL be computed from customs, tax, DG, aviation, sanctions, contract, claims and privacy rules per country pack and tenant policy; legal holds override deletion with scope and expiry review.</x:v>
      </x:c>
      <x:c r="F195" s="111" t="str">
        <x:v>Record creation/change</x:v>
      </x:c>
      <x:c r="G195" s="111" t="str">
        <x:v>Record class, jurisdictions, holds</x:v>
      </x:c>
      <x:c r="H195" s="111" t="str">
        <x:v>Retention/destruction date</x:v>
      </x:c>
      <x:c r="I195" s="111" t="str">
        <x:v>Records governance</x:v>
      </x:c>
      <x:c r="J195" s="111" t="str">
        <x:v>No deletion if unknown/held</x:v>
      </x:c>
      <x:c r="K195" s="111" t="str">
        <x:v>Schedule/version</x:v>
      </x:c>
      <x:c r="L195" s="111" t="str">
        <x:v>SRC-PRV-001, SRC-PRV-002, SRC-PRV-003, SRC-PRV-004</x:v>
      </x:c>
      <x:c r="M195" s="111" t="str">
        <x:v>T-SEC-008</x:v>
      </x:c>
    </x:row>
    <x:row r="196" ht="66" customHeight="1">
      <x:c r="A196" s="110" t="str">
        <x:v>SEC-009</x:v>
      </x:c>
      <x:c r="B196" s="110" t="str">
        <x:v>Privacy, residency &amp; security</x:v>
      </x:c>
      <x:c r="C196" s="110" t="str">
        <x:v>Secure deletion</x:v>
      </x:c>
      <x:c r="D196" s="110" t="str">
        <x:v>MUST</x:v>
      </x:c>
      <x:c r="E196" s="110" t="str">
        <x:v>At retention expiry, active copies, search indexes and derived stores SHALL be deleted or irreversibly anonymized; backup expiry shall be documented and deletion evidence retained.</x:v>
      </x:c>
      <x:c r="F196" s="110" t="str">
        <x:v>Scheduled deletion</x:v>
      </x:c>
      <x:c r="G196" s="110" t="str">
        <x:v>Record and backup policies</x:v>
      </x:c>
      <x:c r="H196" s="110" t="str">
        <x:v>Deleted/anonymized</x:v>
      </x:c>
      <x:c r="I196" s="110" t="str">
        <x:v>Automated</x:v>
      </x:c>
      <x:c r="J196" s="110" t="str">
        <x:v>Retry/escalate</x:v>
      </x:c>
      <x:c r="K196" s="110" t="str">
        <x:v>Deletion certificate</x:v>
      </x:c>
      <x:c r="L196" s="110" t="str">
        <x:v>SRC-PRV-001, SRC-PRV-002, SRC-PRV-003, SRC-PRV-004</x:v>
      </x:c>
      <x:c r="M196" s="110" t="str">
        <x:v>T-SEC-009</x:v>
      </x:c>
    </x:row>
    <x:row r="197" ht="66" customHeight="1">
      <x:c r="A197" s="111" t="str">
        <x:v>SEC-010</x:v>
      </x:c>
      <x:c r="B197" s="111" t="str">
        <x:v>Privacy, residency &amp; security</x:v>
      </x:c>
      <x:c r="C197" s="111" t="str">
        <x:v>Encryption and key locality</x:v>
      </x:c>
      <x:c r="D197" s="111" t="str">
        <x:v>MUST</x:v>
      </x:c>
      <x:c r="E197" s="111" t="str">
        <x:v>Sensitive data SHALL use encryption in transit and at rest with managed keys, separation of duties, rotation, revocation and regional key placement where required.</x:v>
      </x:c>
      <x:c r="F197" s="111" t="str">
        <x:v>Storage/transfer</x:v>
      </x:c>
      <x:c r="G197" s="111" t="str">
        <x:v>Data class and region</x:v>
      </x:c>
      <x:c r="H197" s="111" t="str">
        <x:v>Encrypted/blocked</x:v>
      </x:c>
      <x:c r="I197" s="111" t="str">
        <x:v>Security</x:v>
      </x:c>
      <x:c r="J197" s="111" t="str">
        <x:v>Block sensitive operation</x:v>
      </x:c>
      <x:c r="K197" s="111" t="str">
        <x:v>Key/access audit</x:v>
      </x:c>
      <x:c r="L197" s="111" t="str">
        <x:v>SRC-PRV-001, SRC-PRV-002, SRC-PRV-003, SRC-PRV-004</x:v>
      </x:c>
      <x:c r="M197" s="111" t="str">
        <x:v>T-SEC-010</x:v>
      </x:c>
    </x:row>
    <x:row r="198" ht="66" customHeight="1">
      <x:c r="A198" s="110" t="str">
        <x:v>SEC-011</x:v>
      </x:c>
      <x:c r="B198" s="110" t="str">
        <x:v>Privacy, residency &amp; security</x:v>
      </x:c>
      <x:c r="C198" s="110" t="str">
        <x:v>Sensitive identifiers</x:v>
      </x:c>
      <x:c r="D198" s="110" t="str">
        <x:v>MUST</x:v>
      </x:c>
      <x:c r="E198" s="110" t="str">
        <x:v>Passport, national ID, tax ID, date of birth, signatures and screening evidence SHALL have field-level masking/tokenization, restricted roles, controlled exports and enhanced audit.</x:v>
      </x:c>
      <x:c r="F198" s="110" t="str">
        <x:v>Data use</x:v>
      </x:c>
      <x:c r="G198" s="110" t="str">
        <x:v>Field class and purpose</x:v>
      </x:c>
      <x:c r="H198" s="110" t="str">
        <x:v>Redacted/full access</x:v>
      </x:c>
      <x:c r="I198" s="110" t="str">
        <x:v>Automated</x:v>
      </x:c>
      <x:c r="J198" s="110" t="str">
        <x:v>Deny</x:v>
      </x:c>
      <x:c r="K198" s="110" t="str">
        <x:v>Access event</x:v>
      </x:c>
      <x:c r="L198" s="110" t="str">
        <x:v>SRC-PRV-001, SRC-PRV-002, SRC-PRV-003, SRC-PRV-004</x:v>
      </x:c>
      <x:c r="M198" s="110" t="str">
        <x:v>T-SEC-011</x:v>
      </x:c>
    </x:row>
    <x:row r="199" ht="66" customHeight="1">
      <x:c r="A199" s="111" t="str">
        <x:v>SEC-012</x:v>
      </x:c>
      <x:c r="B199" s="111" t="str">
        <x:v>Privacy, residency &amp; security</x:v>
      </x:c>
      <x:c r="C199" s="111" t="str">
        <x:v>Secure upload/content processing</x:v>
      </x:c>
      <x:c r="D199" s="111" t="str">
        <x:v>MUST</x:v>
      </x:c>
      <x:c r="E199" s="111" t="str">
        <x:v>Uploaded invoices, permits, SDS and IDs SHALL be malware scanned, type/size checked, encrypted, tenant-scoped and protected against prompt/document injection before extraction or human display.</x:v>
      </x:c>
      <x:c r="F199" s="111" t="str">
        <x:v>File upload</x:v>
      </x:c>
      <x:c r="G199" s="111" t="str">
        <x:v>File and tenant</x:v>
      </x:c>
      <x:c r="H199" s="111" t="str">
        <x:v>Accepted/quarantined</x:v>
      </x:c>
      <x:c r="I199" s="111" t="str">
        <x:v>Automated</x:v>
      </x:c>
      <x:c r="J199" s="111" t="str">
        <x:v>Quarantine</x:v>
      </x:c>
      <x:c r="K199" s="111" t="str">
        <x:v>Scan/extraction log</x:v>
      </x:c>
      <x:c r="L199" s="111" t="str">
        <x:v>SRC-PRV-001, SRC-PRV-002, SRC-PRV-003, SRC-PRV-004</x:v>
      </x:c>
      <x:c r="M199" s="111" t="str">
        <x:v>T-SEC-012</x:v>
      </x:c>
    </x:row>
    <x:row r="200" ht="66" customHeight="1">
      <x:c r="A200" s="110" t="str">
        <x:v>SEC-013</x:v>
      </x:c>
      <x:c r="B200" s="110" t="str">
        <x:v>Privacy, residency &amp; security</x:v>
      </x:c>
      <x:c r="C200" s="110" t="str">
        <x:v>Breach response</x:v>
      </x:c>
      <x:c r="D200" s="110" t="str">
        <x:v>MUST</x:v>
      </x:c>
      <x:c r="E200" s="110" t="str">
        <x:v>Security incidents SHALL support detection, containment, tenant/subprocessor assessment, affected-person/data mapping, jurisdiction-specific notification deadlines, evidence and post-incident actions.</x:v>
      </x:c>
      <x:c r="F200" s="110" t="str">
        <x:v>Incident</x:v>
      </x:c>
      <x:c r="G200" s="110" t="str">
        <x:v>Systems/data/jurisdictions</x:v>
      </x:c>
      <x:c r="H200" s="110" t="str">
        <x:v>Incident workflow</x:v>
      </x:c>
      <x:c r="I200" s="110" t="str">
        <x:v>Security/privacy/legal</x:v>
      </x:c>
      <x:c r="J200" s="110" t="str">
        <x:v>Escalate immediately</x:v>
      </x:c>
      <x:c r="K200" s="110" t="str">
        <x:v>Incident dossier</x:v>
      </x:c>
      <x:c r="L200" s="110" t="str">
        <x:v>SRC-PRV-001, SRC-PRV-002, SRC-PRV-003, SRC-PRV-004</x:v>
      </x:c>
      <x:c r="M200" s="110" t="str">
        <x:v>T-SEC-013</x:v>
      </x:c>
    </x:row>
    <x:row r="201" ht="66" customHeight="1">
      <x:c r="A201" s="111" t="str">
        <x:v>SEC-014</x:v>
      </x:c>
      <x:c r="B201" s="111" t="str">
        <x:v>Privacy, residency &amp; security</x:v>
      </x:c>
      <x:c r="C201" s="111" t="str">
        <x:v>Audit-log protection</x:v>
      </x:c>
      <x:c r="D201" s="111" t="str">
        <x:v>MUST</x:v>
      </x:c>
      <x:c r="E201" s="111" t="str">
        <x:v>Security and compliance audit logs SHALL be append-only/tamper-evident, time-synchronized, access-restricted, regionally handled and monitored for gaps or alteration.</x:v>
      </x:c>
      <x:c r="F201" s="111" t="str">
        <x:v>Every auditable event</x:v>
      </x:c>
      <x:c r="G201" s="111" t="str">
        <x:v>Actor/resource/result/time</x:v>
      </x:c>
      <x:c r="H201" s="111" t="str">
        <x:v>Durable audit entry</x:v>
      </x:c>
      <x:c r="I201" s="111" t="str">
        <x:v>Automated</x:v>
      </x:c>
      <x:c r="J201" s="111" t="str">
        <x:v>Block high-risk transaction if audit unavailable</x:v>
      </x:c>
      <x:c r="K201" s="111" t="str">
        <x:v>Hash chain/monitor</x:v>
      </x:c>
      <x:c r="L201" s="111" t="str">
        <x:v>SRC-PRV-001, SRC-PRV-002, SRC-PRV-003, SRC-PRV-004</x:v>
      </x:c>
      <x:c r="M201" s="111" t="str">
        <x:v>T-SEC-014</x:v>
      </x:c>
    </x:row>
    <x:row r="202" ht="66" customHeight="1">
      <x:c r="A202" s="110" t="str">
        <x:v>SEC-015</x:v>
      </x:c>
      <x:c r="B202" s="110" t="str">
        <x:v>Privacy, residency &amp; security</x:v>
      </x:c>
      <x:c r="C202" s="110" t="str">
        <x:v>Support access</x:v>
      </x:c>
      <x:c r="D202" s="110" t="str">
        <x:v>MUST</x:v>
      </x:c>
      <x:c r="E202" s="110" t="str">
        <x:v>Production support access SHALL require just-in-time approval, strong authentication, tenant/scope/reason, session recording where lawful, regional restrictions and automatic expiry.</x:v>
      </x:c>
      <x:c r="F202" s="110" t="str">
        <x:v>Support request</x:v>
      </x:c>
      <x:c r="G202" s="110" t="str">
        <x:v>Ticket, approver, target</x:v>
      </x:c>
      <x:c r="H202" s="110" t="str">
        <x:v>Time-bound session</x:v>
      </x:c>
      <x:c r="I202" s="110" t="str">
        <x:v>Authorized approver</x:v>
      </x:c>
      <x:c r="J202" s="110" t="str">
        <x:v>Deny</x:v>
      </x:c>
      <x:c r="K202" s="110" t="str">
        <x:v>Session audit</x:v>
      </x:c>
      <x:c r="L202" s="110" t="str">
        <x:v>SRC-PRV-001, SRC-PRV-002, SRC-PRV-003, SRC-PRV-004</x:v>
      </x:c>
      <x:c r="M202" s="110" t="str">
        <x:v>T-SEC-015</x:v>
      </x:c>
    </x:row>
    <x:row r="203" ht="66" customHeight="1">
      <x:c r="A203" s="111" t="str">
        <x:v>SEC-016</x:v>
      </x:c>
      <x:c r="B203" s="111" t="str">
        <x:v>Privacy, residency &amp; security</x:v>
      </x:c>
      <x:c r="C203" s="111" t="str">
        <x:v>Secure development</x:v>
      </x:c>
      <x:c r="D203" s="111" t="str">
        <x:v>MUST</x:v>
      </x:c>
      <x:c r="E203" s="111" t="str">
        <x:v>Threat modeling, code review, dependency/SBOM management, SAST/DAST, secret scanning, penetration tests and remediation SLAs SHALL be release gates for compliance-critical services and adapters.</x:v>
      </x:c>
      <x:c r="F203" s="111" t="str">
        <x:v>Build/release</x:v>
      </x:c>
      <x:c r="G203" s="111" t="str">
        <x:v>Code/artifacts/test results</x:v>
      </x:c>
      <x:c r="H203" s="111" t="str">
        <x:v>Release allowed/blocked</x:v>
      </x:c>
      <x:c r="I203" s="111" t="str">
        <x:v>Security engineering</x:v>
      </x:c>
      <x:c r="J203" s="111" t="str">
        <x:v>Block release</x:v>
      </x:c>
      <x:c r="K203" s="111" t="str">
        <x:v>CI/security evidence</x:v>
      </x:c>
      <x:c r="L203" s="111" t="str">
        <x:v>SRC-PRV-001, SRC-PRV-002, SRC-PRV-003, SRC-PRV-004</x:v>
      </x:c>
      <x:c r="M203" s="111" t="str">
        <x:v>T-SEC-016</x:v>
      </x:c>
    </x:row>
    <x:row r="204" ht="66" customHeight="1">
      <x:c r="A204" s="110" t="str">
        <x:v>SEC-017</x:v>
      </x:c>
      <x:c r="B204" s="110" t="str">
        <x:v>Privacy, residency &amp; security</x:v>
      </x:c>
      <x:c r="C204" s="110" t="str">
        <x:v>Availability and recovery</x:v>
      </x:c>
      <x:c r="D204" s="110" t="str">
        <x:v>MUST</x:v>
      </x:c>
      <x:c r="E204" s="110" t="str">
        <x:v>Each region SHALL have documented RTO/RPO, backup/restore tests and legal review of disaster-recovery replication; failover may not silently violate residency or use stale rules.</x:v>
      </x:c>
      <x:c r="F204" s="110" t="str">
        <x:v>DR design/test/event</x:v>
      </x:c>
      <x:c r="G204" s="110" t="str">
        <x:v>Tenant region, replicas, data/rules</x:v>
      </x:c>
      <x:c r="H204" s="110" t="str">
        <x:v>Approved failover</x:v>
      </x:c>
      <x:c r="I204" s="110" t="str">
        <x:v>Security/privacy/operations</x:v>
      </x:c>
      <x:c r="J204" s="110" t="str">
        <x:v>Degraded/blocked</x:v>
      </x:c>
      <x:c r="K204" s="110" t="str">
        <x:v>DR test</x:v>
      </x:c>
      <x:c r="L204" s="110" t="str">
        <x:v>SRC-PRV-001, SRC-PRV-002, SRC-PRV-003, SRC-PRV-004</x:v>
      </x:c>
      <x:c r="M204" s="110" t="str">
        <x:v>T-SEC-017</x:v>
      </x:c>
    </x:row>
    <x:row r="205" ht="66" customHeight="1">
      <x:c r="A205" s="111" t="str">
        <x:v>SEC-018</x:v>
      </x:c>
      <x:c r="B205" s="111" t="str">
        <x:v>Privacy, residency &amp; security</x:v>
      </x:c>
      <x:c r="C205" s="111" t="str">
        <x:v>Regional subprocessor inventory</x:v>
      </x:c>
      <x:c r="D205" s="111" t="str">
        <x:v>MUST</x:v>
      </x:c>
      <x:c r="E205" s="111" t="str">
        <x:v>Subprocessors, service locations, data categories, purposes, transfer mechanisms and change notices SHALL be maintained per tenant region and contract.</x:v>
      </x:c>
      <x:c r="F205" s="111" t="str">
        <x:v>Vendor/change</x:v>
      </x:c>
      <x:c r="G205" s="111" t="str">
        <x:v>Vendor data flow</x:v>
      </x:c>
      <x:c r="H205" s="111" t="str">
        <x:v>Approved inventory</x:v>
      </x:c>
      <x:c r="I205" s="111" t="str">
        <x:v>Vendor/privacy</x:v>
      </x:c>
      <x:c r="J205" s="111" t="str">
        <x:v>Block vendor use</x:v>
      </x:c>
      <x:c r="K205" s="111" t="str">
        <x:v>Assessment/contracts</x:v>
      </x:c>
      <x:c r="L205" s="111" t="str">
        <x:v>SRC-PRV-001, SRC-PRV-002, SRC-PRV-003, SRC-PRV-004</x:v>
      </x:c>
      <x:c r="M205" s="111" t="str">
        <x:v>T-SEC-018</x:v>
      </x:c>
    </x:row>
    <x:row r="206" ht="66" customHeight="1">
      <x:c r="A206" s="110" t="str">
        <x:v>PLT-001</x:v>
      </x:c>
      <x:c r="B206" s="110" t="str">
        <x:v>Platform, audit &amp; assurance</x:v>
      </x:c>
      <x:c r="C206" s="110" t="str">
        <x:v>Canonical shipment version</x:v>
      </x:c>
      <x:c r="D206" s="110" t="str">
        <x:v>MUST</x:v>
      </x:c>
      <x:c r="E206" s="110" t="str">
        <x:v>Every mutation SHALL create a version or immutable event sufficient to establish the exact data used for quote, approval, label, document, filing, manifest and handover.</x:v>
      </x:c>
      <x:c r="F206" s="110" t="str">
        <x:v>Shipment update</x:v>
      </x:c>
      <x:c r="G206" s="110" t="str">
        <x:v>Prior/new payload</x:v>
      </x:c>
      <x:c r="H206" s="110" t="str">
        <x:v>Versioned shipment</x:v>
      </x:c>
      <x:c r="I206" s="110" t="str">
        <x:v>Automated</x:v>
      </x:c>
      <x:c r="J206" s="110" t="str">
        <x:v>Reject mutation if versioning fails</x:v>
      </x:c>
      <x:c r="K206" s="110" t="str">
        <x:v>Version/event</x:v>
      </x:c>
      <x:c r="L206" s="110" t="str">
        <x:v>SRC-CUS-001, SRC-DAT-004, SRC-PRV-002</x:v>
      </x:c>
      <x:c r="M206" s="110" t="str">
        <x:v>T-PLT-001</x:v>
      </x:c>
    </x:row>
    <x:row r="207" ht="66" customHeight="1">
      <x:c r="A207" s="111" t="str">
        <x:v>PLT-002</x:v>
      </x:c>
      <x:c r="B207" s="111" t="str">
        <x:v>Platform, audit &amp; assurance</x:v>
      </x:c>
      <x:c r="C207" s="111" t="str">
        <x:v>State machine</x:v>
      </x:c>
      <x:c r="D207" s="111" t="str">
        <x:v>MUST</x:v>
      </x:c>
      <x:c r="E207" s="111" t="str">
        <x:v>Shipment, package, declaration, screening, approval, booking, manifest and custody states SHALL have permitted transitions, guards and compensating actions; free-form status edits are prohibited.</x:v>
      </x:c>
      <x:c r="F207" s="111" t="str">
        <x:v>State change</x:v>
      </x:c>
      <x:c r="G207" s="111" t="str">
        <x:v>Current state, event, actor</x:v>
      </x:c>
      <x:c r="H207" s="111" t="str">
        <x:v>Permitted new state</x:v>
      </x:c>
      <x:c r="I207" s="111" t="str">
        <x:v>Automated</x:v>
      </x:c>
      <x:c r="J207" s="111" t="str">
        <x:v>Reject/alert</x:v>
      </x:c>
      <x:c r="K207" s="111" t="str">
        <x:v>Transition event</x:v>
      </x:c>
      <x:c r="L207" s="111" t="str">
        <x:v>SRC-CUS-001, SRC-DAT-004, SRC-PRV-002</x:v>
      </x:c>
      <x:c r="M207" s="111" t="str">
        <x:v>T-PLT-002</x:v>
      </x:c>
    </x:row>
    <x:row r="208" ht="66" customHeight="1">
      <x:c r="A208" s="110" t="str">
        <x:v>PLT-003</x:v>
      </x:c>
      <x:c r="B208" s="110" t="str">
        <x:v>Platform, audit &amp; assurance</x:v>
      </x:c>
      <x:c r="C208" s="110" t="str">
        <x:v>Event integrity</x:v>
      </x:c>
      <x:c r="D208" s="110" t="str">
        <x:v>MUST</x:v>
      </x:c>
      <x:c r="E208" s="110" t="str">
        <x:v>Events SHALL have globally unique IDs, tenant, aggregate/version, occurrence/receipt time, actor/source, correlation/causation IDs, schema version and integrity hash.</x:v>
      </x:c>
      <x:c r="F208" s="110" t="str">
        <x:v>Event emission</x:v>
      </x:c>
      <x:c r="G208" s="110" t="str">
        <x:v>Context</x:v>
      </x:c>
      <x:c r="H208" s="110" t="str">
        <x:v>Valid event</x:v>
      </x:c>
      <x:c r="I208" s="110" t="str">
        <x:v>Automated</x:v>
      </x:c>
      <x:c r="J208" s="110" t="str">
        <x:v>Fail transaction or durable outbox</x:v>
      </x:c>
      <x:c r="K208" s="110" t="str">
        <x:v>Event record</x:v>
      </x:c>
      <x:c r="L208" s="110" t="str">
        <x:v>SRC-CUS-001, SRC-DAT-004, SRC-PRV-002</x:v>
      </x:c>
      <x:c r="M208" s="110" t="str">
        <x:v>T-PLT-003</x:v>
      </x:c>
    </x:row>
    <x:row r="209" ht="66" customHeight="1">
      <x:c r="A209" s="111" t="str">
        <x:v>PLT-004</x:v>
      </x:c>
      <x:c r="B209" s="111" t="str">
        <x:v>Platform, audit &amp; assurance</x:v>
      </x:c>
      <x:c r="C209" s="111" t="str">
        <x:v>Transactional outbox</x:v>
      </x:c>
      <x:c r="D209" s="111" t="str">
        <x:v>MUST</x:v>
      </x:c>
      <x:c r="E209" s="111" t="str">
        <x:v>Compliance decisions and externally visible operations SHALL use transactional outbox/inbox or equivalent guarantees so database commit and message publication cannot diverge silently.</x:v>
      </x:c>
      <x:c r="F209" s="111" t="str">
        <x:v>Command/event</x:v>
      </x:c>
      <x:c r="G209" s="111" t="str">
        <x:v>Transaction and message</x:v>
      </x:c>
      <x:c r="H209" s="111" t="str">
        <x:v>Durable eventual delivery</x:v>
      </x:c>
      <x:c r="I209" s="111" t="str">
        <x:v>Automated</x:v>
      </x:c>
      <x:c r="J209" s="111" t="str">
        <x:v>Retry/hold</x:v>
      </x:c>
      <x:c r="K209" s="111" t="str">
        <x:v>Outbox/inbox records</x:v>
      </x:c>
      <x:c r="L209" s="111" t="str">
        <x:v>SRC-CUS-001, SRC-DAT-004, SRC-PRV-002</x:v>
      </x:c>
      <x:c r="M209" s="111" t="str">
        <x:v>T-PLT-004</x:v>
      </x:c>
    </x:row>
    <x:row r="210" ht="66" customHeight="1">
      <x:c r="A210" s="110" t="str">
        <x:v>PLT-005</x:v>
      </x:c>
      <x:c r="B210" s="110" t="str">
        <x:v>Platform, audit &amp; assurance</x:v>
      </x:c>
      <x:c r="C210" s="110" t="str">
        <x:v>Concurrency control</x:v>
      </x:c>
      <x:c r="D210" s="110" t="str">
        <x:v>MUST</x:v>
      </x:c>
      <x:c r="E210" s="110" t="str">
        <x:v>Optimistic locking/idempotency SHALL prevent stale users/jobs from overwriting newer approvals, documents, inventory, licence balances or carrier states.</x:v>
      </x:c>
      <x:c r="F210" s="110" t="str">
        <x:v>Concurrent update</x:v>
      </x:c>
      <x:c r="G210" s="110" t="str">
        <x:v>Expected version</x:v>
      </x:c>
      <x:c r="H210" s="110" t="str">
        <x:v>Accepted/conflict</x:v>
      </x:c>
      <x:c r="I210" s="110" t="str">
        <x:v>Automated</x:v>
      </x:c>
      <x:c r="J210" s="110" t="str">
        <x:v>Reject conflict</x:v>
      </x:c>
      <x:c r="K210" s="110" t="str">
        <x:v>Conflict event</x:v>
      </x:c>
      <x:c r="L210" s="110" t="str">
        <x:v>SRC-CUS-001, SRC-DAT-004, SRC-PRV-002</x:v>
      </x:c>
      <x:c r="M210" s="110" t="str">
        <x:v>T-PLT-005</x:v>
      </x:c>
    </x:row>
    <x:row r="211" ht="66" customHeight="1">
      <x:c r="A211" s="111" t="str">
        <x:v>PLT-006</x:v>
      </x:c>
      <x:c r="B211" s="111" t="str">
        <x:v>Platform, audit &amp; assurance</x:v>
      </x:c>
      <x:c r="C211" s="111" t="str">
        <x:v>API authorization</x:v>
      </x:c>
      <x:c r="D211" s="111" t="str">
        <x:v>MUST</x:v>
      </x:c>
      <x:c r="E211" s="111" t="str">
        <x:v>Every API SHALL enforce tenant, actor/service identity, purpose/role, object ownership, field-level policy and rate limits; IDs alone never authorize access.</x:v>
      </x:c>
      <x:c r="F211" s="111" t="str">
        <x:v>API call</x:v>
      </x:c>
      <x:c r="G211" s="111" t="str">
        <x:v>Token/context/resource</x:v>
      </x:c>
      <x:c r="H211" s="111" t="str">
        <x:v>Permit/deny</x:v>
      </x:c>
      <x:c r="I211" s="111" t="str">
        <x:v>Automated</x:v>
      </x:c>
      <x:c r="J211" s="111" t="str">
        <x:v>Deny</x:v>
      </x:c>
      <x:c r="K211" s="111" t="str">
        <x:v>Access log</x:v>
      </x:c>
      <x:c r="L211" s="111" t="str">
        <x:v>SRC-CUS-001, SRC-DAT-004, SRC-PRV-002</x:v>
      </x:c>
      <x:c r="M211" s="111" t="str">
        <x:v>T-PLT-006</x:v>
      </x:c>
    </x:row>
    <x:row r="212" ht="66" customHeight="1">
      <x:c r="A212" s="110" t="str">
        <x:v>PLT-007</x:v>
      </x:c>
      <x:c r="B212" s="110" t="str">
        <x:v>Platform, audit &amp; assurance</x:v>
      </x:c>
      <x:c r="C212" s="110" t="str">
        <x:v>API schema compatibility</x:v>
      </x:c>
      <x:c r="D212" s="110" t="str">
        <x:v>MUST</x:v>
      </x:c>
      <x:c r="E212" s="110" t="str">
        <x:v>Schemas SHALL be versioned with backward-compatibility policy, deprecation notice, consumer inventory and contract tests; compliance fields may not be silently dropped.</x:v>
      </x:c>
      <x:c r="F212" s="110" t="str">
        <x:v>Release</x:v>
      </x:c>
      <x:c r="G212" s="110" t="str">
        <x:v>Schema diff and consumers</x:v>
      </x:c>
      <x:c r="H212" s="110" t="str">
        <x:v>Compatible/migration required</x:v>
      </x:c>
      <x:c r="I212" s="110" t="str">
        <x:v>Architecture</x:v>
      </x:c>
      <x:c r="J212" s="110" t="str">
        <x:v>Block breaking release</x:v>
      </x:c>
      <x:c r="K212" s="110" t="str">
        <x:v>Compatibility report</x:v>
      </x:c>
      <x:c r="L212" s="110" t="str">
        <x:v>SRC-CUS-001, SRC-DAT-004, SRC-PRV-002</x:v>
      </x:c>
      <x:c r="M212" s="110" t="str">
        <x:v>T-PLT-007</x:v>
      </x:c>
    </x:row>
    <x:row r="213" ht="66" customHeight="1">
      <x:c r="A213" s="111" t="str">
        <x:v>PLT-008</x:v>
      </x:c>
      <x:c r="B213" s="111" t="str">
        <x:v>Platform, audit &amp; assurance</x:v>
      </x:c>
      <x:c r="C213" s="111" t="str">
        <x:v>Data quality rules</x:v>
      </x:c>
      <x:c r="D213" s="111" t="str">
        <x:v>MUST</x:v>
      </x:c>
      <x:c r="E213" s="111" t="str">
        <x:v>Mandatory fields, formats, code lists, totals, cross-field rules and plausibility checks SHALL run at entry, import, pre-quote, pre-approval, pre-file, pre-label and pre-handover.</x:v>
      </x:c>
      <x:c r="F213" s="111" t="str">
        <x:v>Lifecycle gates</x:v>
      </x:c>
      <x:c r="G213" s="111" t="str">
        <x:v>Canonical data</x:v>
      </x:c>
      <x:c r="H213" s="111" t="str">
        <x:v>Errors/warnings</x:v>
      </x:c>
      <x:c r="I213" s="111" t="str">
        <x:v>Automated</x:v>
      </x:c>
      <x:c r="J213" s="111" t="str">
        <x:v>Hold on errors</x:v>
      </x:c>
      <x:c r="K213" s="111" t="str">
        <x:v>Validation report</x:v>
      </x:c>
      <x:c r="L213" s="111" t="str">
        <x:v>SRC-CUS-001, SRC-DAT-004, SRC-PRV-002</x:v>
      </x:c>
      <x:c r="M213" s="111" t="str">
        <x:v>T-PLT-008</x:v>
      </x:c>
    </x:row>
    <x:row r="214" ht="66" customHeight="1">
      <x:c r="A214" s="110" t="str">
        <x:v>PLT-009</x:v>
      </x:c>
      <x:c r="B214" s="110" t="str">
        <x:v>Platform, audit &amp; assurance</x:v>
      </x:c>
      <x:c r="C214" s="110" t="str">
        <x:v>Bulk import safety</x:v>
      </x:c>
      <x:c r="D214" s="110" t="str">
        <x:v>MUST</x:v>
      </x:c>
      <x:c r="E214" s="110" t="str">
        <x:v>CSV/API/EDI imports SHALL stage, validate, preview and report row-level errors before commit; partial commits require explicit policy and idempotent correlation.</x:v>
      </x:c>
      <x:c r="F214" s="110" t="str">
        <x:v>Import</x:v>
      </x:c>
      <x:c r="G214" s="110" t="str">
        <x:v>File/payload and tenant mapping</x:v>
      </x:c>
      <x:c r="H214" s="110" t="str">
        <x:v>Committed/rejected rows</x:v>
      </x:c>
      <x:c r="I214" s="110" t="str">
        <x:v>Authorized user</x:v>
      </x:c>
      <x:c r="J214" s="110" t="str">
        <x:v>No shipment release</x:v>
      </x:c>
      <x:c r="K214" s="110" t="str">
        <x:v>Import manifest</x:v>
      </x:c>
      <x:c r="L214" s="110" t="str">
        <x:v>SRC-CUS-001, SRC-DAT-004, SRC-PRV-002</x:v>
      </x:c>
      <x:c r="M214" s="110" t="str">
        <x:v>T-PLT-009</x:v>
      </x:c>
    </x:row>
    <x:row r="215" ht="66" customHeight="1">
      <x:c r="A215" s="111" t="str">
        <x:v>PLT-010</x:v>
      </x:c>
      <x:c r="B215" s="111" t="str">
        <x:v>Platform, audit &amp; assurance</x:v>
      </x:c>
      <x:c r="C215" s="111" t="str">
        <x:v>Observability</x:v>
      </x:c>
      <x:c r="D215" s="111" t="str">
        <x:v>MUST</x:v>
      </x:c>
      <x:c r="E215" s="111" t="str">
        <x:v>Metrics, logs and traces SHALL expose rule/feed health, adapter latency/errors, queue age, stuck states, approval SLA, filing/referral status and release-hold causes without leaking sensitive payloads.</x:v>
      </x:c>
      <x:c r="F215" s="111" t="str">
        <x:v>Runtime</x:v>
      </x:c>
      <x:c r="G215" s="111" t="str">
        <x:v>Service events</x:v>
      </x:c>
      <x:c r="H215" s="111" t="str">
        <x:v>Dashboards/alerts</x:v>
      </x:c>
      <x:c r="I215" s="111" t="str">
        <x:v>Operations</x:v>
      </x:c>
      <x:c r="J215" s="111" t="str">
        <x:v>Escalate</x:v>
      </x:c>
      <x:c r="K215" s="111" t="str">
        <x:v>Telemetry</x:v>
      </x:c>
      <x:c r="L215" s="111" t="str">
        <x:v>SRC-CUS-001, SRC-DAT-004, SRC-PRV-002</x:v>
      </x:c>
      <x:c r="M215" s="111" t="str">
        <x:v>T-PLT-010</x:v>
      </x:c>
    </x:row>
    <x:row r="216" ht="66" customHeight="1">
      <x:c r="A216" s="110" t="str">
        <x:v>PLT-011</x:v>
      </x:c>
      <x:c r="B216" s="110" t="str">
        <x:v>Platform, audit &amp; assurance</x:v>
      </x:c>
      <x:c r="C216" s="110" t="str">
        <x:v>Clock/time zone</x:v>
      </x:c>
      <x:c r="D216" s="110" t="str">
        <x:v>MUST</x:v>
      </x:c>
      <x:c r="E216" s="110" t="str">
        <x:v>All events SHALL store UTC plus source local time/zone where material; legal cut-offs and effective dates SHALL use jurisdiction/provider time zones and daylight-saving rules.</x:v>
      </x:c>
      <x:c r="F216" s="110" t="str">
        <x:v>Time computation</x:v>
      </x:c>
      <x:c r="G216" s="110" t="str">
        <x:v>Zone and local rule</x:v>
      </x:c>
      <x:c r="H216" s="110" t="str">
        <x:v>Unambiguous time</x:v>
      </x:c>
      <x:c r="I216" s="110" t="str">
        <x:v>Automated</x:v>
      </x:c>
      <x:c r="J216" s="110" t="str">
        <x:v>Hold if ambiguous near cutoff</x:v>
      </x:c>
      <x:c r="K216" s="110" t="str">
        <x:v>Time computation</x:v>
      </x:c>
      <x:c r="L216" s="110" t="str">
        <x:v>SRC-CUS-001, SRC-DAT-004, SRC-PRV-002</x:v>
      </x:c>
      <x:c r="M216" s="110" t="str">
        <x:v>T-PLT-011</x:v>
      </x:c>
    </x:row>
    <x:row r="217" ht="66" customHeight="1">
      <x:c r="A217" s="111" t="str">
        <x:v>PLT-012</x:v>
      </x:c>
      <x:c r="B217" s="111" t="str">
        <x:v>Platform, audit &amp; assurance</x:v>
      </x:c>
      <x:c r="C217" s="111" t="str">
        <x:v>High availability</x:v>
      </x:c>
      <x:c r="D217" s="111" t="str">
        <x:v>MUST</x:v>
      </x:c>
      <x:c r="E217" s="111" t="str">
        <x:v>Compliance decision, release gate and custody services SHALL meet defined regional SLOs; degraded modes must remain fail-closed and visible.</x:v>
      </x:c>
      <x:c r="F217" s="111" t="str">
        <x:v>Runtime</x:v>
      </x:c>
      <x:c r="G217" s="111" t="str">
        <x:v>Health/SLO</x:v>
      </x:c>
      <x:c r="H217" s="111" t="str">
        <x:v>Available/degraded</x:v>
      </x:c>
      <x:c r="I217" s="111" t="str">
        <x:v>Operations</x:v>
      </x:c>
      <x:c r="J217" s="111" t="str">
        <x:v>Block high-risk actions</x:v>
      </x:c>
      <x:c r="K217" s="111" t="str">
        <x:v>SLO report</x:v>
      </x:c>
      <x:c r="L217" s="111" t="str">
        <x:v>SRC-CUS-001, SRC-DAT-004, SRC-PRV-002</x:v>
      </x:c>
      <x:c r="M217" s="111" t="str">
        <x:v>T-PLT-012</x:v>
      </x:c>
    </x:row>
    <x:row r="218" ht="66" customHeight="1">
      <x:c r="A218" s="110" t="str">
        <x:v>PLT-013</x:v>
      </x:c>
      <x:c r="B218" s="110" t="str">
        <x:v>Platform, audit &amp; assurance</x:v>
      </x:c>
      <x:c r="C218" s="110" t="str">
        <x:v>Performance</x:v>
      </x:c>
      <x:c r="D218" s="110" t="str">
        <x:v>MUST</x:v>
      </x:c>
      <x:c r="E218" s="110" t="str">
        <x:v>Interactive screening/eligibility targets and batch throughput SHALL be set by volume tier without bypassing checks; queues SHALL preserve priority and tenant fairness.</x:v>
      </x:c>
      <x:c r="F218" s="110" t="str">
        <x:v>Load</x:v>
      </x:c>
      <x:c r="G218" s="110" t="str">
        <x:v>Tenant volume and task risk</x:v>
      </x:c>
      <x:c r="H218" s="110" t="str">
        <x:v>SLO result</x:v>
      </x:c>
      <x:c r="I218" s="110" t="str">
        <x:v>Operations</x:v>
      </x:c>
      <x:c r="J218" s="110" t="str">
        <x:v>Scale/throttle safely</x:v>
      </x:c>
      <x:c r="K218" s="110" t="str">
        <x:v>Performance report</x:v>
      </x:c>
      <x:c r="L218" s="110" t="str">
        <x:v>SRC-CUS-001, SRC-DAT-004, SRC-PRV-002</x:v>
      </x:c>
      <x:c r="M218" s="110" t="str">
        <x:v>T-PLT-013</x:v>
      </x:c>
    </x:row>
    <x:row r="219" ht="66" customHeight="1">
      <x:c r="A219" s="111" t="str">
        <x:v>PLT-014</x:v>
      </x:c>
      <x:c r="B219" s="111" t="str">
        <x:v>Platform, audit &amp; assurance</x:v>
      </x:c>
      <x:c r="C219" s="111" t="str">
        <x:v>Test taxonomy</x:v>
      </x:c>
      <x:c r="D219" s="111" t="str">
        <x:v>MUST</x:v>
      </x:c>
      <x:c r="E219" s="111" t="str">
        <x:v>Every normative requirement SHALL map to unit, schema/contract, rule, integration sandbox, negative, temporal, security and user-acceptance tests as applicable.</x:v>
      </x:c>
      <x:c r="F219" s="111" t="str">
        <x:v>Design/release</x:v>
      </x:c>
      <x:c r="G219" s="111" t="str">
        <x:v>Requirement and implementation</x:v>
      </x:c>
      <x:c r="H219" s="111" t="str">
        <x:v>Coverage status</x:v>
      </x:c>
      <x:c r="I219" s="111" t="str">
        <x:v>QA/compliance</x:v>
      </x:c>
      <x:c r="J219" s="111" t="str">
        <x:v>Block release for MUST gaps</x:v>
      </x:c>
      <x:c r="K219" s="111" t="str">
        <x:v>Traceability matrix</x:v>
      </x:c>
      <x:c r="L219" s="111" t="str">
        <x:v>SRC-CUS-001, SRC-DAT-004, SRC-PRV-002</x:v>
      </x:c>
      <x:c r="M219" s="111" t="str">
        <x:v>T-PLT-014</x:v>
      </x:c>
    </x:row>
    <x:row r="220" ht="66" customHeight="1">
      <x:c r="A220" s="110" t="str">
        <x:v>PLT-015</x:v>
      </x:c>
      <x:c r="B220" s="110" t="str">
        <x:v>Platform, audit &amp; assurance</x:v>
      </x:c>
      <x:c r="C220" s="110" t="str">
        <x:v>Golden lane tests</x:v>
      </x:c>
      <x:c r="D220" s="110" t="str">
        <x:v>MUST</x:v>
      </x:c>
      <x:c r="E220" s="110" t="str">
        <x:v>Country packs SHALL include approved positive and negative scenarios by mode, carrier, flow, commodity and effective date, including boundary values and prohibited combinations.</x:v>
      </x:c>
      <x:c r="F220" s="110" t="str">
        <x:v>Pack release/change</x:v>
      </x:c>
      <x:c r="G220" s="110" t="str">
        <x:v>Rule pack</x:v>
      </x:c>
      <x:c r="H220" s="110" t="str">
        <x:v>Regression result</x:v>
      </x:c>
      <x:c r="I220" s="110" t="str">
        <x:v>Country-pack owner</x:v>
      </x:c>
      <x:c r="J220" s="110" t="str">
        <x:v>Do not publish</x:v>
      </x:c>
      <x:c r="K220" s="110" t="str">
        <x:v>Test pack</x:v>
      </x:c>
      <x:c r="L220" s="110" t="str">
        <x:v>SRC-CUS-001, SRC-DAT-004, SRC-PRV-002</x:v>
      </x:c>
      <x:c r="M220" s="110" t="str">
        <x:v>T-PLT-015</x:v>
      </x:c>
    </x:row>
    <x:row r="221" ht="66" customHeight="1">
      <x:c r="A221" s="111" t="str">
        <x:v>PLT-016</x:v>
      </x:c>
      <x:c r="B221" s="111" t="str">
        <x:v>Platform, audit &amp; assurance</x:v>
      </x:c>
      <x:c r="C221" s="111" t="str">
        <x:v>Temporal regression</x:v>
      </x:c>
      <x:c r="D221" s="111" t="str">
        <x:v>MUST</x:v>
      </x:c>
      <x:c r="E221" s="111" t="str">
        <x:v>Tests SHALL prove current, future and historical rule selection across commencement, transition and repeal times and source time zones.</x:v>
      </x:c>
      <x:c r="F221" s="111" t="str">
        <x:v>Rule change</x:v>
      </x:c>
      <x:c r="G221" s="111" t="str">
        <x:v>Temporal cases</x:v>
      </x:c>
      <x:c r="H221" s="111" t="str">
        <x:v>Pass/fail</x:v>
      </x:c>
      <x:c r="I221" s="111" t="str">
        <x:v>QA</x:v>
      </x:c>
      <x:c r="J221" s="111" t="str">
        <x:v>Do not publish</x:v>
      </x:c>
      <x:c r="K221" s="111" t="str">
        <x:v>Test results</x:v>
      </x:c>
      <x:c r="L221" s="111" t="str">
        <x:v>SRC-CUS-001, SRC-DAT-004, SRC-PRV-002</x:v>
      </x:c>
      <x:c r="M221" s="111" t="str">
        <x:v>T-PLT-016</x:v>
      </x:c>
    </x:row>
    <x:row r="222" ht="66" customHeight="1">
      <x:c r="A222" s="110" t="str">
        <x:v>PLT-017</x:v>
      </x:c>
      <x:c r="B222" s="110" t="str">
        <x:v>Platform, audit &amp; assurance</x:v>
      </x:c>
      <x:c r="C222" s="110" t="str">
        <x:v>Adapter contract tests</x:v>
      </x:c>
      <x:c r="D222" s="110" t="str">
        <x:v>MUST</x:v>
      </x:c>
      <x:c r="E222" s="110" t="str">
        <x:v>Every provider version SHALL be tested for success, validation errors, auth/rate limits, timeout/ambiguity, duplicates, referrals, cancellation, schema additions and webhook replay/order.</x:v>
      </x:c>
      <x:c r="F222" s="110" t="str">
        <x:v>Adapter release</x:v>
      </x:c>
      <x:c r="G222" s="110" t="str">
        <x:v>Sandbox/mock fixtures</x:v>
      </x:c>
      <x:c r="H222" s="110" t="str">
        <x:v>Certified version</x:v>
      </x:c>
      <x:c r="I222" s="110" t="str">
        <x:v>Integration QA</x:v>
      </x:c>
      <x:c r="J222" s="110" t="str">
        <x:v>Do not activate</x:v>
      </x:c>
      <x:c r="K222" s="110" t="str">
        <x:v>Contract suite</x:v>
      </x:c>
      <x:c r="L222" s="110" t="str">
        <x:v>SRC-CUS-001, SRC-DAT-004, SRC-PRV-002</x:v>
      </x:c>
      <x:c r="M222" s="110" t="str">
        <x:v>T-PLT-017</x:v>
      </x:c>
    </x:row>
    <x:row r="223" ht="66" customHeight="1">
      <x:c r="A223" s="111" t="str">
        <x:v>PLT-018</x:v>
      </x:c>
      <x:c r="B223" s="111" t="str">
        <x:v>Platform, audit &amp; assurance</x:v>
      </x:c>
      <x:c r="C223" s="111" t="str">
        <x:v>Production canary</x:v>
      </x:c>
      <x:c r="D223" s="111" t="str">
        <x:v>MUST</x:v>
      </x:c>
      <x:c r="E223" s="111" t="str">
        <x:v>Rule and adapter releases SHALL support scoped canary by tenant/country/service with automated rollback/suspension and no reinterpretation of already released shipments without an explicit incident process.</x:v>
      </x:c>
      <x:c r="F223" s="111" t="str">
        <x:v>Release</x:v>
      </x:c>
      <x:c r="G223" s="111" t="str">
        <x:v>Scope and monitors</x:v>
      </x:c>
      <x:c r="H223" s="111" t="str">
        <x:v>Promoted/rolled back</x:v>
      </x:c>
      <x:c r="I223" s="111" t="str">
        <x:v>Release manager/compliance</x:v>
      </x:c>
      <x:c r="J223" s="111" t="str">
        <x:v>Rollback/hold</x:v>
      </x:c>
      <x:c r="K223" s="111" t="str">
        <x:v>Canary evidence</x:v>
      </x:c>
      <x:c r="L223" s="111" t="str">
        <x:v>SRC-CUS-001, SRC-DAT-004, SRC-PRV-002</x:v>
      </x:c>
      <x:c r="M223" s="111" t="str">
        <x:v>T-PLT-018</x:v>
      </x:c>
    </x:row>
    <x:row r="224" ht="66" customHeight="1">
      <x:c r="A224" s="110" t="str">
        <x:v>PLT-019</x:v>
      </x:c>
      <x:c r="B224" s="110" t="str">
        <x:v>Platform, audit &amp; assurance</x:v>
      </x:c>
      <x:c r="C224" s="110" t="str">
        <x:v>Change impact report</x:v>
      </x:c>
      <x:c r="D224" s="110" t="str">
        <x:v>MUST</x:v>
      </x:c>
      <x:c r="E224" s="110" t="str">
        <x:v>Any source/rule/schema change SHALL identify affected countries, lanes, products, open shipments, documents, customers, tenants, tests and training/SOPs before approval.</x:v>
      </x:c>
      <x:c r="F224" s="110" t="str">
        <x:v>Change</x:v>
      </x:c>
      <x:c r="G224" s="110" t="str">
        <x:v>Dependency graph</x:v>
      </x:c>
      <x:c r="H224" s="110" t="str">
        <x:v>Impact report</x:v>
      </x:c>
      <x:c r="I224" s="110" t="str">
        <x:v>Change owner</x:v>
      </x:c>
      <x:c r="J224" s="110" t="str">
        <x:v>Do not publish</x:v>
      </x:c>
      <x:c r="K224" s="110" t="str">
        <x:v>Report</x:v>
      </x:c>
      <x:c r="L224" s="110" t="str">
        <x:v>SRC-CUS-001, SRC-DAT-004, SRC-PRV-002</x:v>
      </x:c>
      <x:c r="M224" s="110" t="str">
        <x:v>T-PLT-019</x:v>
      </x:c>
    </x:row>
    <x:row r="225" ht="66" customHeight="1">
      <x:c r="A225" s="111" t="str">
        <x:v>PLT-020</x:v>
      </x:c>
      <x:c r="B225" s="111" t="str">
        <x:v>Platform, audit &amp; assurance</x:v>
      </x:c>
      <x:c r="C225" s="111" t="str">
        <x:v>Open shipment reevaluation</x:v>
      </x:c>
      <x:c r="D225" s="111" t="str">
        <x:v>MUST</x:v>
      </x:c>
      <x:c r="E225" s="111" t="str">
        <x:v>Material rule/list/carrier changes SHALL reevaluate open, unhanded shipments and create holds/actions; handed-over shipments enter incident/intercept assessment.</x:v>
      </x:c>
      <x:c r="F225" s="111" t="str">
        <x:v>Change publication</x:v>
      </x:c>
      <x:c r="G225" s="111" t="str">
        <x:v>Affected scope and custody</x:v>
      </x:c>
      <x:c r="H225" s="111" t="str">
        <x:v>Updated actions</x:v>
      </x:c>
      <x:c r="I225" s="111" t="str">
        <x:v>Automated/compliance</x:v>
      </x:c>
      <x:c r="J225" s="111" t="str">
        <x:v>Hold/escalate</x:v>
      </x:c>
      <x:c r="K225" s="111" t="str">
        <x:v>Reevaluation events</x:v>
      </x:c>
      <x:c r="L225" s="111" t="str">
        <x:v>SRC-CUS-001, SRC-DAT-004, SRC-PRV-002</x:v>
      </x:c>
      <x:c r="M225" s="111" t="str">
        <x:v>T-PLT-020</x:v>
      </x:c>
    </x:row>
    <x:row r="226" ht="66" customHeight="1">
      <x:c r="A226" s="110" t="str">
        <x:v>PLT-021</x:v>
      </x:c>
      <x:c r="B226" s="110" t="str">
        <x:v>Platform, audit &amp; assurance</x:v>
      </x:c>
      <x:c r="C226" s="110" t="str">
        <x:v>Evidence export</x:v>
      </x:c>
      <x:c r="D226" s="110" t="str">
        <x:v>MUST</x:v>
      </x:c>
      <x:c r="E226" s="110" t="str">
        <x:v>Authorized users SHALL be able to export a human-readable and machine-readable decision dossier with inputs, rules, sources, approvals, documents, partner responses and custody timeline, with redaction.</x:v>
      </x:c>
      <x:c r="F226" s="110" t="str">
        <x:v>Audit/dispute</x:v>
      </x:c>
      <x:c r="G226" s="110" t="str">
        <x:v>Shipment/version and requester</x:v>
      </x:c>
      <x:c r="H226" s="110" t="str">
        <x:v>Evidence bundle</x:v>
      </x:c>
      <x:c r="I226" s="110" t="str">
        <x:v>Authorized auditor</x:v>
      </x:c>
      <x:c r="J226" s="110" t="str">
        <x:v>Deny unauthorized</x:v>
      </x:c>
      <x:c r="K226" s="110" t="str">
        <x:v>Export event/hash</x:v>
      </x:c>
      <x:c r="L226" s="110" t="str">
        <x:v>SRC-CUS-001, SRC-DAT-004, SRC-PRV-002</x:v>
      </x:c>
      <x:c r="M226" s="110" t="str">
        <x:v>T-PLT-021</x:v>
      </x:c>
    </x:row>
    <x:row r="227" ht="66" customHeight="1">
      <x:c r="A227" s="111" t="str">
        <x:v>PLT-022</x:v>
      </x:c>
      <x:c r="B227" s="111" t="str">
        <x:v>Platform, audit &amp; assurance</x:v>
      </x:c>
      <x:c r="C227" s="111" t="str">
        <x:v>Legal hold</x:v>
      </x:c>
      <x:c r="D227" s="111" t="str">
        <x:v>MUST</x:v>
      </x:c>
      <x:c r="E227" s="111" t="str">
        <x:v>Legal/compliance holds SHALL prevent alteration or deletion of scoped records, preserve chain of custody and be reviewable without exposing unrelated tenant data.</x:v>
      </x:c>
      <x:c r="F227" s="111" t="str">
        <x:v>Hold creation/release</x:v>
      </x:c>
      <x:c r="G227" s="111" t="str">
        <x:v>Scope, authority, dates</x:v>
      </x:c>
      <x:c r="H227" s="111" t="str">
        <x:v>Hold applied/released</x:v>
      </x:c>
      <x:c r="I227" s="111" t="str">
        <x:v>Legal</x:v>
      </x:c>
      <x:c r="J227" s="111" t="str">
        <x:v>Prevent deletion</x:v>
      </x:c>
      <x:c r="K227" s="111" t="str">
        <x:v>Hold log</x:v>
      </x:c>
      <x:c r="L227" s="111" t="str">
        <x:v>SRC-CUS-001, SRC-DAT-004, SRC-PRV-002</x:v>
      </x:c>
      <x:c r="M227" s="111" t="str">
        <x:v>T-PLT-022</x:v>
      </x:c>
    </x:row>
    <x:row r="228" ht="66" customHeight="1">
      <x:c r="A228" s="110" t="str">
        <x:v>PLT-023</x:v>
      </x:c>
      <x:c r="B228" s="110" t="str">
        <x:v>Platform, audit &amp; assurance</x:v>
      </x:c>
      <x:c r="C228" s="110" t="str">
        <x:v>Business continuity manual boundary</x:v>
      </x:c>
      <x:c r="D228" s="110" t="str">
        <x:v>MUST</x:v>
      </x:c>
      <x:c r="E228" s="110" t="str">
        <x:v>Manual continuity procedures MAY capture physical custody and later reconcile, but SHALL not permit regulated release when screening, DG, filing or country-pack decisions are unavailable.</x:v>
      </x:c>
      <x:c r="F228" s="110" t="str">
        <x:v>Outage</x:v>
      </x:c>
      <x:c r="G228" s="110" t="str">
        <x:v>Operation and risk</x:v>
      </x:c>
      <x:c r="H228" s="110" t="str">
        <x:v>Allowed capture/blocked release</x:v>
      </x:c>
      <x:c r="I228" s="110" t="str">
        <x:v>BCP owner</x:v>
      </x:c>
      <x:c r="J228" s="110" t="str">
        <x:v>Hold</x:v>
      </x:c>
      <x:c r="K228" s="110" t="str">
        <x:v>Continuity log</x:v>
      </x:c>
      <x:c r="L228" s="110" t="str">
        <x:v>SRC-CUS-001, SRC-DAT-004, SRC-PRV-002</x:v>
      </x:c>
      <x:c r="M228" s="110" t="str">
        <x:v>T-PLT-023</x:v>
      </x:c>
    </x:row>
    <x:row r="229" ht="66" customHeight="1">
      <x:c r="A229" s="111" t="str">
        <x:v>PLT-024</x:v>
      </x:c>
      <x:c r="B229" s="111" t="str">
        <x:v>Platform, audit &amp; assurance</x:v>
      </x:c>
      <x:c r="C229" s="111" t="str">
        <x:v>Release acceptance</x:v>
      </x:c>
      <x:c r="D229" s="111" t="str">
        <x:v>MUST</x:v>
      </x:c>
      <x:c r="E229" s="111" t="str">
        <x:v>Production launch requires signed product, security, privacy, legal/compliance, operations, carrier integration and tenant-readiness gates plus zero unresolved critical defects.</x:v>
      </x:c>
      <x:c r="F229" s="111" t="str">
        <x:v>Release</x:v>
      </x:c>
      <x:c r="G229" s="111" t="str">
        <x:v>Gate evidence</x:v>
      </x:c>
      <x:c r="H229" s="111" t="str">
        <x:v>Go/no-go</x:v>
      </x:c>
      <x:c r="I229" s="111" t="str">
        <x:v>Named accountable owners</x:v>
      </x:c>
      <x:c r="J229" s="111" t="str">
        <x:v>No-go</x:v>
      </x:c>
      <x:c r="K229" s="111" t="str">
        <x:v>Release dossier</x:v>
      </x:c>
      <x:c r="L229" s="111" t="str">
        <x:v>SRC-CUS-001, SRC-DAT-004, SRC-PRV-002</x:v>
      </x:c>
      <x:c r="M229" s="111" t="str">
        <x:v>T-PLT-024</x:v>
      </x:c>
    </x:row>
  </x:sheetData>
  <x:mergeCells>
    <x:mergeCell ref="A1:M1"/>
    <x:mergeCell ref="A2:M2"/>
  </x:mergeCells>
  <x:dataValidations count="1">
    <x:dataValidation type="list" sqref="D5:D229">
      <x:formula1>"MUST,SHOULD,MAY"</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62" hidden="0" customWidth="1"/>
    <x:col min="4" max="4" width="46" hidden="0" customWidth="1"/>
    <x:col min="5" max="5" width="42" hidden="0" customWidth="1"/>
    <x:col min="6" max="6" width="44" hidden="0" customWidth="1"/>
    <x:col min="7" max="7" width="34" hidden="0" customWidth="1"/>
    <x:col min="8" max="8" width="42" hidden="0" customWidth="1"/>
  </x:cols>
  <x:sheetData>
    <x:row r="1" ht="32" customHeight="1">
      <x:c r="A1" s="87" t="str">
        <x:v>Commodity-family control matrix</x:v>
      </x:c>
      <x:c r="B1" s="87"/>
      <x:c r="C1" s="87"/>
      <x:c r="D1" s="87"/>
      <x:c r="E1" s="87"/>
      <x:c r="F1" s="87"/>
      <x:c r="G1" s="87"/>
      <x:c r="H1" s="87"/>
    </x:row>
    <x:row r="2" ht="34" customHeight="1">
      <x:c r="A2" s="88" t="str">
        <x:v>The matrix states minimum control families, not shipment permission. Country, carrier, service and tenant permissions can only narrow eligibility.</x:v>
      </x:c>
      <x:c r="B2" s="88"/>
      <x:c r="C2" s="88"/>
      <x:c r="D2" s="88"/>
      <x:c r="E2" s="88"/>
      <x:c r="F2" s="88"/>
      <x:c r="G2" s="88"/>
      <x:c r="H2" s="88"/>
    </x:row>
    <x:row r="4" ht="34" customHeight="1">
      <x:c r="A4" s="89" t="str">
        <x:v>Commodity family</x:v>
      </x:c>
      <x:c r="B4" s="89" t="str">
        <x:v>Trigger / scope</x:v>
      </x:c>
      <x:c r="C4" s="89" t="str">
        <x:v>Mandatory data and controls</x:v>
      </x:c>
      <x:c r="D4" s="89" t="str">
        <x:v>Primary risk decisions</x:v>
      </x:c>
      <x:c r="E4" s="89" t="str">
        <x:v>Required human / external approval</x:v>
      </x:c>
      <x:c r="F4" s="89" t="str">
        <x:v>Evidence / documents</x:v>
      </x:c>
      <x:c r="G4" s="89" t="str">
        <x:v>Rule stack</x:v>
      </x:c>
      <x:c r="H4" s="89" t="str">
        <x:v>Default platform posture</x:v>
      </x:c>
    </x:row>
    <x:row r="5" ht="62" customHeight="1">
      <x:c r="A5" s="111" t="str">
        <x:v>General merchandise</x:v>
      </x:c>
      <x:c r="B5" s="111" t="str">
        <x:v>All goods</x:v>
      </x:c>
      <x:c r="C5" s="111" t="str">
        <x:v>HS/origin/value/description, sanctions, prohibitions/restrictions, carrier limits</x:v>
      </x:c>
      <x:c r="D5" s="111" t="str">
        <x:v>Classification confidence; trade remedies; product safety</x:v>
      </x:c>
      <x:c r="E5" s="111" t="str">
        <x:v>Qualified classifier where low confidence/high risk</x:v>
      </x:c>
      <x:c r="F5" s="111" t="str">
        <x:v>Invoice, packing list, origin evidence</x:v>
      </x:c>
      <x:c r="G5" s="111" t="str">
        <x:v>Country pack + carrier</x:v>
      </x:c>
      <x:c r="H5" s="111" t="str">
        <x:v>Default permission can be tenant-allowed after baseline approval</x:v>
      </x:c>
    </x:row>
    <x:row r="6" ht="62" customHeight="1">
      <x:c r="A6" s="110" t="str">
        <x:v>Dangerous goods</x:v>
      </x:c>
      <x:c r="B6" s="110" t="str">
        <x:v>Potential or confirmed UN-regulated material/article</x:v>
      </x:c>
      <x:c r="C6" s="110" t="str">
        <x:v>UN number, PSN, class, PG, PI, quantities, packaging, variations</x:v>
      </x:c>
      <x:c r="D6" s="110" t="str">
        <x:v>State/operator variation; forbidden material; passenger/cargo aircraft</x:v>
      </x:c>
      <x:c r="E6" s="110" t="str">
        <x:v>Certified DG reviewer + external carrier/forwarder acceptance</x:v>
      </x:c>
      <x:c r="F6" s="110" t="str">
        <x:v>SDS/test/approval, DGD/e-DGD, pack checklist</x:v>
      </x:c>
      <x:c r="G6" s="110" t="str">
        <x:v>ICAO/IATA/UN + state + operator</x:v>
      </x:c>
      <x:c r="H6" s="110" t="str">
        <x:v>Deny unless tenant/site/class/service permission exists</x:v>
      </x:c>
    </x:row>
    <x:row r="7" ht="62" customHeight="1">
      <x:c r="A7" s="111" t="str">
        <x:v>Lithium batteries</x:v>
      </x:c>
      <x:c r="B7" s="111" t="str">
        <x:v>Cells/batteries alone, packed with or contained in equipment</x:v>
      </x:c>
      <x:c r="C7" s="111" t="str">
        <x:v>Chemistry, Wh/LC, count, mass, SoC, UN38.3, condition, configuration</x:v>
      </x:c>
      <x:c r="D7" s="111" t="str">
        <x:v>Damaged/defective/recalled; standalone restrictions; prototype</x:v>
      </x:c>
      <x:c r="E7" s="111" t="str">
        <x:v>Certified DG reviewer + external carrier acceptance</x:v>
      </x:c>
      <x:c r="F7" s="111" t="str">
        <x:v>UN38.3 summary, manufacturer data, marks/docs</x:v>
      </x:c>
      <x:c r="G7" s="111" t="str">
        <x:v>ICAO/IATA + state/operator</x:v>
      </x:c>
      <x:c r="H7" s="111" t="str">
        <x:v>Air-block damaged/defective/recalled in this product</x:v>
      </x:c>
    </x:row>
    <x:row r="8" ht="62" customHeight="1">
      <x:c r="A8" s="110" t="str">
        <x:v>Food</x:v>
      </x:c>
      <x:c r="B8" s="110" t="str">
        <x:v>Food, beverages, supplements, ingredients</x:v>
      </x:c>
      <x:c r="C8" s="110" t="str">
        <x:v>Ingredients, allergens, origin, manufacturer, registrations, shelf life, lot</x:v>
      </x:c>
      <x:c r="D8" s="110" t="str">
        <x:v>SPS, prior notice, health certificate, BCP, labelling</x:v>
      </x:c>
      <x:c r="E8" s="110" t="str">
        <x:v>Food/SPS specialist + external filing/authority as applicable</x:v>
      </x:c>
      <x:c r="F8" s="110" t="str">
        <x:v>Health cert, prior notice, registrations</x:v>
      </x:c>
      <x:c r="G8" s="110" t="str">
        <x:v>WTO SPS/Codex + national</x:v>
      </x:c>
      <x:c r="H8" s="110" t="str">
        <x:v>Lane-specific; no blanket international permission</x:v>
      </x:c>
    </x:row>
    <x:row r="9" ht="62" customHeight="1">
      <x:c r="A9" s="111" t="str">
        <x:v>Perishables/cold chain</x:v>
      </x:c>
      <x:c r="B9" s="111" t="str">
        <x:v>Temperature/time-sensitive food or goods</x:v>
      </x:c>
      <x:c r="C9" s="111" t="str">
        <x:v>Range, stability budget, packaging qualification, coolant, sensors, expiry</x:v>
      </x:c>
      <x:c r="D9" s="111" t="str">
        <x:v>Weekend/customs delay, dry ice, re-icing, disposal</x:v>
      </x:c>
      <x:c r="E9" s="111" t="str">
        <x:v>Quality release + DG if coolant</x:v>
      </x:c>
      <x:c r="F9" s="111" t="str">
        <x:v>Qualification, sensor/calibration, contingency</x:v>
      </x:c>
      <x:c r="G9" s="111" t="str">
        <x:v>WHO/IATA + national/carrier</x:v>
      </x:c>
      <x:c r="H9" s="111" t="str">
        <x:v>Qualified lanes only</x:v>
      </x:c>
    </x:row>
    <x:row r="10" ht="62" customHeight="1">
      <x:c r="A10" s="110" t="str">
        <x:v>Pharmaceuticals</x:v>
      </x:c>
      <x:c r="B10" s="110" t="str">
        <x:v>Medicinal products, APIs where in scope</x:v>
      </x:c>
      <x:c r="C10" s="110" t="str">
        <x:v>Authorization, manufacturer/site, batch, expiry, GDP, importer/customer</x:v>
      </x:c>
      <x:c r="D10" s="110" t="str">
        <x:v>Controlled drugs, falsification, market authorization, temperature</x:v>
      </x:c>
      <x:c r="E10" s="110" t="str">
        <x:v>Responsible quality/regulatory person + external authority where required</x:v>
      </x:c>
      <x:c r="F10" s="110" t="str">
        <x:v>GDP dossier, authorization, CoA where required</x:v>
      </x:c>
      <x:c r="G10" s="110" t="str">
        <x:v>WHO GDP + national</x:v>
      </x:c>
      <x:c r="H10" s="110" t="str">
        <x:v>Tenant/site must hold required licences</x:v>
      </x:c>
    </x:row>
    <x:row r="11" ht="62" customHeight="1">
      <x:c r="A11" s="111" t="str">
        <x:v>Medical devices</x:v>
      </x:c>
      <x:c r="B11" s="111" t="str">
        <x:v>Devices/IVDs/accessories</x:v>
      </x:c>
      <x:c r="C11" s="111" t="str">
        <x:v>UDI, model, class, registration/listing, manufacturer, importer, lot/serial</x:v>
      </x:c>
      <x:c r="D11" s="111" t="str">
        <x:v>Market authorization, sterile/temperature, recalls</x:v>
      </x:c>
      <x:c r="E11" s="111" t="str">
        <x:v>Medical-device regulatory reviewer</x:v>
      </x:c>
      <x:c r="F11" s="111" t="str">
        <x:v>Registration/listing, UDI, quality evidence</x:v>
      </x:c>
      <x:c r="G11" s="111" t="str">
        <x:v>IMDRF + national</x:v>
      </x:c>
      <x:c r="H11" s="111" t="str">
        <x:v>Lane/product approval required</x:v>
      </x:c>
    </x:row>
    <x:row r="12" ht="62" customHeight="1">
      <x:c r="A12" s="110" t="str">
        <x:v>Alcohol</x:v>
      </x:c>
      <x:c r="B12" s="110" t="str">
        <x:v>Beverage/industrial alcohol and alcohol-containing goods</x:v>
      </x:c>
      <x:c r="C12" s="110" t="str">
        <x:v>ABV, volume, producer/importer licences, label approvals, excise status</x:v>
      </x:c>
      <x:c r="D12" s="110" t="str">
        <x:v>Consumer shipping, age check, excise movement, carrier contract</x:v>
      </x:c>
      <x:c r="E12" s="110" t="str">
        <x:v>Excise specialist + external carrier</x:v>
      </x:c>
      <x:c r="F12" s="110" t="str">
        <x:v>Licences, COLA/label, excise reference</x:v>
      </x:c>
      <x:c r="G12" s="110" t="str">
        <x:v>National excise + carrier</x:v>
      </x:c>
      <x:c r="H12" s="110" t="str">
        <x:v>Default deny for consumer lanes until approved</x:v>
      </x:c>
    </x:row>
    <x:row r="13" ht="62" customHeight="1">
      <x:c r="A13" s="111" t="str">
        <x:v>Tobacco/nicotine</x:v>
      </x:c>
      <x:c r="B13" s="111" t="str">
        <x:v>Tobacco, vaping/nicotine products</x:v>
      </x:c>
      <x:c r="C13" s="111" t="str">
        <x:v>Category, quantity, tax marks, licences, tracking IDs</x:v>
      </x:c>
      <x:c r="D13" s="111" t="str">
        <x:v>Prohibitions, excise, age, illicit-trade controls</x:v>
      </x:c>
      <x:c r="E13" s="111" t="str">
        <x:v>Excise specialist + external carrier</x:v>
      </x:c>
      <x:c r="F13" s="111" t="str">
        <x:v>Licences, movement/tracking evidence</x:v>
      </x:c>
      <x:c r="G13" s="111" t="str">
        <x:v>WHO FCTC + national</x:v>
      </x:c>
      <x:c r="H13" s="111" t="str">
        <x:v>Default deny; many carriers/lanes prohibit</x:v>
      </x:c>
    </x:row>
    <x:row r="14" ht="62" customHeight="1">
      <x:c r="A14" s="110" t="str">
        <x:v>Dual-use/export controlled</x:v>
      </x:c>
      <x:c r="B14" s="110" t="str">
        <x:v>Controlled or sensitive goods/technology</x:v>
      </x:c>
      <x:c r="C14" s="110" t="str">
        <x:v>Technical specs, codes, origins/nexuses, end use/user, licence</x:v>
      </x:c>
      <x:c r="D14" s="110" t="str">
        <x:v>Military/intelligence/WMD/end-use, diversion, sanctions</x:v>
      </x:c>
      <x:c r="E14" s="110" t="str">
        <x:v>Export-control specialist + external licensing authority</x:v>
      </x:c>
      <x:c r="F14" s="110" t="str">
        <x:v>Classification memo, licence/exception evidence</x:v>
      </x:c>
      <x:c r="G14" s="110" t="str">
        <x:v>National controls + regimes</x:v>
      </x:c>
      <x:c r="H14" s="110" t="str">
        <x:v>Default hold when classification unknown</x:v>
      </x:c>
    </x:row>
    <x:row r="15" ht="62" customHeight="1">
      <x:c r="A15" s="111" t="str">
        <x:v>High-value goods</x:v>
      </x:c>
      <x:c r="B15" s="111" t="str">
        <x:v>Value/category over tenant/carrier threshold</x:v>
      </x:c>
      <x:c r="C15" s="111" t="str">
        <x:v>Valuation, insurance/declared value, chain of custody, secure packaging</x:v>
      </x:c>
      <x:c r="D15" s="111" t="str">
        <x:v>Carrier limits/exclusions, theft/fraud, AML</x:v>
      </x:c>
      <x:c r="E15" s="111" t="str">
        <x:v>Security supervisor + external carrier</x:v>
      </x:c>
      <x:c r="F15" s="111" t="str">
        <x:v>Valuation, insurance, custody evidence</x:v>
      </x:c>
      <x:c r="G15" s="111" t="str">
        <x:v>Carrier terms + national</x:v>
      </x:c>
      <x:c r="H15" s="111" t="str">
        <x:v>Secure qualified service only</x:v>
      </x:c>
    </x:row>
    <x:row r="16" ht="62" customHeight="1">
      <x:c r="A16" s="110" t="str">
        <x:v>Art/cultural property</x:v>
      </x:c>
      <x:c r="B16" s="110" t="str">
        <x:v>Art, antiquities, archaeological/ethnological objects</x:v>
      </x:c>
      <x:c r="C16" s="110" t="str">
        <x:v>Creator/object, age, materials, provenance, ownership, valuation</x:v>
      </x:c>
      <x:c r="D16" s="110" t="str">
        <x:v>Export permits, stolen art, cultural patrimony, CITES materials</x:v>
      </x:c>
      <x:c r="E16" s="110" t="str">
        <x:v>Cultural-property specialist + external authority</x:v>
      </x:c>
      <x:c r="F16" s="110" t="str">
        <x:v>Provenance, permits, database checks</x:v>
      </x:c>
      <x:c r="G16" s="110" t="str">
        <x:v>UNESCO/CITES/national</x:v>
      </x:c>
      <x:c r="H16" s="110" t="str">
        <x:v>Default hold above triggers</x:v>
      </x:c>
    </x:row>
    <x:row r="17" ht="62" customHeight="1">
      <x:c r="A17" s="111" t="str">
        <x:v>Precious metals/stones</x:v>
      </x:c>
      <x:c r="B17" s="111" t="str">
        <x:v>Bullion, jewellery, precious stones, rough diamonds</x:v>
      </x:c>
      <x:c r="C17" s="111" t="str">
        <x:v>Type, weight/fineness, value, provenance, KP status</x:v>
      </x:c>
      <x:c r="D17" s="111" t="str">
        <x:v>Carrier exclusions, AML, export permits, KP certificate</x:v>
      </x:c>
      <x:c r="E17" s="111" t="str">
        <x:v>Specialist + external carrier/authority</x:v>
      </x:c>
      <x:c r="F17" s="111" t="str">
        <x:v>Valuation, provenance, KP cert</x:v>
      </x:c>
      <x:c r="G17" s="111" t="str">
        <x:v>KP + national/carrier</x:v>
      </x:c>
      <x:c r="H17" s="111" t="str">
        <x:v>Qualified secure service only</x:v>
      </x:c>
    </x:row>
    <x:row r="18" ht="62" customHeight="1">
      <x:c r="A18" s="110" t="str">
        <x:v>Personal effects</x:v>
      </x:c>
      <x:c r="B18" s="110" t="str">
        <x:v>Owner's used goods, relocation/travel belongings</x:v>
      </x:c>
      <x:c r="C18" s="110" t="str">
        <x:v>Owner identity, inventory, ownership/use, values, move/travel context</x:v>
      </x:c>
      <x:c r="D18" s="110" t="str">
        <x:v>Relief eligibility, prohibited items, unaccompanied baggage rules</x:v>
      </x:c>
      <x:c r="E18" s="110" t="str">
        <x:v>Customs specialist/external filer</x:v>
      </x:c>
      <x:c r="F18" s="110" t="str">
        <x:v>Inventory, attestations, immigration/move evidence</x:v>
      </x:c>
      <x:c r="G18" s="110" t="str">
        <x:v>Country pack</x:v>
      </x:c>
      <x:c r="H18" s="110" t="str">
        <x:v>No generic relief assumption</x:v>
      </x:c>
    </x:row>
    <x:row r="19" ht="62" customHeight="1">
      <x:c r="A19" s="111" t="str">
        <x:v>Gifts</x:v>
      </x:c>
      <x:c r="B19" s="111" t="str">
        <x:v>Genuine noncommercial person-to-person gift</x:v>
      </x:c>
      <x:c r="C19" s="111" t="str">
        <x:v>Natural-person parties, occasion, no consideration, line values</x:v>
      </x:c>
      <x:c r="D19" s="111" t="str">
        <x:v>Destination threshold/exclusions; split shipments</x:v>
      </x:c>
      <x:c r="E19" s="111" t="str">
        <x:v>Customs reviewer if threshold/risk</x:v>
      </x:c>
      <x:c r="F19" s="111" t="str">
        <x:v>Gift attestation and itemized values</x:v>
      </x:c>
      <x:c r="G19" s="111" t="str">
        <x:v>Country pack</x:v>
      </x:c>
      <x:c r="H19" s="111" t="str">
        <x:v>Commercial sender or consideration invalidates gift path</x:v>
      </x:c>
    </x:row>
    <x:row r="20" ht="62" customHeight="1">
      <x:c r="A20" s="110" t="str">
        <x:v>Samples</x:v>
      </x:c>
      <x:c r="B20" s="110" t="str">
        <x:v>Commercial samples/non-sale goods</x:v>
      </x:c>
      <x:c r="C20" s="110" t="str">
        <x:v>Purpose, condition/marking, recipient business, defensible value</x:v>
      </x:c>
      <x:c r="D20" s="110" t="str">
        <x:v>Saleability, relief conditions, temporary admission</x:v>
      </x:c>
      <x:c r="E20" s="110" t="str">
        <x:v>Customs reviewer</x:v>
      </x:c>
      <x:c r="F20" s="110" t="str">
        <x:v>Sample letter, valuation, permits</x:v>
      </x:c>
      <x:c r="G20" s="110" t="str">
        <x:v>Country pack</x:v>
      </x:c>
      <x:c r="H20" s="110" t="str">
        <x:v>Normal import if relief not proven</x:v>
      </x:c>
    </x:row>
    <x:row r="21" ht="62" customHeight="1">
      <x:c r="A21" s="111" t="str">
        <x:v>Returns/repairs/replacements</x:v>
      </x:c>
      <x:c r="B21" s="111" t="str">
        <x:v>Reverse logistics and warranty flows</x:v>
      </x:c>
      <x:c r="C21" s="111" t="str">
        <x:v>Original shipment/export, serials, value, reason, condition</x:v>
      </x:c>
      <x:c r="D21" s="111" t="str">
        <x:v>Relief/re-import, changed goods, warranty replacements</x:v>
      </x:c>
      <x:c r="E21" s="111" t="str">
        <x:v>Customs specialist/external filer</x:v>
      </x:c>
      <x:c r="F21" s="111" t="str">
        <x:v>Original declaration, repair invoice, proof of export</x:v>
      </x:c>
      <x:c r="G21" s="111" t="str">
        <x:v>Country pack</x:v>
      </x:c>
      <x:c r="H21" s="111" t="str">
        <x:v>Normal import or hold if relief evidence absent</x:v>
      </x:c>
    </x:row>
    <x:row r="22" ht="62" customHeight="1">
      <x:c r="A22" s="110" t="str">
        <x:v>Temporary export/re-import</x:v>
      </x:c>
      <x:c r="B22" s="110" t="str">
        <x:v>Goods moving temporarily</x:v>
      </x:c>
      <x:c r="C22" s="110" t="str">
        <x:v>Procedure/carnet/auth, serial identity, expiry, conditions</x:v>
      </x:c>
      <x:c r="D22" s="110" t="str">
        <x:v>Discharge/re-export deadlines, substitutions</x:v>
      </x:c>
      <x:c r="E22" s="110" t="str">
        <x:v>Customs specialist + external authority/broker</x:v>
      </x:c>
      <x:c r="F22" s="110" t="str">
        <x:v>Carnet/authorization, serial list, discharge evidence</x:v>
      </x:c>
      <x:c r="G22" s="110" t="str">
        <x:v>Country pack/treaty</x:v>
      </x:c>
      <x:c r="H22" s="110" t="str">
        <x:v>Lifecycle control mandatory</x:v>
      </x:c>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8" hidden="0" customWidth="1"/>
    <x:col min="4" max="4" width="13" hidden="0" customWidth="1"/>
    <x:col min="5" max="5" width="30" hidden="0" customWidth="1"/>
    <x:col min="6" max="6" width="22" hidden="0" customWidth="1"/>
    <x:col min="7" max="7" width="60" hidden="0" customWidth="1"/>
    <x:col min="8" max="8" width="30" hidden="0" customWidth="1"/>
    <x:col min="9" max="9" width="34" hidden="0" customWidth="1"/>
  </x:cols>
  <x:sheetData>
    <x:row r="1" ht="32" customHeight="1">
      <x:c r="A1" s="87" t="str">
        <x:v>Canonical compliance data dictionary</x:v>
      </x:c>
      <x:c r="B1" s="87"/>
      <x:c r="C1" s="87"/>
      <x:c r="D1" s="87"/>
      <x:c r="E1" s="87"/>
      <x:c r="F1" s="87"/>
      <x:c r="G1" s="87"/>
      <x:c r="H1" s="87"/>
      <x:c r="I1" s="87"/>
    </x:row>
    <x:row r="2" ht="34" customHeight="1">
      <x:c r="A2" s="88" t="str">
        <x:v>Minimum cross-domain data required to make decisions reproducible and adapter mappings loss-aware. Provider schemas may require additional fields.</x:v>
      </x:c>
      <x:c r="B2" s="88"/>
      <x:c r="C2" s="88"/>
      <x:c r="D2" s="88"/>
      <x:c r="E2" s="88"/>
      <x:c r="F2" s="88"/>
      <x:c r="G2" s="88"/>
      <x:c r="H2" s="88"/>
      <x:c r="I2" s="88"/>
    </x:row>
    <x:row r="4" ht="34" customHeight="1">
      <x:c r="A4" s="89" t="str">
        <x:v>Entity</x:v>
      </x:c>
      <x:c r="B4" s="89" t="str">
        <x:v>Canonical field</x:v>
      </x:c>
      <x:c r="C4" s="89" t="str">
        <x:v>Type</x:v>
      </x:c>
      <x:c r="D4" s="89" t="str">
        <x:v>Cardinality</x:v>
      </x:c>
      <x:c r="E4" s="89" t="str">
        <x:v>Required when</x:v>
      </x:c>
      <x:c r="F4" s="89" t="str">
        <x:v>Data classification</x:v>
      </x:c>
      <x:c r="G4" s="89" t="str">
        <x:v>Validation / semantics</x:v>
      </x:c>
      <x:c r="H4" s="89" t="str">
        <x:v>Example</x:v>
      </x:c>
      <x:c r="I4" s="89" t="str">
        <x:v>Primary source / owner</x:v>
      </x:c>
    </x:row>
    <x:row r="5" ht="42" customHeight="1">
      <x:c r="A5" s="111" t="str">
        <x:v>Tenant</x:v>
      </x:c>
      <x:c r="B5" s="111" t="str">
        <x:v>tenant_id</x:v>
      </x:c>
      <x:c r="C5" s="111" t="str">
        <x:v>UUID</x:v>
      </x:c>
      <x:c r="D5" s="111" t="str">
        <x:v>1</x:v>
      </x:c>
      <x:c r="E5" s="111" t="str">
        <x:v>Always</x:v>
      </x:c>
      <x:c r="F5" s="111" t="str">
        <x:v>Internal</x:v>
      </x:c>
      <x:c r="G5" s="111" t="str">
        <x:v>Immutable; tenant partition key</x:v>
      </x:c>
      <x:c r="H5" s="111" t="str">
        <x:v>018f…</x:v>
      </x:c>
      <x:c r="I5" s="111" t="str">
        <x:v>Internal canonical model</x:v>
      </x:c>
    </x:row>
    <x:row r="6" ht="42" customHeight="1">
      <x:c r="A6" s="110" t="str">
        <x:v>Tenant</x:v>
      </x:c>
      <x:c r="B6" s="110" t="str">
        <x:v>legal_name</x:v>
      </x:c>
      <x:c r="C6" s="110" t="str">
        <x:v>String(200)</x:v>
      </x:c>
      <x:c r="D6" s="110" t="str">
        <x:v>1</x:v>
      </x:c>
      <x:c r="E6" s="110" t="str">
        <x:v>Always</x:v>
      </x:c>
      <x:c r="F6" s="110" t="str">
        <x:v>Business confidential</x:v>
      </x:c>
      <x:c r="G6" s="110" t="str">
        <x:v>Registered legal name; no trading-name substitution</x:v>
      </x:c>
      <x:c r="H6" s="110" t="str">
        <x:v>Example Fulfilment Ltd</x:v>
      </x:c>
      <x:c r="I6" s="110" t="str">
        <x:v>Internal canonical model</x:v>
      </x:c>
    </x:row>
    <x:row r="7" ht="42" customHeight="1">
      <x:c r="A7" s="111" t="str">
        <x:v>Tenant</x:v>
      </x:c>
      <x:c r="B7" s="111" t="str">
        <x:v>hosting_region</x:v>
      </x:c>
      <x:c r="C7" s="111" t="str">
        <x:v>Enum</x:v>
      </x:c>
      <x:c r="D7" s="111" t="str">
        <x:v>1</x:v>
      </x:c>
      <x:c r="E7" s="111" t="str">
        <x:v>Before production</x:v>
      </x:c>
      <x:c r="F7" s="111" t="str">
        <x:v>Security metadata</x:v>
      </x:c>
      <x:c r="G7" s="111" t="str">
        <x:v>Approved region list and residency policy version</x:v>
      </x:c>
      <x:c r="H7" s="111" t="str">
        <x:v>eu-west</x:v>
      </x:c>
      <x:c r="I7" s="111" t="str">
        <x:v>Internal canonical model</x:v>
      </x:c>
    </x:row>
    <x:row r="8" ht="42" customHeight="1">
      <x:c r="A8" s="110" t="str">
        <x:v>Tenant</x:v>
      </x:c>
      <x:c r="B8" s="110" t="str">
        <x:v>operating_roles</x:v>
      </x:c>
      <x:c r="C8" s="110" t="str">
        <x:v>Enum[]</x:v>
      </x:c>
      <x:c r="D8" s="110" t="str">
        <x:v>1..n</x:v>
      </x:c>
      <x:c r="E8" s="110" t="str">
        <x:v>Always</x:v>
      </x:c>
      <x:c r="F8" s="110" t="str">
        <x:v>Compliance</x:v>
      </x:c>
      <x:c r="G8" s="110" t="str">
        <x:v>Default warehouse_fulfilment_operator only</x:v>
      </x:c>
      <x:c r="H8" s="110" t="str">
        <x:v>warehouse_fulfilment_operator</x:v>
      </x:c>
      <x:c r="I8" s="110" t="str">
        <x:v>Internal canonical model</x:v>
      </x:c>
    </x:row>
    <x:row r="9" ht="42" customHeight="1">
      <x:c r="A9" s="111" t="str">
        <x:v>Tenant</x:v>
      </x:c>
      <x:c r="B9" s="111" t="str">
        <x:v>commodity_permissions</x:v>
      </x:c>
      <x:c r="C9" s="111" t="str">
        <x:v>Object[]</x:v>
      </x:c>
      <x:c r="D9" s="111" t="str">
        <x:v>1..n</x:v>
      </x:c>
      <x:c r="E9" s="111" t="str">
        <x:v>Before product activation</x:v>
      </x:c>
      <x:c r="F9" s="111" t="str">
        <x:v>Compliance</x:v>
      </x:c>
      <x:c r="G9" s="111" t="str">
        <x:v>Deny by default; scoped by site/mode/lane</x:v>
      </x:c>
      <x:c r="H9" s="111" t="str">
        <x:v>DG class 9 at Site A</x:v>
      </x:c>
      <x:c r="I9" s="111" t="str">
        <x:v>Internal canonical model</x:v>
      </x:c>
    </x:row>
    <x:row r="10" ht="42" customHeight="1">
      <x:c r="A10" s="110" t="str">
        <x:v>Site</x:v>
      </x:c>
      <x:c r="B10" s="110" t="str">
        <x:v>site_id</x:v>
      </x:c>
      <x:c r="C10" s="110" t="str">
        <x:v>UUID</x:v>
      </x:c>
      <x:c r="D10" s="110" t="str">
        <x:v>1</x:v>
      </x:c>
      <x:c r="E10" s="110" t="str">
        <x:v>Origin operations</x:v>
      </x:c>
      <x:c r="F10" s="110" t="str">
        <x:v>Internal</x:v>
      </x:c>
      <x:c r="G10" s="110" t="str">
        <x:v>Tenant scoped</x:v>
      </x:c>
      <x:c r="H10" s="110" t="str">
        <x:v>018f…</x:v>
      </x:c>
      <x:c r="I10" s="110" t="str">
        <x:v>Internal canonical model</x:v>
      </x:c>
    </x:row>
    <x:row r="11" ht="42" customHeight="1">
      <x:c r="A11" s="111" t="str">
        <x:v>Site</x:v>
      </x:c>
      <x:c r="B11" s="111" t="str">
        <x:v>unlocode</x:v>
      </x:c>
      <x:c r="C11" s="111" t="str">
        <x:v>String(5)</x:v>
      </x:c>
      <x:c r="D11" s="111" t="str">
        <x:v>0..1</x:v>
      </x:c>
      <x:c r="E11" s="111" t="str">
        <x:v>When published location exists</x:v>
      </x:c>
      <x:c r="F11" s="111" t="str">
        <x:v>Public</x:v>
      </x:c>
      <x:c r="G11" s="111" t="str">
        <x:v>Validate current UN/LOCODE</x:v>
      </x:c>
      <x:c r="H11" s="111" t="str">
        <x:v>INBOM</x:v>
      </x:c>
      <x:c r="I11" s="111" t="str">
        <x:v>Internal canonical model</x:v>
      </x:c>
    </x:row>
    <x:row r="12" ht="42" customHeight="1">
      <x:c r="A12" s="110" t="str">
        <x:v>Site</x:v>
      </x:c>
      <x:c r="B12" s="110" t="str">
        <x:v>address</x:v>
      </x:c>
      <x:c r="C12" s="110" t="str">
        <x:v>Address</x:v>
      </x:c>
      <x:c r="D12" s="110" t="str">
        <x:v>1</x:v>
      </x:c>
      <x:c r="E12" s="110" t="str">
        <x:v>Always</x:v>
      </x:c>
      <x:c r="F12" s="110" t="str">
        <x:v>Personal/business data</x:v>
      </x:c>
      <x:c r="G12" s="110" t="str">
        <x:v>Country format and geocode confidence</x:v>
      </x:c>
      <x:c r="H12" s="110" t="str">
        <x:v>Structured object</x:v>
      </x:c>
      <x:c r="I12" s="110" t="str">
        <x:v>Internal canonical model</x:v>
      </x:c>
    </x:row>
    <x:row r="13" ht="42" customHeight="1">
      <x:c r="A13" s="111" t="str">
        <x:v>Site</x:v>
      </x:c>
      <x:c r="B13" s="111" t="str">
        <x:v>licences</x:v>
      </x:c>
      <x:c r="C13" s="111" t="str">
        <x:v>DocumentRef[]</x:v>
      </x:c>
      <x:c r="D13" s="111" t="str">
        <x:v>0..n</x:v>
      </x:c>
      <x:c r="E13" s="111" t="str">
        <x:v>Regulated capability</x:v>
      </x:c>
      <x:c r="F13" s="111" t="str">
        <x:v>Highly confidential</x:v>
      </x:c>
      <x:c r="G13" s="111" t="str">
        <x:v>Issuer, type, scope, validity</x:v>
      </x:c>
      <x:c r="H13" s="111" t="str">
        <x:v>DG warehouse certificate</x:v>
      </x:c>
      <x:c r="I13" s="111" t="str">
        <x:v>Internal canonical model</x:v>
      </x:c>
    </x:row>
    <x:row r="14" ht="42" customHeight="1">
      <x:c r="A14" s="110" t="str">
        <x:v>Party</x:v>
      </x:c>
      <x:c r="B14" s="110" t="str">
        <x:v>party_id</x:v>
      </x:c>
      <x:c r="C14" s="110" t="str">
        <x:v>UUID</x:v>
      </x:c>
      <x:c r="D14" s="110" t="str">
        <x:v>1</x:v>
      </x:c>
      <x:c r="E14" s="110" t="str">
        <x:v>Always</x:v>
      </x:c>
      <x:c r="F14" s="110" t="str">
        <x:v>Personal/business data</x:v>
      </x:c>
      <x:c r="G14" s="110" t="str">
        <x:v>Tenant/customer scoped</x:v>
      </x:c>
      <x:c r="H14" s="110" t="str">
        <x:v>018f…</x:v>
      </x:c>
      <x:c r="I14" s="110" t="str">
        <x:v>Internal canonical model</x:v>
      </x:c>
    </x:row>
    <x:row r="15" ht="42" customHeight="1">
      <x:c r="A15" s="111" t="str">
        <x:v>Party</x:v>
      </x:c>
      <x:c r="B15" s="111" t="str">
        <x:v>roles</x:v>
      </x:c>
      <x:c r="C15" s="111" t="str">
        <x:v>Enum[]</x:v>
      </x:c>
      <x:c r="D15" s="111" t="str">
        <x:v>1..n</x:v>
      </x:c>
      <x:c r="E15" s="111" t="str">
        <x:v>Per flow</x:v>
      </x:c>
      <x:c r="F15" s="111" t="str">
        <x:v>Compliance/personal</x:v>
      </x:c>
      <x:c r="G15" s="111" t="str">
        <x:v>Explicit canonical roles</x:v>
      </x:c>
      <x:c r="H15" s="111" t="str">
        <x:v>consignor, exporter</x:v>
      </x:c>
      <x:c r="I15" s="111" t="str">
        <x:v>Internal canonical model</x:v>
      </x:c>
    </x:row>
    <x:row r="16" ht="42" customHeight="1">
      <x:c r="A16" s="110" t="str">
        <x:v>Party</x:v>
      </x:c>
      <x:c r="B16" s="110" t="str">
        <x:v>legal_name_original</x:v>
      </x:c>
      <x:c r="C16" s="110" t="str">
        <x:v>String(200)</x:v>
      </x:c>
      <x:c r="D16" s="110" t="str">
        <x:v>1</x:v>
      </x:c>
      <x:c r="E16" s="110" t="str">
        <x:v>Always</x:v>
      </x:c>
      <x:c r="F16" s="110" t="str">
        <x:v>Personal/business data</x:v>
      </x:c>
      <x:c r="G16" s="110" t="str">
        <x:v>Original script retained</x:v>
      </x:c>
      <x:c r="H16" s="110" t="str">
        <x:v>株式会社例</x:v>
      </x:c>
      <x:c r="I16" s="110" t="str">
        <x:v>Internal canonical model</x:v>
      </x:c>
    </x:row>
    <x:row r="17" ht="42" customHeight="1">
      <x:c r="A17" s="111" t="str">
        <x:v>Party</x:v>
      </x:c>
      <x:c r="B17" s="111" t="str">
        <x:v>legal_name_latin</x:v>
      </x:c>
      <x:c r="C17" s="111" t="str">
        <x:v>String(200)</x:v>
      </x:c>
      <x:c r="D17" s="111" t="str">
        <x:v>0..1</x:v>
      </x:c>
      <x:c r="E17" s="111" t="str">
        <x:v>Carrier/schema needs Latin</x:v>
      </x:c>
      <x:c r="F17" s="111" t="str">
        <x:v>Personal/business data</x:v>
      </x:c>
      <x:c r="G17" s="111" t="str">
        <x:v>Approved transliteration; not overwrite original</x:v>
      </x:c>
      <x:c r="H17" s="111" t="str">
        <x:v>Example KK</x:v>
      </x:c>
      <x:c r="I17" s="111" t="str">
        <x:v>Internal canonical model</x:v>
      </x:c>
    </x:row>
    <x:row r="18" ht="42" customHeight="1">
      <x:c r="A18" s="110" t="str">
        <x:v>Party</x:v>
      </x:c>
      <x:c r="B18" s="110" t="str">
        <x:v>address</x:v>
      </x:c>
      <x:c r="C18" s="110" t="str">
        <x:v>Address</x:v>
      </x:c>
      <x:c r="D18" s="110" t="str">
        <x:v>1</x:v>
      </x:c>
      <x:c r="E18" s="110" t="str">
        <x:v>When role active</x:v>
      </x:c>
      <x:c r="F18" s="110" t="str">
        <x:v>Personal data</x:v>
      </x:c>
      <x:c r="G18" s="110" t="str">
        <x:v>Country-aware required components</x:v>
      </x:c>
      <x:c r="H18" s="110" t="str">
        <x:v>Structured object</x:v>
      </x:c>
      <x:c r="I18" s="110" t="str">
        <x:v>Internal canonical model</x:v>
      </x:c>
    </x:row>
    <x:row r="19" ht="42" customHeight="1">
      <x:c r="A19" s="111" t="str">
        <x:v>Party</x:v>
      </x:c>
      <x:c r="B19" s="111" t="str">
        <x:v>contact</x:v>
      </x:c>
      <x:c r="C19" s="111" t="str">
        <x:v>Contact</x:v>
      </x:c>
      <x:c r="D19" s="111" t="str">
        <x:v>0..1</x:v>
      </x:c>
      <x:c r="E19" s="111" t="str">
        <x:v>Carrier/customs requirement</x:v>
      </x:c>
      <x:c r="F19" s="111" t="str">
        <x:v>Personal data</x:v>
      </x:c>
      <x:c r="G19" s="111" t="str">
        <x:v>Purpose-limited phone/email validation</x:v>
      </x:c>
      <x:c r="H19" s="111" t="str">
        <x:v>Masked</x:v>
      </x:c>
      <x:c r="I19" s="111" t="str">
        <x:v>Internal canonical model</x:v>
      </x:c>
    </x:row>
    <x:row r="20" ht="42" customHeight="1">
      <x:c r="A20" s="110" t="str">
        <x:v>Party</x:v>
      </x:c>
      <x:c r="B20" s="110" t="str">
        <x:v>identifiers</x:v>
      </x:c>
      <x:c r="C20" s="110" t="str">
        <x:v>TypedIdentifier[]</x:v>
      </x:c>
      <x:c r="D20" s="110" t="str">
        <x:v>0..n</x:v>
      </x:c>
      <x:c r="E20" s="110" t="str">
        <x:v>Country/role/flow rule</x:v>
      </x:c>
      <x:c r="F20" s="110" t="str">
        <x:v>Highly confidential</x:v>
      </x:c>
      <x:c r="G20" s="110" t="str">
        <x:v>Type, issuer, validity, verification</x:v>
      </x:c>
      <x:c r="H20" s="110" t="str">
        <x:v>EORI, VAT, IOSS</x:v>
      </x:c>
      <x:c r="I20" s="110" t="str">
        <x:v>Internal canonical model</x:v>
      </x:c>
    </x:row>
    <x:row r="21" ht="42" customHeight="1">
      <x:c r="A21" s="111" t="str">
        <x:v>Party</x:v>
      </x:c>
      <x:c r="B21" s="111" t="str">
        <x:v>ownership_control</x:v>
      </x:c>
      <x:c r="C21" s="111" t="str">
        <x:v>OwnershipNode[]</x:v>
      </x:c>
      <x:c r="D21" s="111" t="str">
        <x:v>0..n</x:v>
      </x:c>
      <x:c r="E21" s="111" t="str">
        <x:v>Sanctions/high-risk trigger</x:v>
      </x:c>
      <x:c r="F21" s="111" t="str">
        <x:v>Highly confidential</x:v>
      </x:c>
      <x:c r="G21" s="111" t="str">
        <x:v>Regime-specific completeness</x:v>
      </x:c>
      <x:c r="H21" s="111" t="str">
        <x:v>Entity tree</x:v>
      </x:c>
      <x:c r="I21" s="111" t="str">
        <x:v>Internal canonical model</x:v>
      </x:c>
    </x:row>
    <x:row r="22" ht="42" customHeight="1">
      <x:c r="A22" s="110" t="str">
        <x:v>Party</x:v>
      </x:c>
      <x:c r="B22" s="110" t="str">
        <x:v>screening_status</x:v>
      </x:c>
      <x:c r="C22" s="110" t="str">
        <x:v>Enum</x:v>
      </x:c>
      <x:c r="D22" s="110" t="str">
        <x:v>1</x:v>
      </x:c>
      <x:c r="E22" s="110" t="str">
        <x:v>Before release</x:v>
      </x:c>
      <x:c r="F22" s="110" t="str">
        <x:v>Compliance</x:v>
      </x:c>
      <x:c r="G22" s="110" t="str">
        <x:v>Canonical screening state</x:v>
      </x:c>
      <x:c r="H22" s="110" t="str">
        <x:v>potential_match</x:v>
      </x:c>
      <x:c r="I22" s="110" t="str">
        <x:v>Internal canonical model</x:v>
      </x:c>
    </x:row>
    <x:row r="23" ht="42" customHeight="1">
      <x:c r="A23" s="111" t="str">
        <x:v>Order</x:v>
      </x:c>
      <x:c r="B23" s="111" t="str">
        <x:v>order_id</x:v>
      </x:c>
      <x:c r="C23" s="111" t="str">
        <x:v>UUID</x:v>
      </x:c>
      <x:c r="D23" s="111" t="str">
        <x:v>1</x:v>
      </x:c>
      <x:c r="E23" s="111" t="str">
        <x:v>Always</x:v>
      </x:c>
      <x:c r="F23" s="111" t="str">
        <x:v>Internal</x:v>
      </x:c>
      <x:c r="G23" s="111" t="str">
        <x:v>Tenant unique</x:v>
      </x:c>
      <x:c r="H23" s="111" t="str">
        <x:v>018f…</x:v>
      </x:c>
      <x:c r="I23" s="111" t="str">
        <x:v>Internal canonical model</x:v>
      </x:c>
    </x:row>
    <x:row r="24" ht="42" customHeight="1">
      <x:c r="A24" s="110" t="str">
        <x:v>Order</x:v>
      </x:c>
      <x:c r="B24" s="110" t="str">
        <x:v>flow_type</x:v>
      </x:c>
      <x:c r="C24" s="110" t="str">
        <x:v>Enum</x:v>
      </x:c>
      <x:c r="D24" s="110" t="str">
        <x:v>1</x:v>
      </x:c>
      <x:c r="E24" s="110" t="str">
        <x:v>Goods flow</x:v>
      </x:c>
      <x:c r="F24" s="110" t="str">
        <x:v>Compliance</x:v>
      </x:c>
      <x:c r="G24" s="110" t="str">
        <x:v>Controlled vocabulary</x:v>
      </x:c>
      <x:c r="H24" s="110" t="str">
        <x:v>B2C_sale</x:v>
      </x:c>
      <x:c r="I24" s="110" t="str">
        <x:v>Internal canonical model</x:v>
      </x:c>
    </x:row>
    <x:row r="25" ht="42" customHeight="1">
      <x:c r="A25" s="111" t="str">
        <x:v>Order</x:v>
      </x:c>
      <x:c r="B25" s="111" t="str">
        <x:v>commercial_purpose</x:v>
      </x:c>
      <x:c r="C25" s="111" t="str">
        <x:v>String(500)</x:v>
      </x:c>
      <x:c r="D25" s="111" t="str">
        <x:v>1</x:v>
      </x:c>
      <x:c r="E25" s="111" t="str">
        <x:v>Goods flow</x:v>
      </x:c>
      <x:c r="F25" s="111" t="str">
        <x:v>Business/personal data</x:v>
      </x:c>
      <x:c r="G25" s="111" t="str">
        <x:v>Consistent with flow</x:v>
      </x:c>
      <x:c r="H25" s="111" t="str">
        <x:v>Online consumer sale</x:v>
      </x:c>
      <x:c r="I25" s="111" t="str">
        <x:v>Internal canonical model</x:v>
      </x:c>
    </x:row>
    <x:row r="26" ht="42" customHeight="1">
      <x:c r="A26" s="110" t="str">
        <x:v>Order</x:v>
      </x:c>
      <x:c r="B26" s="110" t="str">
        <x:v>incoterm</x:v>
      </x:c>
      <x:c r="C26" s="110" t="str">
        <x:v>Object</x:v>
      </x:c>
      <x:c r="D26" s="110" t="str">
        <x:v>0..1</x:v>
      </x:c>
      <x:c r="E26" s="110" t="str">
        <x:v>Commercial flow</x:v>
      </x:c>
      <x:c r="F26" s="110" t="str">
        <x:v>Business confidential</x:v>
      </x:c>
      <x:c r="G26" s="110" t="str">
        <x:v>Rule, named place, edition</x:v>
      </x:c>
      <x:c r="H26" s="110" t="str">
        <x:v>DAP Paris, Incoterms 2020</x:v>
      </x:c>
      <x:c r="I26" s="110" t="str">
        <x:v>Internal canonical model</x:v>
      </x:c>
    </x:row>
    <x:row r="27" ht="42" customHeight="1">
      <x:c r="A27" s="111" t="str">
        <x:v>Shipment</x:v>
      </x:c>
      <x:c r="B27" s="111" t="str">
        <x:v>shipment_id</x:v>
      </x:c>
      <x:c r="C27" s="111" t="str">
        <x:v>UUID</x:v>
      </x:c>
      <x:c r="D27" s="111" t="str">
        <x:v>1</x:v>
      </x:c>
      <x:c r="E27" s="111" t="str">
        <x:v>Always</x:v>
      </x:c>
      <x:c r="F27" s="111" t="str">
        <x:v>Internal</x:v>
      </x:c>
      <x:c r="G27" s="111" t="str">
        <x:v>Immutable aggregate ID</x:v>
      </x:c>
      <x:c r="H27" s="111" t="str">
        <x:v>018f…</x:v>
      </x:c>
      <x:c r="I27" s="111" t="str">
        <x:v>Internal canonical model</x:v>
      </x:c>
    </x:row>
    <x:row r="28" ht="42" customHeight="1">
      <x:c r="A28" s="110" t="str">
        <x:v>Shipment</x:v>
      </x:c>
      <x:c r="B28" s="110" t="str">
        <x:v>version</x:v>
      </x:c>
      <x:c r="C28" s="110" t="str">
        <x:v>Integer</x:v>
      </x:c>
      <x:c r="D28" s="110" t="str">
        <x:v>1</x:v>
      </x:c>
      <x:c r="E28" s="110" t="str">
        <x:v>Always</x:v>
      </x:c>
      <x:c r="F28" s="110" t="str">
        <x:v>Internal</x:v>
      </x:c>
      <x:c r="G28" s="110" t="str">
        <x:v>Monotonic optimistic lock</x:v>
      </x:c>
      <x:c r="H28" s="110" t="str">
        <x:v>7</x:v>
      </x:c>
      <x:c r="I28" s="110" t="str">
        <x:v>Internal canonical model</x:v>
      </x:c>
    </x:row>
    <x:row r="29" ht="42" customHeight="1">
      <x:c r="A29" s="111" t="str">
        <x:v>Shipment</x:v>
      </x:c>
      <x:c r="B29" s="111" t="str">
        <x:v>decision_time</x:v>
      </x:c>
      <x:c r="C29" s="111" t="str">
        <x:v>TimestampTZ</x:v>
      </x:c>
      <x:c r="D29" s="111" t="str">
        <x:v>1</x:v>
      </x:c>
      <x:c r="E29" s="111" t="str">
        <x:v>Every decision</x:v>
      </x:c>
      <x:c r="F29" s="111" t="str">
        <x:v>Audit</x:v>
      </x:c>
      <x:c r="G29" s="111" t="str">
        <x:v>UTC plus relevant local zone</x:v>
      </x:c>
      <x:c r="H29" s="111" t="n">
        <x:v>46228.5</x:v>
      </x:c>
      <x:c r="I29" s="111" t="str">
        <x:v>Internal canonical model</x:v>
      </x:c>
    </x:row>
    <x:row r="30" ht="42" customHeight="1">
      <x:c r="A30" s="110" t="str">
        <x:v>Shipment</x:v>
      </x:c>
      <x:c r="B30" s="110" t="str">
        <x:v>planned_ship_time</x:v>
      </x:c>
      <x:c r="C30" s="110" t="str">
        <x:v>TimestampTZ</x:v>
      </x:c>
      <x:c r="D30" s="110" t="str">
        <x:v>1</x:v>
      </x:c>
      <x:c r="E30" s="110" t="str">
        <x:v>Service/rule selection</x:v>
      </x:c>
      <x:c r="F30" s="110" t="str">
        <x:v>Operational</x:v>
      </x:c>
      <x:c r="G30" s="110" t="str">
        <x:v>Origin local zone required</x:v>
      </x:c>
      <x:c r="H30" s="110" t="str">
        <x:v>2026-07-26T15:00+05:30</x:v>
      </x:c>
      <x:c r="I30" s="110" t="str">
        <x:v>Internal canonical model</x:v>
      </x:c>
    </x:row>
    <x:row r="31" ht="42" customHeight="1">
      <x:c r="A31" s="111" t="str">
        <x:v>Shipment</x:v>
      </x:c>
      <x:c r="B31" s="111" t="str">
        <x:v>origin_site_id</x:v>
      </x:c>
      <x:c r="C31" s="111" t="str">
        <x:v>UUID</x:v>
      </x:c>
      <x:c r="D31" s="111" t="str">
        <x:v>1</x:v>
      </x:c>
      <x:c r="E31" s="111" t="str">
        <x:v>Always</x:v>
      </x:c>
      <x:c r="F31" s="111" t="str">
        <x:v>Internal</x:v>
      </x:c>
      <x:c r="G31" s="111" t="str">
        <x:v>Enabled site</x:v>
      </x:c>
      <x:c r="H31" s="111" t="str">
        <x:v>018f…</x:v>
      </x:c>
      <x:c r="I31" s="111" t="str">
        <x:v>Internal canonical model</x:v>
      </x:c>
    </x:row>
    <x:row r="32" ht="42" customHeight="1">
      <x:c r="A32" s="110" t="str">
        <x:v>Shipment</x:v>
      </x:c>
      <x:c r="B32" s="110" t="str">
        <x:v>export_customs_territory</x:v>
      </x:c>
      <x:c r="C32" s="110" t="str">
        <x:v>Code</x:v>
      </x:c>
      <x:c r="D32" s="110" t="str">
        <x:v>1</x:v>
      </x:c>
      <x:c r="E32" s="110" t="str">
        <x:v>International goods</x:v>
      </x:c>
      <x:c r="F32" s="110" t="str">
        <x:v>Compliance</x:v>
      </x:c>
      <x:c r="G32" s="110" t="str">
        <x:v>Country-pack/customs-territory registry</x:v>
      </x:c>
      <x:c r="H32" s="110" t="str">
        <x:v>EU</x:v>
      </x:c>
      <x:c r="I32" s="110" t="str">
        <x:v>Internal canonical model</x:v>
      </x:c>
    </x:row>
    <x:row r="33" ht="42" customHeight="1">
      <x:c r="A33" s="111" t="str">
        <x:v>Shipment</x:v>
      </x:c>
      <x:c r="B33" s="111" t="str">
        <x:v>destination_customs_territory</x:v>
      </x:c>
      <x:c r="C33" s="111" t="str">
        <x:v>Code</x:v>
      </x:c>
      <x:c r="D33" s="111" t="str">
        <x:v>1</x:v>
      </x:c>
      <x:c r="E33" s="111" t="str">
        <x:v>International goods</x:v>
      </x:c>
      <x:c r="F33" s="111" t="str">
        <x:v>Compliance</x:v>
      </x:c>
      <x:c r="G33" s="111" t="str">
        <x:v>Country-pack/override registry</x:v>
      </x:c>
      <x:c r="H33" s="111" t="str">
        <x:v>US</x:v>
      </x:c>
      <x:c r="I33" s="111" t="str">
        <x:v>Internal canonical model</x:v>
      </x:c>
    </x:row>
    <x:row r="34" ht="42" customHeight="1">
      <x:c r="A34" s="110" t="str">
        <x:v>Shipment</x:v>
      </x:c>
      <x:c r="B34" s="110" t="str">
        <x:v>transit_points</x:v>
      </x:c>
      <x:c r="C34" s="110" t="str">
        <x:v>RouteNode[]</x:v>
      </x:c>
      <x:c r="D34" s="110" t="str">
        <x:v>0..n</x:v>
      </x:c>
      <x:c r="E34" s="110" t="str">
        <x:v>Known/required</x:v>
      </x:c>
      <x:c r="F34" s="110" t="str">
        <x:v>Compliance</x:v>
      </x:c>
      <x:c r="G34" s="110" t="str">
        <x:v>Carrier-confirmed or planned</x:v>
      </x:c>
      <x:c r="H34" s="110" t="str">
        <x:v>AE-DXB</x:v>
      </x:c>
      <x:c r="I34" s="110" t="str">
        <x:v>Internal canonical model</x:v>
      </x:c>
    </x:row>
    <x:row r="35" ht="42" customHeight="1">
      <x:c r="A35" s="111" t="str">
        <x:v>Shipment</x:v>
      </x:c>
      <x:c r="B35" s="111" t="str">
        <x:v>carrier_id</x:v>
      </x:c>
      <x:c r="C35" s="111" t="str">
        <x:v>String</x:v>
      </x:c>
      <x:c r="D35" s="111" t="str">
        <x:v>1</x:v>
      </x:c>
      <x:c r="E35" s="111" t="str">
        <x:v>Booking/ship</x:v>
      </x:c>
      <x:c r="F35" s="111" t="str">
        <x:v>Business confidential</x:v>
      </x:c>
      <x:c r="G35" s="111" t="str">
        <x:v>Approved adapter</x:v>
      </x:c>
      <x:c r="H35" s="111" t="str">
        <x:v>fedex</x:v>
      </x:c>
      <x:c r="I35" s="111" t="str">
        <x:v>Internal canonical model</x:v>
      </x:c>
    </x:row>
    <x:row r="36" ht="42" customHeight="1">
      <x:c r="A36" s="110" t="str">
        <x:v>Shipment</x:v>
      </x:c>
      <x:c r="B36" s="110" t="str">
        <x:v>service_code</x:v>
      </x:c>
      <x:c r="C36" s="110" t="str">
        <x:v>String</x:v>
      </x:c>
      <x:c r="D36" s="110" t="str">
        <x:v>1</x:v>
      </x:c>
      <x:c r="E36" s="110" t="str">
        <x:v>Booking/ship</x:v>
      </x:c>
      <x:c r="F36" s="110" t="str">
        <x:v>Business confidential</x:v>
      </x:c>
      <x:c r="G36" s="110" t="str">
        <x:v>Account/lane capability response</x:v>
      </x:c>
      <x:c r="H36" s="110" t="str">
        <x:v>INTL_PRIORITY</x:v>
      </x:c>
      <x:c r="I36" s="110" t="str">
        <x:v>Internal canonical model</x:v>
      </x:c>
    </x:row>
    <x:row r="37" ht="42" customHeight="1">
      <x:c r="A37" s="111" t="str">
        <x:v>Shipment</x:v>
      </x:c>
      <x:c r="B37" s="111" t="str">
        <x:v>filing_route</x:v>
      </x:c>
      <x:c r="C37" s="111" t="str">
        <x:v>Enum</x:v>
      </x:c>
      <x:c r="D37" s="111" t="str">
        <x:v>1</x:v>
      </x:c>
      <x:c r="E37" s="111" t="str">
        <x:v>Goods flow</x:v>
      </x:c>
      <x:c r="F37" s="111" t="str">
        <x:v>Compliance</x:v>
      </x:c>
      <x:c r="G37" s="111" t="str">
        <x:v>carrier_api, postal_api, approved_partner_api</x:v>
      </x:c>
      <x:c r="H37" s="111" t="str">
        <x:v>carrier_api</x:v>
      </x:c>
      <x:c r="I37" s="111" t="str">
        <x:v>Internal canonical model</x:v>
      </x:c>
    </x:row>
    <x:row r="38" ht="42" customHeight="1">
      <x:c r="A38" s="110" t="str">
        <x:v>Shipment</x:v>
      </x:c>
      <x:c r="B38" s="110" t="str">
        <x:v>customs_procedure</x:v>
      </x:c>
      <x:c r="C38" s="110" t="str">
        <x:v>TypedCode</x:v>
      </x:c>
      <x:c r="D38" s="110" t="str">
        <x:v>1</x:v>
      </x:c>
      <x:c r="E38" s="110" t="str">
        <x:v>Declaration</x:v>
      </x:c>
      <x:c r="F38" s="110" t="str">
        <x:v>Compliance</x:v>
      </x:c>
      <x:c r="G38" s="110" t="str">
        <x:v>Destination schema/version</x:v>
      </x:c>
      <x:c r="H38" s="110" t="str">
        <x:v>release_for_free_circulation</x:v>
      </x:c>
      <x:c r="I38" s="110" t="str">
        <x:v>Internal canonical model</x:v>
      </x:c>
    </x:row>
    <x:row r="39" ht="42" customHeight="1">
      <x:c r="A39" s="111" t="str">
        <x:v>Shipment</x:v>
      </x:c>
      <x:c r="B39" s="111" t="str">
        <x:v>ior_party_id</x:v>
      </x:c>
      <x:c r="C39" s="111" t="str">
        <x:v>UUID</x:v>
      </x:c>
      <x:c r="D39" s="111" t="str">
        <x:v>0..1</x:v>
      </x:c>
      <x:c r="E39" s="111" t="str">
        <x:v>Import flow where required</x:v>
      </x:c>
      <x:c r="F39" s="111" t="str">
        <x:v>Highly confidential</x:v>
      </x:c>
      <x:c r="G39" s="111" t="str">
        <x:v>Role eligibility validated</x:v>
      </x:c>
      <x:c r="H39" s="111" t="str">
        <x:v>018f…</x:v>
      </x:c>
      <x:c r="I39" s="111" t="str">
        <x:v>Internal canonical model</x:v>
      </x:c>
    </x:row>
    <x:row r="40" ht="42" customHeight="1">
      <x:c r="A40" s="110" t="str">
        <x:v>Shipment</x:v>
      </x:c>
      <x:c r="B40" s="110" t="str">
        <x:v>eor_party_id</x:v>
      </x:c>
      <x:c r="C40" s="110" t="str">
        <x:v>UUID</x:v>
      </x:c>
      <x:c r="D40" s="110" t="str">
        <x:v>0..1</x:v>
      </x:c>
      <x:c r="E40" s="110" t="str">
        <x:v>Export flow where required</x:v>
      </x:c>
      <x:c r="F40" s="110" t="str">
        <x:v>Highly confidential</x:v>
      </x:c>
      <x:c r="G40" s="110" t="str">
        <x:v>Role eligibility validated</x:v>
      </x:c>
      <x:c r="H40" s="110" t="str">
        <x:v>018f…</x:v>
      </x:c>
      <x:c r="I40" s="110" t="str">
        <x:v>Internal canonical model</x:v>
      </x:c>
    </x:row>
    <x:row r="41" ht="42" customHeight="1">
      <x:c r="A41" s="111" t="str">
        <x:v>Shipment</x:v>
      </x:c>
      <x:c r="B41" s="111" t="str">
        <x:v>external_references</x:v>
      </x:c>
      <x:c r="C41" s="111" t="str">
        <x:v>TypedReference[]</x:v>
      </x:c>
      <x:c r="D41" s="111" t="str">
        <x:v>0..n</x:v>
      </x:c>
      <x:c r="E41" s="111" t="str">
        <x:v>After external interaction</x:v>
      </x:c>
      <x:c r="F41" s="111" t="str">
        <x:v>Compliance</x:v>
      </x:c>
      <x:c r="G41" s="111" t="str">
        <x:v>Typed; never inferred</x:v>
      </x:c>
      <x:c r="H41" s="111" t="str">
        <x:v>MRN, entry, declaration</x:v>
      </x:c>
      <x:c r="I41" s="111" t="str">
        <x:v>Internal canonical model</x:v>
      </x:c>
    </x:row>
    <x:row r="42" ht="42" customHeight="1">
      <x:c r="A42" s="110" t="str">
        <x:v>Item</x:v>
      </x:c>
      <x:c r="B42" s="110" t="str">
        <x:v>product_id</x:v>
      </x:c>
      <x:c r="C42" s="110" t="str">
        <x:v>UUID</x:v>
      </x:c>
      <x:c r="D42" s="110" t="str">
        <x:v>1</x:v>
      </x:c>
      <x:c r="E42" s="110" t="str">
        <x:v>Goods line</x:v>
      </x:c>
      <x:c r="F42" s="110" t="str">
        <x:v>Internal</x:v>
      </x:c>
      <x:c r="G42" s="110" t="str">
        <x:v>Approved product version</x:v>
      </x:c>
      <x:c r="H42" s="110" t="str">
        <x:v>018f…</x:v>
      </x:c>
      <x:c r="I42" s="110" t="str">
        <x:v>Internal canonical model</x:v>
      </x:c>
    </x:row>
    <x:row r="43" ht="42" customHeight="1">
      <x:c r="A43" s="111" t="str">
        <x:v>Item</x:v>
      </x:c>
      <x:c r="B43" s="111" t="str">
        <x:v>description</x:v>
      </x:c>
      <x:c r="C43" s="111" t="str">
        <x:v>String(500)</x:v>
      </x:c>
      <x:c r="D43" s="111" t="str">
        <x:v>1</x:v>
      </x:c>
      <x:c r="E43" s="111" t="str">
        <x:v>Goods line</x:v>
      </x:c>
      <x:c r="F43" s="111" t="str">
        <x:v>Business data</x:v>
      </x:c>
      <x:c r="G43" s="111" t="str">
        <x:v>Specific what/material/use; vague-term check</x:v>
      </x:c>
      <x:c r="H43" s="111" t="str">
        <x:v>Stainless steel insulated bottle</x:v>
      </x:c>
      <x:c r="I43" s="111" t="str">
        <x:v>Internal canonical model</x:v>
      </x:c>
    </x:row>
    <x:row r="44" ht="42" customHeight="1">
      <x:c r="A44" s="110" t="str">
        <x:v>Item</x:v>
      </x:c>
      <x:c r="B44" s="110" t="str">
        <x:v>brand_model</x:v>
      </x:c>
      <x:c r="C44" s="110" t="str">
        <x:v>String(200)</x:v>
      </x:c>
      <x:c r="D44" s="110" t="str">
        <x:v>0..1</x:v>
      </x:c>
      <x:c r="E44" s="110" t="str">
        <x:v>Classification/agency need</x:v>
      </x:c>
      <x:c r="F44" s="110" t="str">
        <x:v>Business data</x:v>
      </x:c>
      <x:c r="G44" s="110" t="str">
        <x:v>Product master match</x:v>
      </x:c>
      <x:c r="H44" s="110" t="str">
        <x:v>Acme X200</x:v>
      </x:c>
      <x:c r="I44" s="110" t="str">
        <x:v>Internal canonical model</x:v>
      </x:c>
    </x:row>
    <x:row r="45" ht="42" customHeight="1">
      <x:c r="A45" s="111" t="str">
        <x:v>Item</x:v>
      </x:c>
      <x:c r="B45" s="111" t="str">
        <x:v>composition</x:v>
      </x:c>
      <x:c r="C45" s="111" t="str">
        <x:v>Component[]</x:v>
      </x:c>
      <x:c r="D45" s="111" t="str">
        <x:v>0..n</x:v>
      </x:c>
      <x:c r="E45" s="111" t="str">
        <x:v>Classification/regulation trigger</x:v>
      </x:c>
      <x:c r="F45" s="111" t="str">
        <x:v>Business confidential</x:v>
      </x:c>
      <x:c r="G45" s="111" t="str">
        <x:v>Material percentages when needed</x:v>
      </x:c>
      <x:c r="H45" s="111" t="str">
        <x:v>Steel 80%, polymer 20%</x:v>
      </x:c>
      <x:c r="I45" s="111" t="str">
        <x:v>Internal canonical model</x:v>
      </x:c>
    </x:row>
    <x:row r="46" ht="42" customHeight="1">
      <x:c r="A46" s="110" t="str">
        <x:v>Item</x:v>
      </x:c>
      <x:c r="B46" s="110" t="str">
        <x:v>condition</x:v>
      </x:c>
      <x:c r="C46" s="110" t="str">
        <x:v>Enum</x:v>
      </x:c>
      <x:c r="D46" s="110" t="str">
        <x:v>1</x:v>
      </x:c>
      <x:c r="E46" s="110" t="str">
        <x:v>Always</x:v>
      </x:c>
      <x:c r="F46" s="110" t="str">
        <x:v>Compliance</x:v>
      </x:c>
      <x:c r="G46" s="110" t="str">
        <x:v>new, used, repaired, returned, damaged</x:v>
      </x:c>
      <x:c r="H46" s="110" t="str">
        <x:v>new</x:v>
      </x:c>
      <x:c r="I46" s="110" t="str">
        <x:v>Internal canonical model</x:v>
      </x:c>
    </x:row>
    <x:row r="47" ht="42" customHeight="1">
      <x:c r="A47" s="111" t="str">
        <x:v>Item</x:v>
      </x:c>
      <x:c r="B47" s="111" t="str">
        <x:v>quantity</x:v>
      </x:c>
      <x:c r="C47" s="111" t="str">
        <x:v>Decimal</x:v>
      </x:c>
      <x:c r="D47" s="111" t="str">
        <x:v>1</x:v>
      </x:c>
      <x:c r="E47" s="111" t="str">
        <x:v>Always</x:v>
      </x:c>
      <x:c r="F47" s="111" t="str">
        <x:v>Business data</x:v>
      </x:c>
      <x:c r="G47" s="111" t="str">
        <x:v>&gt;0 and reconciles</x:v>
      </x:c>
      <x:c r="H47" s="111" t="str">
        <x:v>4</x:v>
      </x:c>
      <x:c r="I47" s="111" t="str">
        <x:v>Internal canonical model</x:v>
      </x:c>
    </x:row>
    <x:row r="48" ht="42" customHeight="1">
      <x:c r="A48" s="110" t="str">
        <x:v>Item</x:v>
      </x:c>
      <x:c r="B48" s="110" t="str">
        <x:v>quantity_uom</x:v>
      </x:c>
      <x:c r="C48" s="110" t="str">
        <x:v>Code</x:v>
      </x:c>
      <x:c r="D48" s="110" t="str">
        <x:v>1</x:v>
      </x:c>
      <x:c r="E48" s="110" t="str">
        <x:v>Always</x:v>
      </x:c>
      <x:c r="F48" s="110" t="str">
        <x:v>Business data</x:v>
      </x:c>
      <x:c r="G48" s="110" t="str">
        <x:v>Versioned UOM code</x:v>
      </x:c>
      <x:c r="H48" s="110" t="str">
        <x:v>EA</x:v>
      </x:c>
      <x:c r="I48" s="110" t="str">
        <x:v>Internal canonical model</x:v>
      </x:c>
    </x:row>
    <x:row r="49" ht="42" customHeight="1">
      <x:c r="A49" s="111" t="str">
        <x:v>Item</x:v>
      </x:c>
      <x:c r="B49" s="111" t="str">
        <x:v>hs6</x:v>
      </x:c>
      <x:c r="C49" s="111" t="str">
        <x:v>String(6)</x:v>
      </x:c>
      <x:c r="D49" s="111" t="str">
        <x:v>0..1</x:v>
      </x:c>
      <x:c r="E49" s="111" t="str">
        <x:v>Country/flow rule</x:v>
      </x:c>
      <x:c r="F49" s="111" t="str">
        <x:v>Compliance</x:v>
      </x:c>
      <x:c r="G49" s="111" t="str">
        <x:v>Six digits and nomenclature edition</x:v>
      </x:c>
      <x:c r="H49" s="111" t="str">
        <x:v>961700</x:v>
      </x:c>
      <x:c r="I49" s="111" t="str">
        <x:v>Internal canonical model</x:v>
      </x:c>
    </x:row>
    <x:row r="50" ht="42" customHeight="1">
      <x:c r="A50" s="110" t="str">
        <x:v>Item</x:v>
      </x:c>
      <x:c r="B50" s="110" t="str">
        <x:v>national_tariff_codes</x:v>
      </x:c>
      <x:c r="C50" s="110" t="str">
        <x:v>TypedCode[]</x:v>
      </x:c>
      <x:c r="D50" s="110" t="str">
        <x:v>0..n</x:v>
      </x:c>
      <x:c r="E50" s="110" t="str">
        <x:v>Origin/destination declaration</x:v>
      </x:c>
      <x:c r="F50" s="110" t="str">
        <x:v>Compliance</x:v>
      </x:c>
      <x:c r="G50" s="110" t="str">
        <x:v>Jurisdiction and validity</x:v>
      </x:c>
      <x:c r="H50" s="110" t="str">
        <x:v>US HTS 9617.00…</x:v>
      </x:c>
      <x:c r="I50" s="110" t="str">
        <x:v>Internal canonical model</x:v>
      </x:c>
    </x:row>
    <x:row r="51" ht="42" customHeight="1">
      <x:c r="A51" s="111" t="str">
        <x:v>Item</x:v>
      </x:c>
      <x:c r="B51" s="111" t="str">
        <x:v>export_control_codes</x:v>
      </x:c>
      <x:c r="C51" s="111" t="str">
        <x:v>TypedCode[]</x:v>
      </x:c>
      <x:c r="D51" s="111" t="str">
        <x:v>0..n</x:v>
      </x:c>
      <x:c r="E51" s="111" t="str">
        <x:v>Sensitive goods</x:v>
      </x:c>
      <x:c r="F51" s="111" t="str">
        <x:v>Highly confidential</x:v>
      </x:c>
      <x:c r="G51" s="111" t="str">
        <x:v>Jurisdiction, rationale, validity</x:v>
      </x:c>
      <x:c r="H51" s="111" t="str">
        <x:v>ECCN EAR99</x:v>
      </x:c>
      <x:c r="I51" s="111" t="str">
        <x:v>Internal canonical model</x:v>
      </x:c>
    </x:row>
    <x:row r="52" ht="42" customHeight="1">
      <x:c r="A52" s="110" t="str">
        <x:v>Item</x:v>
      </x:c>
      <x:c r="B52" s="110" t="str">
        <x:v>country_of_origin</x:v>
      </x:c>
      <x:c r="C52" s="110" t="str">
        <x:v>ISO2</x:v>
      </x:c>
      <x:c r="D52" s="110" t="str">
        <x:v>1</x:v>
      </x:c>
      <x:c r="E52" s="110" t="str">
        <x:v>International goods</x:v>
      </x:c>
      <x:c r="F52" s="110" t="str">
        <x:v>Compliance</x:v>
      </x:c>
      <x:c r="G52" s="110" t="str">
        <x:v>Production origin, not ship-from</x:v>
      </x:c>
      <x:c r="H52" s="110" t="str">
        <x:v>IN</x:v>
      </x:c>
      <x:c r="I52" s="110" t="str">
        <x:v>Internal canonical model</x:v>
      </x:c>
    </x:row>
    <x:row r="53" ht="42" customHeight="1">
      <x:c r="A53" s="111" t="str">
        <x:v>Item</x:v>
      </x:c>
      <x:c r="B53" s="111" t="str">
        <x:v>preferential_origin</x:v>
      </x:c>
      <x:c r="C53" s="111" t="str">
        <x:v>OriginDecision</x:v>
      </x:c>
      <x:c r="D53" s="111" t="str">
        <x:v>0..1</x:v>
      </x:c>
      <x:c r="E53" s="111" t="str">
        <x:v>Preference claim</x:v>
      </x:c>
      <x:c r="F53" s="111" t="str">
        <x:v>Compliance</x:v>
      </x:c>
      <x:c r="G53" s="111" t="str">
        <x:v>Agreement and evidence</x:v>
      </x:c>
      <x:c r="H53" s="111" t="str">
        <x:v>EU-UK TCA</x:v>
      </x:c>
      <x:c r="I53" s="111" t="str">
        <x:v>Internal canonical model</x:v>
      </x:c>
    </x:row>
    <x:row r="54" ht="42" customHeight="1">
      <x:c r="A54" s="110" t="str">
        <x:v>Item</x:v>
      </x:c>
      <x:c r="B54" s="110" t="str">
        <x:v>unit_price</x:v>
      </x:c>
      <x:c r="C54" s="110" t="str">
        <x:v>Money</x:v>
      </x:c>
      <x:c r="D54" s="110" t="str">
        <x:v>0..1</x:v>
      </x:c>
      <x:c r="E54" s="110" t="str">
        <x:v>Sale</x:v>
      </x:c>
      <x:c r="F54" s="110" t="str">
        <x:v>Business confidential</x:v>
      </x:c>
      <x:c r="G54" s="110" t="str">
        <x:v>Invoice reconciliation</x:v>
      </x:c>
      <x:c r="H54" s="110" t="str">
        <x:v>25 USD</x:v>
      </x:c>
      <x:c r="I54" s="110" t="str">
        <x:v>Internal canonical model</x:v>
      </x:c>
    </x:row>
    <x:row r="55" ht="42" customHeight="1">
      <x:c r="A55" s="111" t="str">
        <x:v>Item</x:v>
      </x:c>
      <x:c r="B55" s="111" t="str">
        <x:v>customs_value</x:v>
      </x:c>
      <x:c r="C55" s="111" t="str">
        <x:v>Money</x:v>
      </x:c>
      <x:c r="D55" s="111" t="str">
        <x:v>1</x:v>
      </x:c>
      <x:c r="E55" s="111" t="str">
        <x:v>Goods declaration</x:v>
      </x:c>
      <x:c r="F55" s="111" t="str">
        <x:v>Business confidential</x:v>
      </x:c>
      <x:c r="G55" s="111" t="str">
        <x:v>Method and adjustments required</x:v>
      </x:c>
      <x:c r="H55" s="111" t="str">
        <x:v>100 USD</x:v>
      </x:c>
      <x:c r="I55" s="111" t="str">
        <x:v>Internal canonical model</x:v>
      </x:c>
    </x:row>
    <x:row r="56" ht="42" customHeight="1">
      <x:c r="A56" s="110" t="str">
        <x:v>Item</x:v>
      </x:c>
      <x:c r="B56" s="110" t="str">
        <x:v>valuation_method</x:v>
      </x:c>
      <x:c r="C56" s="110" t="str">
        <x:v>Enum</x:v>
      </x:c>
      <x:c r="D56" s="110" t="str">
        <x:v>1</x:v>
      </x:c>
      <x:c r="E56" s="110" t="str">
        <x:v>Goods declaration</x:v>
      </x:c>
      <x:c r="F56" s="110" t="str">
        <x:v>Compliance</x:v>
      </x:c>
      <x:c r="G56" s="110" t="str">
        <x:v>Country-pack allowed method</x:v>
      </x:c>
      <x:c r="H56" s="110" t="str">
        <x:v>transaction_value</x:v>
      </x:c>
      <x:c r="I56" s="110" t="str">
        <x:v>Internal canonical model</x:v>
      </x:c>
    </x:row>
    <x:row r="57" ht="42" customHeight="1">
      <x:c r="A57" s="111" t="str">
        <x:v>Item</x:v>
      </x:c>
      <x:c r="B57" s="111" t="str">
        <x:v>regulatory_categories</x:v>
      </x:c>
      <x:c r="C57" s="111" t="str">
        <x:v>Enum[]</x:v>
      </x:c>
      <x:c r="D57" s="111" t="str">
        <x:v>0..n</x:v>
      </x:c>
      <x:c r="E57" s="111" t="str">
        <x:v>Product screening</x:v>
      </x:c>
      <x:c r="F57" s="111" t="str">
        <x:v>Compliance</x:v>
      </x:c>
      <x:c r="G57" s="111" t="str">
        <x:v>Food, drug, device, excise, CITES, art, etc.</x:v>
      </x:c>
      <x:c r="H57" s="111" t="str">
        <x:v>medical_device</x:v>
      </x:c>
      <x:c r="I57" s="111" t="str">
        <x:v>Internal canonical model</x:v>
      </x:c>
    </x:row>
    <x:row r="58" ht="42" customHeight="1">
      <x:c r="A58" s="110" t="str">
        <x:v>Item</x:v>
      </x:c>
      <x:c r="B58" s="110" t="str">
        <x:v>lot_batch</x:v>
      </x:c>
      <x:c r="C58" s="110" t="str">
        <x:v>String</x:v>
      </x:c>
      <x:c r="D58" s="110" t="str">
        <x:v>0..1</x:v>
      </x:c>
      <x:c r="E58" s="110" t="str">
        <x:v>Food/pharma/device</x:v>
      </x:c>
      <x:c r="F58" s="110" t="str">
        <x:v>Sensitive business data</x:v>
      </x:c>
      <x:c r="G58" s="110" t="str">
        <x:v>Traceable to inventory</x:v>
      </x:c>
      <x:c r="H58" s="110" t="str">
        <x:v>LOT202607</x:v>
      </x:c>
      <x:c r="I58" s="110" t="str">
        <x:v>Internal canonical model</x:v>
      </x:c>
    </x:row>
    <x:row r="59" ht="42" customHeight="1">
      <x:c r="A59" s="111" t="str">
        <x:v>Item</x:v>
      </x:c>
      <x:c r="B59" s="111" t="str">
        <x:v>serial_udi</x:v>
      </x:c>
      <x:c r="C59" s="111" t="str">
        <x:v>String[]</x:v>
      </x:c>
      <x:c r="D59" s="111" t="str">
        <x:v>0..n</x:v>
      </x:c>
      <x:c r="E59" s="111" t="str">
        <x:v>Device/high-value/temporary flow</x:v>
      </x:c>
      <x:c r="F59" s="111" t="str">
        <x:v>Sensitive business data</x:v>
      </x:c>
      <x:c r="G59" s="111" t="str">
        <x:v>Format/product match</x:v>
      </x:c>
      <x:c r="H59" s="111" t="str">
        <x:v>(01)…</x:v>
      </x:c>
      <x:c r="I59" s="111" t="str">
        <x:v>Internal canonical model</x:v>
      </x:c>
    </x:row>
    <x:row r="60" ht="42" customHeight="1">
      <x:c r="A60" s="110" t="str">
        <x:v>Item</x:v>
      </x:c>
      <x:c r="B60" s="110" t="str">
        <x:v>expiry_date</x:v>
      </x:c>
      <x:c r="C60" s="110" t="str">
        <x:v>Date</x:v>
      </x:c>
      <x:c r="D60" s="110" t="str">
        <x:v>0..1</x:v>
      </x:c>
      <x:c r="E60" s="110" t="str">
        <x:v>Shelf-life product</x:v>
      </x:c>
      <x:c r="F60" s="110" t="str">
        <x:v>Sensitive business data</x:v>
      </x:c>
      <x:c r="G60" s="110" t="str">
        <x:v>After ship; required remaining life</x:v>
      </x:c>
      <x:c r="H60" s="110" t="str">
        <x:v>2027-12-31</x:v>
      </x:c>
      <x:c r="I60" s="110" t="str">
        <x:v>Internal canonical model</x:v>
      </x:c>
    </x:row>
    <x:row r="61" ht="42" customHeight="1">
      <x:c r="A61" s="111" t="str">
        <x:v>DGProfile</x:v>
      </x:c>
      <x:c r="B61" s="111" t="str">
        <x:v>un_number</x:v>
      </x:c>
      <x:c r="C61" s="111" t="str">
        <x:v>String</x:v>
      </x:c>
      <x:c r="D61" s="111" t="str">
        <x:v>1</x:v>
      </x:c>
      <x:c r="E61" s="111" t="str">
        <x:v>DG</x:v>
      </x:c>
      <x:c r="F61" s="111" t="str">
        <x:v>Compliance</x:v>
      </x:c>
      <x:c r="G61" s="111" t="str">
        <x:v>UN/ID plus edition</x:v>
      </x:c>
      <x:c r="H61" s="111" t="str">
        <x:v>UN3481</x:v>
      </x:c>
      <x:c r="I61" s="111" t="str">
        <x:v>Internal canonical model</x:v>
      </x:c>
    </x:row>
    <x:row r="62" ht="42" customHeight="1">
      <x:c r="A62" s="110" t="str">
        <x:v>DGProfile</x:v>
      </x:c>
      <x:c r="B62" s="110" t="str">
        <x:v>proper_shipping_name</x:v>
      </x:c>
      <x:c r="C62" s="110" t="str">
        <x:v>String</x:v>
      </x:c>
      <x:c r="D62" s="110" t="str">
        <x:v>1</x:v>
      </x:c>
      <x:c r="E62" s="110" t="str">
        <x:v>DG</x:v>
      </x:c>
      <x:c r="F62" s="110" t="str">
        <x:v>Compliance</x:v>
      </x:c>
      <x:c r="G62" s="110" t="str">
        <x:v>Edition/variation exact</x:v>
      </x:c>
      <x:c r="H62" s="110" t="str">
        <x:v>Lithium ion batteries contained in equipment</x:v>
      </x:c>
      <x:c r="I62" s="110" t="str">
        <x:v>Internal canonical model</x:v>
      </x:c>
    </x:row>
    <x:row r="63" ht="42" customHeight="1">
      <x:c r="A63" s="111" t="str">
        <x:v>DGProfile</x:v>
      </x:c>
      <x:c r="B63" s="111" t="str">
        <x:v>hazard_class</x:v>
      </x:c>
      <x:c r="C63" s="111" t="str">
        <x:v>String</x:v>
      </x:c>
      <x:c r="D63" s="111" t="str">
        <x:v>1</x:v>
      </x:c>
      <x:c r="E63" s="111" t="str">
        <x:v>DG</x:v>
      </x:c>
      <x:c r="F63" s="111" t="str">
        <x:v>Compliance</x:v>
      </x:c>
      <x:c r="G63" s="111" t="str">
        <x:v>Valid class/division</x:v>
      </x:c>
      <x:c r="H63" s="111" t="str">
        <x:v>9</x:v>
      </x:c>
      <x:c r="I63" s="111" t="str">
        <x:v>Internal canonical model</x:v>
      </x:c>
    </x:row>
    <x:row r="64" ht="42" customHeight="1">
      <x:c r="A64" s="110" t="str">
        <x:v>DGProfile</x:v>
      </x:c>
      <x:c r="B64" s="110" t="str">
        <x:v>packing_group</x:v>
      </x:c>
      <x:c r="C64" s="110" t="str">
        <x:v>Enum</x:v>
      </x:c>
      <x:c r="D64" s="110" t="str">
        <x:v>0..1</x:v>
      </x:c>
      <x:c r="E64" s="110" t="str">
        <x:v>When assigned</x:v>
      </x:c>
      <x:c r="F64" s="110" t="str">
        <x:v>Compliance</x:v>
      </x:c>
      <x:c r="G64" s="110" t="str">
        <x:v>I, II, III</x:v>
      </x:c>
      <x:c r="H64" s="110" t="str">
        <x:v>II</x:v>
      </x:c>
      <x:c r="I64" s="110" t="str">
        <x:v>Internal canonical model</x:v>
      </x:c>
    </x:row>
    <x:row r="65" ht="42" customHeight="1">
      <x:c r="A65" s="111" t="str">
        <x:v>DGProfile</x:v>
      </x:c>
      <x:c r="B65" s="111" t="str">
        <x:v>packing_instruction</x:v>
      </x:c>
      <x:c r="C65" s="111" t="str">
        <x:v>String</x:v>
      </x:c>
      <x:c r="D65" s="111" t="str">
        <x:v>1</x:v>
      </x:c>
      <x:c r="E65" s="111" t="str">
        <x:v>Air DG</x:v>
      </x:c>
      <x:c r="F65" s="111" t="str">
        <x:v>Compliance</x:v>
      </x:c>
      <x:c r="G65" s="111" t="str">
        <x:v>Edition/operator matched</x:v>
      </x:c>
      <x:c r="H65" s="111" t="str">
        <x:v>PI967</x:v>
      </x:c>
      <x:c r="I65" s="111" t="str">
        <x:v>Internal canonical model</x:v>
      </x:c>
    </x:row>
    <x:row r="66" ht="42" customHeight="1">
      <x:c r="A66" s="110" t="str">
        <x:v>DGProfile</x:v>
      </x:c>
      <x:c r="B66" s="110" t="str">
        <x:v>battery_attributes</x:v>
      </x:c>
      <x:c r="C66" s="110" t="str">
        <x:v>Object</x:v>
      </x:c>
      <x:c r="D66" s="110" t="str">
        <x:v>0..1</x:v>
      </x:c>
      <x:c r="E66" s="110" t="str">
        <x:v>Lithium battery</x:v>
      </x:c>
      <x:c r="F66" s="110" t="str">
        <x:v>Highly confidential</x:v>
      </x:c>
      <x:c r="G66" s="110" t="str">
        <x:v>Chemistry, Wh/LC, configuration, SoC, condition</x:v>
      </x:c>
      <x:c r="H66" s="110" t="str">
        <x:v>100 Wh, contained</x:v>
      </x:c>
      <x:c r="I66" s="110" t="str">
        <x:v>Internal canonical model</x:v>
      </x:c>
    </x:row>
    <x:row r="67" ht="42" customHeight="1">
      <x:c r="A67" s="111" t="str">
        <x:v>DGProfile</x:v>
      </x:c>
      <x:c r="B67" s="111" t="str">
        <x:v>un38_3_test_summary</x:v>
      </x:c>
      <x:c r="C67" s="111" t="str">
        <x:v>DocumentRef</x:v>
      </x:c>
      <x:c r="D67" s="111" t="str">
        <x:v>0..1</x:v>
      </x:c>
      <x:c r="E67" s="111" t="str">
        <x:v>When required</x:v>
      </x:c>
      <x:c r="F67" s="111" t="str">
        <x:v>Highly confidential</x:v>
      </x:c>
      <x:c r="G67" s="111" t="str">
        <x:v>Manufacturer/model/version linkage</x:v>
      </x:c>
      <x:c r="H67" s="111" t="str">
        <x:v>DOC-…</x:v>
      </x:c>
      <x:c r="I67" s="111" t="str">
        <x:v>Internal canonical model</x:v>
      </x:c>
    </x:row>
    <x:row r="68" ht="42" customHeight="1">
      <x:c r="A68" s="110" t="str">
        <x:v>Package</x:v>
      </x:c>
      <x:c r="B68" s="110" t="str">
        <x:v>package_id</x:v>
      </x:c>
      <x:c r="C68" s="110" t="str">
        <x:v>UUID</x:v>
      </x:c>
      <x:c r="D68" s="110" t="str">
        <x:v>1</x:v>
      </x:c>
      <x:c r="E68" s="110" t="str">
        <x:v>Always</x:v>
      </x:c>
      <x:c r="F68" s="110" t="str">
        <x:v>Internal</x:v>
      </x:c>
      <x:c r="G68" s="110" t="str">
        <x:v>Unique and scan-safe</x:v>
      </x:c>
      <x:c r="H68" s="110" t="str">
        <x:v>018f…</x:v>
      </x:c>
      <x:c r="I68" s="110" t="str">
        <x:v>Internal canonical model</x:v>
      </x:c>
    </x:row>
    <x:row r="69" ht="42" customHeight="1">
      <x:c r="A69" s="111" t="str">
        <x:v>Package</x:v>
      </x:c>
      <x:c r="B69" s="111" t="str">
        <x:v>package_type</x:v>
      </x:c>
      <x:c r="C69" s="111" t="str">
        <x:v>Code</x:v>
      </x:c>
      <x:c r="D69" s="111" t="str">
        <x:v>1</x:v>
      </x:c>
      <x:c r="E69" s="111" t="str">
        <x:v>Always</x:v>
      </x:c>
      <x:c r="F69" s="111" t="str">
        <x:v>Business data</x:v>
      </x:c>
      <x:c r="G69" s="111" t="str">
        <x:v>Carrier code mapping</x:v>
      </x:c>
      <x:c r="H69" s="111" t="str">
        <x:v>customer_packaging</x:v>
      </x:c>
      <x:c r="I69" s="111" t="str">
        <x:v>Internal canonical model</x:v>
      </x:c>
    </x:row>
    <x:row r="70" ht="42" customHeight="1">
      <x:c r="A70" s="110" t="str">
        <x:v>Package</x:v>
      </x:c>
      <x:c r="B70" s="110" t="str">
        <x:v>dimensions</x:v>
      </x:c>
      <x:c r="C70" s="110" t="str">
        <x:v>Measurement3D</x:v>
      </x:c>
      <x:c r="D70" s="110" t="str">
        <x:v>1</x:v>
      </x:c>
      <x:c r="E70" s="110" t="str">
        <x:v>Parcel/air</x:v>
      </x:c>
      <x:c r="F70" s="110" t="str">
        <x:v>Business data</x:v>
      </x:c>
      <x:c r="G70" s="110" t="str">
        <x:v>&gt;0; calibrated source</x:v>
      </x:c>
      <x:c r="H70" s="110" t="str">
        <x:v>40x30x20 cm</x:v>
      </x:c>
      <x:c r="I70" s="110" t="str">
        <x:v>Internal canonical model</x:v>
      </x:c>
    </x:row>
    <x:row r="71" ht="42" customHeight="1">
      <x:c r="A71" s="111" t="str">
        <x:v>Package</x:v>
      </x:c>
      <x:c r="B71" s="111" t="str">
        <x:v>gross_weight</x:v>
      </x:c>
      <x:c r="C71" s="111" t="str">
        <x:v>Measurement</x:v>
      </x:c>
      <x:c r="D71" s="111" t="str">
        <x:v>1</x:v>
      </x:c>
      <x:c r="E71" s="111" t="str">
        <x:v>Always</x:v>
      </x:c>
      <x:c r="F71" s="111" t="str">
        <x:v>Compliance</x:v>
      </x:c>
      <x:c r="G71" s="111" t="str">
        <x:v>Reconcile; calibrated source</x:v>
      </x:c>
      <x:c r="H71" s="111" t="str">
        <x:v>4.2 kg</x:v>
      </x:c>
      <x:c r="I71" s="111" t="str">
        <x:v>Internal canonical model</x:v>
      </x:c>
    </x:row>
    <x:row r="72" ht="42" customHeight="1">
      <x:c r="A72" s="110" t="str">
        <x:v>Package</x:v>
      </x:c>
      <x:c r="B72" s="110" t="str">
        <x:v>net_goods_weight</x:v>
      </x:c>
      <x:c r="C72" s="110" t="str">
        <x:v>Measurement</x:v>
      </x:c>
      <x:c r="D72" s="110" t="str">
        <x:v>1</x:v>
      </x:c>
      <x:c r="E72" s="110" t="str">
        <x:v>Customs/DG</x:v>
      </x:c>
      <x:c r="F72" s="110" t="str">
        <x:v>Compliance</x:v>
      </x:c>
      <x:c r="G72" s="110" t="str">
        <x:v>Line/package reconciliation</x:v>
      </x:c>
      <x:c r="H72" s="110" t="str">
        <x:v>3.8 kg</x:v>
      </x:c>
      <x:c r="I72" s="110" t="str">
        <x:v>Internal canonical model</x:v>
      </x:c>
    </x:row>
    <x:row r="73" ht="42" customHeight="1">
      <x:c r="A73" s="111" t="str">
        <x:v>Package</x:v>
      </x:c>
      <x:c r="B73" s="111" t="str">
        <x:v>contents</x:v>
      </x:c>
      <x:c r="C73" s="111" t="str">
        <x:v>PackageLine[]</x:v>
      </x:c>
      <x:c r="D73" s="111" t="str">
        <x:v>1..n</x:v>
      </x:c>
      <x:c r="E73" s="111" t="str">
        <x:v>Goods</x:v>
      </x:c>
      <x:c r="F73" s="111" t="str">
        <x:v>Compliance</x:v>
      </x:c>
      <x:c r="G73" s="111" t="str">
        <x:v>Line/lot/serial quantities</x:v>
      </x:c>
      <x:c r="H73" s="111" t="str">
        <x:v>Line 1 x 4</x:v>
      </x:c>
      <x:c r="I73" s="111" t="str">
        <x:v>Internal canonical model</x:v>
      </x:c>
    </x:row>
    <x:row r="74" ht="42" customHeight="1">
      <x:c r="A74" s="110" t="str">
        <x:v>Package</x:v>
      </x:c>
      <x:c r="B74" s="110" t="str">
        <x:v>marks_labels</x:v>
      </x:c>
      <x:c r="C74" s="110" t="str">
        <x:v>LabelRef[]</x:v>
      </x:c>
      <x:c r="D74" s="110" t="str">
        <x:v>0..n</x:v>
      </x:c>
      <x:c r="E74" s="110" t="str">
        <x:v>Regulated/service</x:v>
      </x:c>
      <x:c r="F74" s="110" t="str">
        <x:v>Compliance</x:v>
      </x:c>
      <x:c r="G74" s="110" t="str">
        <x:v>Template/version/verification</x:v>
      </x:c>
      <x:c r="H74" s="110" t="str">
        <x:v>Lithium mark</x:v>
      </x:c>
      <x:c r="I74" s="110" t="str">
        <x:v>Internal canonical model</x:v>
      </x:c>
    </x:row>
    <x:row r="75" ht="42" customHeight="1">
      <x:c r="A75" s="111" t="str">
        <x:v>Package</x:v>
      </x:c>
      <x:c r="B75" s="111" t="str">
        <x:v>sensor_ids</x:v>
      </x:c>
      <x:c r="C75" s="111" t="str">
        <x:v>String[]</x:v>
      </x:c>
      <x:c r="D75" s="111" t="str">
        <x:v>0..n</x:v>
      </x:c>
      <x:c r="E75" s="111" t="str">
        <x:v>Temperature/high value</x:v>
      </x:c>
      <x:c r="F75" s="111" t="str">
        <x:v>Sensitive business data</x:v>
      </x:c>
      <x:c r="G75" s="111" t="str">
        <x:v>Inventory/activation match</x:v>
      </x:c>
      <x:c r="H75" s="111" t="str">
        <x:v>T123</x:v>
      </x:c>
      <x:c r="I75" s="111" t="str">
        <x:v>Internal canonical model</x:v>
      </x:c>
    </x:row>
    <x:row r="76" ht="42" customHeight="1">
      <x:c r="A76" s="110" t="str">
        <x:v>Package</x:v>
      </x:c>
      <x:c r="B76" s="110" t="str">
        <x:v>seal_id</x:v>
      </x:c>
      <x:c r="C76" s="110" t="str">
        <x:v>String</x:v>
      </x:c>
      <x:c r="D76" s="110" t="str">
        <x:v>0..1</x:v>
      </x:c>
      <x:c r="E76" s="110" t="str">
        <x:v>High-value/air</x:v>
      </x:c>
      <x:c r="F76" s="110" t="str">
        <x:v>Sensitive business data</x:v>
      </x:c>
      <x:c r="G76" s="110" t="str">
        <x:v>Scan/format</x:v>
      </x:c>
      <x:c r="H76" s="110" t="str">
        <x:v>SEAL123</x:v>
      </x:c>
      <x:c r="I76" s="110" t="str">
        <x:v>Internal canonical model</x:v>
      </x:c>
    </x:row>
    <x:row r="77" ht="42" customHeight="1">
      <x:c r="A77" s="111" t="str">
        <x:v>Declaration</x:v>
      </x:c>
      <x:c r="B77" s="111" t="str">
        <x:v>declaration_id</x:v>
      </x:c>
      <x:c r="C77" s="111" t="str">
        <x:v>UUID</x:v>
      </x:c>
      <x:c r="D77" s="111" t="str">
        <x:v>1</x:v>
      </x:c>
      <x:c r="E77" s="111" t="str">
        <x:v>Customs flow</x:v>
      </x:c>
      <x:c r="F77" s="111" t="str">
        <x:v>Compliance</x:v>
      </x:c>
      <x:c r="G77" s="111" t="str">
        <x:v>Internal aggregate</x:v>
      </x:c>
      <x:c r="H77" s="111" t="str">
        <x:v>018f…</x:v>
      </x:c>
      <x:c r="I77" s="111" t="str">
        <x:v>Internal canonical model</x:v>
      </x:c>
    </x:row>
    <x:row r="78" ht="42" customHeight="1">
      <x:c r="A78" s="110" t="str">
        <x:v>Declaration</x:v>
      </x:c>
      <x:c r="B78" s="110" t="str">
        <x:v>external_status</x:v>
      </x:c>
      <x:c r="C78" s="110" t="str">
        <x:v>Enum</x:v>
      </x:c>
      <x:c r="D78" s="110" t="str">
        <x:v>1</x:v>
      </x:c>
      <x:c r="E78" s="110" t="str">
        <x:v>After submit</x:v>
      </x:c>
      <x:c r="F78" s="110" t="str">
        <x:v>Compliance</x:v>
      </x:c>
      <x:c r="G78" s="110" t="str">
        <x:v>Pending/accepted/rejected/referred/cancelled/unknown</x:v>
      </x:c>
      <x:c r="H78" s="110" t="str">
        <x:v>accepted</x:v>
      </x:c>
      <x:c r="I78" s="110" t="str">
        <x:v>Internal canonical model</x:v>
      </x:c>
    </x:row>
    <x:row r="79" ht="42" customHeight="1">
      <x:c r="A79" s="111" t="str">
        <x:v>Declaration</x:v>
      </x:c>
      <x:c r="B79" s="111" t="str">
        <x:v>external_id</x:v>
      </x:c>
      <x:c r="C79" s="111" t="str">
        <x:v>TypedReference</x:v>
      </x:c>
      <x:c r="D79" s="111" t="str">
        <x:v>0..1</x:v>
      </x:c>
      <x:c r="E79" s="111" t="str">
        <x:v>External response</x:v>
      </x:c>
      <x:c r="F79" s="111" t="str">
        <x:v>Compliance</x:v>
      </x:c>
      <x:c r="G79" s="111" t="str">
        <x:v>Provider/authority type</x:v>
      </x:c>
      <x:c r="H79" s="111" t="str">
        <x:v>MRN…</x:v>
      </x:c>
      <x:c r="I79" s="111" t="str">
        <x:v>Internal canonical model</x:v>
      </x:c>
    </x:row>
    <x:row r="80" ht="42" customHeight="1">
      <x:c r="A80" s="110" t="str">
        <x:v>Declaration</x:v>
      </x:c>
      <x:c r="B80" s="110" t="str">
        <x:v>request_hash</x:v>
      </x:c>
      <x:c r="C80" s="110" t="str">
        <x:v>SHA-256</x:v>
      </x:c>
      <x:c r="D80" s="110" t="str">
        <x:v>1</x:v>
      </x:c>
      <x:c r="E80" s="110" t="str">
        <x:v>Submission</x:v>
      </x:c>
      <x:c r="F80" s="110" t="str">
        <x:v>Security metadata</x:v>
      </x:c>
      <x:c r="G80" s="110" t="str">
        <x:v>Canonical payload hash</x:v>
      </x:c>
      <x:c r="H80" s="110" t="str">
        <x:v>hex</x:v>
      </x:c>
      <x:c r="I80" s="110" t="str">
        <x:v>Internal canonical model</x:v>
      </x:c>
    </x:row>
    <x:row r="81" ht="42" customHeight="1">
      <x:c r="A81" s="111" t="str">
        <x:v>Declaration</x:v>
      </x:c>
      <x:c r="B81" s="111" t="str">
        <x:v>adapter_version</x:v>
      </x:c>
      <x:c r="C81" s="111" t="str">
        <x:v>String</x:v>
      </x:c>
      <x:c r="D81" s="111" t="str">
        <x:v>1</x:v>
      </x:c>
      <x:c r="E81" s="111" t="str">
        <x:v>Submission</x:v>
      </x:c>
      <x:c r="F81" s="111" t="str">
        <x:v>Audit</x:v>
      </x:c>
      <x:c r="G81" s="111" t="str">
        <x:v>Exact mapping/schema</x:v>
      </x:c>
      <x:c r="H81" s="111" t="str">
        <x:v>fedex-ship@3.4</x:v>
      </x:c>
      <x:c r="I81" s="111" t="str">
        <x:v>Internal canonical model</x:v>
      </x:c>
    </x:row>
    <x:row r="82" ht="42" customHeight="1">
      <x:c r="A82" s="110" t="str">
        <x:v>Document</x:v>
      </x:c>
      <x:c r="B82" s="110" t="str">
        <x:v>document_id</x:v>
      </x:c>
      <x:c r="C82" s="110" t="str">
        <x:v>UUID</x:v>
      </x:c>
      <x:c r="D82" s="110" t="str">
        <x:v>1</x:v>
      </x:c>
      <x:c r="E82" s="110" t="str">
        <x:v>Always</x:v>
      </x:c>
      <x:c r="F82" s="110" t="str">
        <x:v>Internal</x:v>
      </x:c>
      <x:c r="G82" s="110" t="str">
        <x:v>Tenant scoped</x:v>
      </x:c>
      <x:c r="H82" s="110" t="str">
        <x:v>018f…</x:v>
      </x:c>
      <x:c r="I82" s="110" t="str">
        <x:v>Internal canonical model</x:v>
      </x:c>
    </x:row>
    <x:row r="83" ht="42" customHeight="1">
      <x:c r="A83" s="111" t="str">
        <x:v>Document</x:v>
      </x:c>
      <x:c r="B83" s="111" t="str">
        <x:v>document_type</x:v>
      </x:c>
      <x:c r="C83" s="111" t="str">
        <x:v>Enum</x:v>
      </x:c>
      <x:c r="D83" s="111" t="str">
        <x:v>1</x:v>
      </x:c>
      <x:c r="E83" s="111" t="str">
        <x:v>Always</x:v>
      </x:c>
      <x:c r="F83" s="111" t="str">
        <x:v>Compliance</x:v>
      </x:c>
      <x:c r="G83" s="111" t="str">
        <x:v>Controlled vocabulary</x:v>
      </x:c>
      <x:c r="H83" s="111" t="str">
        <x:v>commercial_invoice</x:v>
      </x:c>
      <x:c r="I83" s="111" t="str">
        <x:v>Internal canonical model</x:v>
      </x:c>
    </x:row>
    <x:row r="84" ht="42" customHeight="1">
      <x:c r="A84" s="110" t="str">
        <x:v>Document</x:v>
      </x:c>
      <x:c r="B84" s="110" t="str">
        <x:v>template_version</x:v>
      </x:c>
      <x:c r="C84" s="110" t="str">
        <x:v>String</x:v>
      </x:c>
      <x:c r="D84" s="110" t="str">
        <x:v>1</x:v>
      </x:c>
      <x:c r="E84" s="110" t="str">
        <x:v>Generated document</x:v>
      </x:c>
      <x:c r="F84" s="110" t="str">
        <x:v>Audit</x:v>
      </x:c>
      <x:c r="G84" s="110" t="str">
        <x:v>Effective template</x:v>
      </x:c>
      <x:c r="H84" s="110" t="str">
        <x:v>CI-EU-7</x:v>
      </x:c>
      <x:c r="I84" s="110" t="str">
        <x:v>Internal canonical model</x:v>
      </x:c>
    </x:row>
    <x:row r="85" ht="42" customHeight="1">
      <x:c r="A85" s="111" t="str">
        <x:v>Document</x:v>
      </x:c>
      <x:c r="B85" s="111" t="str">
        <x:v>content_hash</x:v>
      </x:c>
      <x:c r="C85" s="111" t="str">
        <x:v>SHA-256</x:v>
      </x:c>
      <x:c r="D85" s="111" t="str">
        <x:v>1</x:v>
      </x:c>
      <x:c r="E85" s="111" t="str">
        <x:v>Finalized document</x:v>
      </x:c>
      <x:c r="F85" s="111" t="str">
        <x:v>Security metadata</x:v>
      </x:c>
      <x:c r="G85" s="111" t="str">
        <x:v>Tamper evidence</x:v>
      </x:c>
      <x:c r="H85" s="111" t="str">
        <x:v>hex</x:v>
      </x:c>
      <x:c r="I85" s="111" t="str">
        <x:v>Internal canonical model</x:v>
      </x:c>
    </x:row>
    <x:row r="86" ht="42" customHeight="1">
      <x:c r="A86" s="110" t="str">
        <x:v>Document</x:v>
      </x:c>
      <x:c r="B86" s="110" t="str">
        <x:v>signature</x:v>
      </x:c>
      <x:c r="C86" s="110" t="str">
        <x:v>SignatureEvidence</x:v>
      </x:c>
      <x:c r="D86" s="110" t="str">
        <x:v>0..1</x:v>
      </x:c>
      <x:c r="E86" s="110" t="str">
        <x:v>When signed</x:v>
      </x:c>
      <x:c r="F86" s="110" t="str">
        <x:v>Highly confidential</x:v>
      </x:c>
      <x:c r="G86" s="110" t="str">
        <x:v>Signer/method/time/intent</x:v>
      </x:c>
      <x:c r="H86" s="110" t="str">
        <x:v>Object</x:v>
      </x:c>
      <x:c r="I86" s="110" t="str">
        <x:v>Internal canonical model</x:v>
      </x:c>
    </x:row>
    <x:row r="87" ht="42" customHeight="1">
      <x:c r="A87" s="111" t="str">
        <x:v>Approval</x:v>
      </x:c>
      <x:c r="B87" s="111" t="str">
        <x:v>approval_id</x:v>
      </x:c>
      <x:c r="C87" s="111" t="str">
        <x:v>UUID</x:v>
      </x:c>
      <x:c r="D87" s="111" t="str">
        <x:v>1</x:v>
      </x:c>
      <x:c r="E87" s="111" t="str">
        <x:v>Manual approval</x:v>
      </x:c>
      <x:c r="F87" s="111" t="str">
        <x:v>Internal</x:v>
      </x:c>
      <x:c r="G87" s="111" t="str">
        <x:v>Immutable</x:v>
      </x:c>
      <x:c r="H87" s="111" t="str">
        <x:v>018f…</x:v>
      </x:c>
      <x:c r="I87" s="111" t="str">
        <x:v>Internal canonical model</x:v>
      </x:c>
    </x:row>
    <x:row r="88" ht="42" customHeight="1">
      <x:c r="A88" s="110" t="str">
        <x:v>Approval</x:v>
      </x:c>
      <x:c r="B88" s="110" t="str">
        <x:v>approval_type</x:v>
      </x:c>
      <x:c r="C88" s="110" t="str">
        <x:v>Enum</x:v>
      </x:c>
      <x:c r="D88" s="110" t="str">
        <x:v>1</x:v>
      </x:c>
      <x:c r="E88" s="110" t="str">
        <x:v>Manual approval</x:v>
      </x:c>
      <x:c r="F88" s="110" t="str">
        <x:v>Compliance</x:v>
      </x:c>
      <x:c r="G88" s="110" t="str">
        <x:v>DG, screening, export, quality, release</x:v>
      </x:c>
      <x:c r="H88" s="110" t="str">
        <x:v>dg_release</x:v>
      </x:c>
      <x:c r="I88" s="110" t="str">
        <x:v>Internal canonical model</x:v>
      </x:c>
    </x:row>
    <x:row r="89" ht="42" customHeight="1">
      <x:c r="A89" s="111" t="str">
        <x:v>Approval</x:v>
      </x:c>
      <x:c r="B89" s="111" t="str">
        <x:v>scope_hash</x:v>
      </x:c>
      <x:c r="C89" s="111" t="str">
        <x:v>SHA-256</x:v>
      </x:c>
      <x:c r="D89" s="111" t="str">
        <x:v>1</x:v>
      </x:c>
      <x:c r="E89" s="111" t="str">
        <x:v>Manual approval</x:v>
      </x:c>
      <x:c r="F89" s="111" t="str">
        <x:v>Security metadata</x:v>
      </x:c>
      <x:c r="G89" s="111" t="str">
        <x:v>Shipment/package/rule scope</x:v>
      </x:c>
      <x:c r="H89" s="111" t="str">
        <x:v>hex</x:v>
      </x:c>
      <x:c r="I89" s="111" t="str">
        <x:v>Internal canonical model</x:v>
      </x:c>
    </x:row>
    <x:row r="90" ht="42" customHeight="1">
      <x:c r="A90" s="110" t="str">
        <x:v>Approval</x:v>
      </x:c>
      <x:c r="B90" s="110" t="str">
        <x:v>reviewer_credential</x:v>
      </x:c>
      <x:c r="C90" s="110" t="str">
        <x:v>CredentialRef</x:v>
      </x:c>
      <x:c r="D90" s="110" t="str">
        <x:v>1</x:v>
      </x:c>
      <x:c r="E90" s="110" t="str">
        <x:v>Certified approval</x:v>
      </x:c>
      <x:c r="F90" s="110" t="str">
        <x:v>Highly confidential</x:v>
      </x:c>
      <x:c r="G90" s="110" t="str">
        <x:v>Valid and in scope</x:v>
      </x:c>
      <x:c r="H90" s="110" t="str">
        <x:v>DG cert</x:v>
      </x:c>
      <x:c r="I90" s="110" t="str">
        <x:v>Internal canonical model</x:v>
      </x:c>
    </x:row>
    <x:row r="91" ht="42" customHeight="1">
      <x:c r="A91" s="111" t="str">
        <x:v>Approval</x:v>
      </x:c>
      <x:c r="B91" s="111" t="str">
        <x:v>expires_at</x:v>
      </x:c>
      <x:c r="C91" s="111" t="str">
        <x:v>TimestampTZ</x:v>
      </x:c>
      <x:c r="D91" s="111" t="str">
        <x:v>0..1</x:v>
      </x:c>
      <x:c r="E91" s="111" t="str">
        <x:v>Time-limited approval</x:v>
      </x:c>
      <x:c r="F91" s="111" t="str">
        <x:v>Compliance</x:v>
      </x:c>
      <x:c r="G91" s="111" t="str">
        <x:v>Before release</x:v>
      </x:c>
      <x:c r="H91" s="111" t="str">
        <x:v>timestamp</x:v>
      </x:c>
      <x:c r="I91" s="111" t="str">
        <x:v>Internal canonical model</x:v>
      </x:c>
    </x:row>
    <x:row r="92" ht="42" customHeight="1">
      <x:c r="A92" s="110" t="str">
        <x:v>Rule</x:v>
      </x:c>
      <x:c r="B92" s="110" t="str">
        <x:v>rule_id</x:v>
      </x:c>
      <x:c r="C92" s="110" t="str">
        <x:v>String</x:v>
      </x:c>
      <x:c r="D92" s="110" t="str">
        <x:v>1</x:v>
      </x:c>
      <x:c r="E92" s="110" t="str">
        <x:v>Always</x:v>
      </x:c>
      <x:c r="F92" s="110" t="str">
        <x:v>Compliance</x:v>
      </x:c>
      <x:c r="G92" s="110" t="str">
        <x:v>Stable ID</x:v>
      </x:c>
      <x:c r="H92" s="110" t="str">
        <x:v>EU-LVI-2026-001</x:v>
      </x:c>
      <x:c r="I92" s="110" t="str">
        <x:v>Internal canonical model</x:v>
      </x:c>
    </x:row>
    <x:row r="93" ht="42" customHeight="1">
      <x:c r="A93" s="111" t="str">
        <x:v>Rule</x:v>
      </x:c>
      <x:c r="B93" s="111" t="str">
        <x:v>jurisdiction_scope</x:v>
      </x:c>
      <x:c r="C93" s="111" t="str">
        <x:v>Scope</x:v>
      </x:c>
      <x:c r="D93" s="111" t="str">
        <x:v>1</x:v>
      </x:c>
      <x:c r="E93" s="111" t="str">
        <x:v>Always</x:v>
      </x:c>
      <x:c r="F93" s="111" t="str">
        <x:v>Compliance</x:v>
      </x:c>
      <x:c r="G93" s="111" t="str">
        <x:v>Nexus and territory codes</x:v>
      </x:c>
      <x:c r="H93" s="111" t="str">
        <x:v>EU customs territory</x:v>
      </x:c>
      <x:c r="I93" s="111" t="str">
        <x:v>Internal canonical model</x:v>
      </x:c>
    </x:row>
    <x:row r="94" ht="42" customHeight="1">
      <x:c r="A94" s="110" t="str">
        <x:v>Rule</x:v>
      </x:c>
      <x:c r="B94" s="110" t="str">
        <x:v>effective_interval</x:v>
      </x:c>
      <x:c r="C94" s="110" t="str">
        <x:v>IntervalTZ</x:v>
      </x:c>
      <x:c r="D94" s="110" t="str">
        <x:v>1</x:v>
      </x:c>
      <x:c r="E94" s="110" t="str">
        <x:v>Always</x:v>
      </x:c>
      <x:c r="F94" s="110" t="str">
        <x:v>Compliance</x:v>
      </x:c>
      <x:c r="G94" s="110" t="str">
        <x:v>Unambiguous half-open interval</x:v>
      </x:c>
      <x:c r="H94" s="110" t="str">
        <x:v>[2026-07-01,2028-07-01)</x:v>
      </x:c>
      <x:c r="I94" s="110" t="str">
        <x:v>Internal canonical model</x:v>
      </x:c>
    </x:row>
    <x:row r="95" ht="42" customHeight="1">
      <x:c r="A95" s="111" t="str">
        <x:v>Rule</x:v>
      </x:c>
      <x:c r="B95" s="111" t="str">
        <x:v>source_refs</x:v>
      </x:c>
      <x:c r="C95" s="111" t="str">
        <x:v>SourceRef[]</x:v>
      </x:c>
      <x:c r="D95" s="111" t="str">
        <x:v>1..n</x:v>
      </x:c>
      <x:c r="E95" s="111" t="str">
        <x:v>Always</x:v>
      </x:c>
      <x:c r="F95" s="111" t="str">
        <x:v>Compliance</x:v>
      </x:c>
      <x:c r="G95" s="111" t="str">
        <x:v>Official URL/provision/checksum</x:v>
      </x:c>
      <x:c r="H95" s="111" t="str">
        <x:v>SRC-EU-002</x:v>
      </x:c>
      <x:c r="I95" s="111" t="str">
        <x:v>Internal canonical model</x:v>
      </x:c>
    </x:row>
    <x:row r="96" ht="42" customHeight="1">
      <x:c r="A96" s="110" t="str">
        <x:v>Rule</x:v>
      </x:c>
      <x:c r="B96" s="110" t="str">
        <x:v>decision_expression</x:v>
      </x:c>
      <x:c r="C96" s="110" t="str">
        <x:v>DSL/AST</x:v>
      </x:c>
      <x:c r="D96" s="110" t="str">
        <x:v>1</x:v>
      </x:c>
      <x:c r="E96" s="110" t="str">
        <x:v>Executable rule</x:v>
      </x:c>
      <x:c r="F96" s="110" t="str">
        <x:v>Highly confidential</x:v>
      </x:c>
      <x:c r="G96" s="110" t="str">
        <x:v>Deterministic, reviewed, sandboxed</x:v>
      </x:c>
      <x:c r="H96" s="110" t="str">
        <x:v>Expression</x:v>
      </x:c>
      <x:c r="I96" s="110" t="str">
        <x:v>Internal canonical model</x:v>
      </x:c>
    </x:row>
    <x:row r="97" ht="42" customHeight="1">
      <x:c r="A97" s="111" t="str">
        <x:v>Event</x:v>
      </x:c>
      <x:c r="B97" s="111" t="str">
        <x:v>event_id</x:v>
      </x:c>
      <x:c r="C97" s="111" t="str">
        <x:v>UUID</x:v>
      </x:c>
      <x:c r="D97" s="111" t="str">
        <x:v>1</x:v>
      </x:c>
      <x:c r="E97" s="111" t="str">
        <x:v>Always</x:v>
      </x:c>
      <x:c r="F97" s="111" t="str">
        <x:v>Audit</x:v>
      </x:c>
      <x:c r="G97" s="111" t="str">
        <x:v>Globally unique</x:v>
      </x:c>
      <x:c r="H97" s="111" t="str">
        <x:v>018f…</x:v>
      </x:c>
      <x:c r="I97" s="111" t="str">
        <x:v>Internal canonical model</x:v>
      </x:c>
    </x:row>
    <x:row r="98" ht="42" customHeight="1">
      <x:c r="A98" s="110" t="str">
        <x:v>Event</x:v>
      </x:c>
      <x:c r="B98" s="110" t="str">
        <x:v>aggregate_version</x:v>
      </x:c>
      <x:c r="C98" s="110" t="str">
        <x:v>Integer</x:v>
      </x:c>
      <x:c r="D98" s="110" t="str">
        <x:v>1</x:v>
      </x:c>
      <x:c r="E98" s="110" t="str">
        <x:v>Always</x:v>
      </x:c>
      <x:c r="F98" s="110" t="str">
        <x:v>Audit</x:v>
      </x:c>
      <x:c r="G98" s="110" t="str">
        <x:v>Monotonic</x:v>
      </x:c>
      <x:c r="H98" s="110" t="str">
        <x:v>7</x:v>
      </x:c>
      <x:c r="I98" s="110" t="str">
        <x:v>Internal canonical model</x:v>
      </x:c>
    </x:row>
    <x:row r="99" ht="42" customHeight="1">
      <x:c r="A99" s="111" t="str">
        <x:v>Event</x:v>
      </x:c>
      <x:c r="B99" s="111" t="str">
        <x:v>occurred_at</x:v>
      </x:c>
      <x:c r="C99" s="111" t="str">
        <x:v>TimestampTZ</x:v>
      </x:c>
      <x:c r="D99" s="111" t="str">
        <x:v>1</x:v>
      </x:c>
      <x:c r="E99" s="111" t="str">
        <x:v>Always</x:v>
      </x:c>
      <x:c r="F99" s="111" t="str">
        <x:v>Audit</x:v>
      </x:c>
      <x:c r="G99" s="111" t="str">
        <x:v>UTC; source local retained</x:v>
      </x:c>
      <x:c r="H99" s="111" t="str">
        <x:v>timestamp</x:v>
      </x:c>
      <x:c r="I99" s="111" t="str">
        <x:v>Internal canonical model</x:v>
      </x:c>
    </x:row>
    <x:row r="100" ht="42" customHeight="1">
      <x:c r="A100" s="110" t="str">
        <x:v>Event</x:v>
      </x:c>
      <x:c r="B100" s="110" t="str">
        <x:v>correlation_id</x:v>
      </x:c>
      <x:c r="C100" s="110" t="str">
        <x:v>UUID</x:v>
      </x:c>
      <x:c r="D100" s="110" t="str">
        <x:v>1</x:v>
      </x:c>
      <x:c r="E100" s="110" t="str">
        <x:v>Always</x:v>
      </x:c>
      <x:c r="F100" s="110" t="str">
        <x:v>Audit</x:v>
      </x:c>
      <x:c r="G100" s="110" t="str">
        <x:v>Cross-service trace</x:v>
      </x:c>
      <x:c r="H100" s="110" t="str">
        <x:v>018f…</x:v>
      </x:c>
      <x:c r="I100" s="110" t="str">
        <x:v>Internal canonical model</x:v>
      </x:c>
    </x:row>
    <x:row r="101" ht="42" customHeight="1">
      <x:c r="A101" s="111" t="str">
        <x:v>Event</x:v>
      </x:c>
      <x:c r="B101" s="111" t="str">
        <x:v>integrity_hash</x:v>
      </x:c>
      <x:c r="C101" s="111" t="str">
        <x:v>SHA-256</x:v>
      </x:c>
      <x:c r="D101" s="111" t="str">
        <x:v>1</x:v>
      </x:c>
      <x:c r="E101" s="111" t="str">
        <x:v>Compliance-critical</x:v>
      </x:c>
      <x:c r="F101" s="111" t="str">
        <x:v>Security metadata</x:v>
      </x:c>
      <x:c r="G101" s="111" t="str">
        <x:v>Hash-chain policy</x:v>
      </x:c>
      <x:c r="H101" s="111" t="str">
        <x:v>hex</x:v>
      </x:c>
      <x:c r="I101" s="111" t="str">
        <x:v>Internal canonical model</x:v>
      </x:c>
    </x:row>
  </x:sheetData>
  <x:mergeCells>
    <x:mergeCell ref="A1:I1"/>
    <x:mergeCell ref="A2:I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34" hidden="0" customWidth="1"/>
    <x:col min="4" max="4" width="34" hidden="0" customWidth="1"/>
    <x:col min="5" max="5" width="38" hidden="0" customWidth="1"/>
    <x:col min="6" max="6" width="38" hidden="0" customWidth="1"/>
    <x:col min="7" max="7" width="30" hidden="0" customWidth="1"/>
    <x:col min="8" max="8" width="54" hidden="0" customWidth="1"/>
  </x:cols>
  <x:sheetData>
    <x:row r="1" ht="32" customHeight="1">
      <x:c r="A1" s="87" t="str">
        <x:v>Provider and vendor-neutral adapter requirements</x:v>
      </x:c>
      <x:c r="B1" s="87"/>
      <x:c r="C1" s="87"/>
      <x:c r="D1" s="87"/>
      <x:c r="E1" s="87"/>
      <x:c r="F1" s="87"/>
      <x:c r="G1" s="87"/>
      <x:c r="H1" s="87"/>
    </x:row>
    <x:row r="2" ht="34" customHeight="1">
      <x:c r="A2" s="88" t="str">
        <x:v>DHL, UPS and FedEx receive provider-specific scope. Postal, air and regional partners implement the same canonical security and evidence contract.</x:v>
      </x:c>
      <x:c r="B2" s="88"/>
      <x:c r="C2" s="88"/>
      <x:c r="D2" s="88"/>
      <x:c r="E2" s="88"/>
      <x:c r="F2" s="88"/>
      <x:c r="G2" s="88"/>
      <x:c r="H2" s="88"/>
    </x:row>
    <x:row r="4" ht="34" customHeight="1">
      <x:c r="A4" s="89" t="str">
        <x:v>Capability</x:v>
      </x:c>
      <x:c r="B4" s="89" t="str">
        <x:v>DHL Express / MyDHL</x:v>
      </x:c>
      <x:c r="C4" s="89" t="str">
        <x:v>UPS</x:v>
      </x:c>
      <x:c r="D4" s="89" t="str">
        <x:v>FedEx</x:v>
      </x:c>
      <x:c r="E4" s="89" t="str">
        <x:v>National postal / UPU</x:v>
      </x:c>
      <x:c r="F4" s="89" t="str">
        <x:v>Air / forwarder platforms</x:v>
      </x:c>
      <x:c r="G4" s="89" t="str">
        <x:v>Vendor-neutral contract</x:v>
      </x:c>
      <x:c r="H4" s="89" t="str">
        <x:v>Critical behavior</x:v>
      </x:c>
    </x:row>
    <x:row r="5" ht="54" customHeight="1">
      <x:c r="A5" s="111" t="str">
        <x:v>Capability/service discovery</x:v>
      </x:c>
      <x:c r="B5" s="111" t="str">
        <x:v>Required</x:v>
      </x:c>
      <x:c r="C5" s="111" t="str">
        <x:v>Required</x:v>
      </x:c>
      <x:c r="D5" s="111" t="str">
        <x:v>Required</x:v>
      </x:c>
      <x:c r="E5" s="111" t="str">
        <x:v>Required per DO/contract</x:v>
      </x:c>
      <x:c r="F5" s="111" t="str">
        <x:v>Required per platform</x:v>
      </x:c>
      <x:c r="G5" s="111" t="str">
        <x:v>Required</x:v>
      </x:c>
      <x:c r="H5" s="111" t="str">
        <x:v>Effective-dated account/lane/commodity capability; no static universal claim</x:v>
      </x:c>
    </x:row>
    <x:row r="6" ht="54" customHeight="1">
      <x:c r="A6" s="110" t="str">
        <x:v>OAuth/credentials</x:v>
      </x:c>
      <x:c r="B6" s="110" t="str">
        <x:v>MyDHL account/API security</x:v>
      </x:c>
      <x:c r="C6" s="110" t="str">
        <x:v>UPS OAuth/account</x:v>
      </x:c>
      <x:c r="D6" s="110" t="str">
        <x:v>FedEx OAuth/project/account</x:v>
      </x:c>
      <x:c r="E6" s="110" t="str">
        <x:v>Operator-specific credentials/certificates</x:v>
      </x:c>
      <x:c r="F6" s="110" t="str">
        <x:v>Partner-specific OAuth/cert/mTLS</x:v>
      </x:c>
      <x:c r="G6" s="110" t="str">
        <x:v>Adapter security contract</x:v>
      </x:c>
      <x:c r="H6" s="110" t="str">
        <x:v>Tenant/account/environment isolation</x:v>
      </x:c>
    </x:row>
    <x:row r="7" ht="54" customHeight="1">
      <x:c r="A7" s="111" t="str">
        <x:v>Address validation</x:v>
      </x:c>
      <x:c r="B7" s="111" t="str">
        <x:v>Where API/account supports</x:v>
      </x:c>
      <x:c r="C7" s="111" t="str">
        <x:v>UPS address validation</x:v>
      </x:c>
      <x:c r="D7" s="111" t="str">
        <x:v>FedEx address validation</x:v>
      </x:c>
      <x:c r="E7" s="111" t="str">
        <x:v>Operator-specific format/lookup</x:v>
      </x:c>
      <x:c r="F7" s="111" t="str">
        <x:v>Partner-specific</x:v>
      </x:c>
      <x:c r="G7" s="111" t="str">
        <x:v>Canonical hook</x:v>
      </x:c>
      <x:c r="H7" s="111" t="str">
        <x:v>Suggestions never silently mutate legal data</x:v>
      </x:c>
    </x:row>
    <x:row r="8" ht="54" customHeight="1">
      <x:c r="A8" s="110" t="str">
        <x:v>Rates/transit</x:v>
      </x:c>
      <x:c r="B8" s="110" t="str">
        <x:v>MyDHL rates/capabilities</x:v>
      </x:c>
      <x:c r="C8" s="110" t="str">
        <x:v>UPS rating/time in transit</x:v>
      </x:c>
      <x:c r="D8" s="110" t="str">
        <x:v>FedEx rate/transit</x:v>
      </x:c>
      <x:c r="E8" s="110" t="str">
        <x:v>Postal tariff/service response</x:v>
      </x:c>
      <x:c r="F8" s="110" t="str">
        <x:v>Air quote/booking</x:v>
      </x:c>
      <x:c r="G8" s="110" t="str">
        <x:v>Required</x:v>
      </x:c>
      <x:c r="H8" s="110" t="str">
        <x:v>Preserve currency, surcharges, validity and estimate status</x:v>
      </x:c>
    </x:row>
    <x:row r="9" ht="54" customHeight="1">
      <x:c r="A9" s="111" t="str">
        <x:v>Shipment/booking</x:v>
      </x:c>
      <x:c r="B9" s="111" t="str">
        <x:v>MyDHL shipment</x:v>
      </x:c>
      <x:c r="C9" s="111" t="str">
        <x:v>UPS shipping</x:v>
      </x:c>
      <x:c r="D9" s="111" t="str">
        <x:v>FedEx Ship API</x:v>
      </x:c>
      <x:c r="E9" s="111" t="str">
        <x:v>Item/dispatch acceptance</x:v>
      </x:c>
      <x:c r="F9" s="111" t="str">
        <x:v>Booking/MAWB/HAWB</x:v>
      </x:c>
      <x:c r="G9" s="111" t="str">
        <x:v>Required</x:v>
      </x:c>
      <x:c r="H9" s="111" t="str">
        <x:v>Idempotency and ambiguous-outcome reconciliation</x:v>
      </x:c>
    </x:row>
    <x:row r="10" ht="54" customHeight="1">
      <x:c r="A10" s="110" t="str">
        <x:v>Labels</x:v>
      </x:c>
      <x:c r="B10" s="110" t="str">
        <x:v>DHL label docs</x:v>
      </x:c>
      <x:c r="C10" s="110" t="str">
        <x:v>UPS labels</x:v>
      </x:c>
      <x:c r="D10" s="110" t="str">
        <x:v>FedEx labels</x:v>
      </x:c>
      <x:c r="E10" s="110" t="str">
        <x:v>S10 + postal labels</x:v>
      </x:c>
      <x:c r="F10" s="110" t="str">
        <x:v>Partner labels/AWB</x:v>
      </x:c>
      <x:c r="G10" s="110" t="str">
        <x:v>Required</x:v>
      </x:c>
      <x:c r="H10" s="110" t="str">
        <x:v>Provider rendering/format rules</x:v>
      </x:c>
    </x:row>
    <x:row r="11" ht="54" customHeight="1">
      <x:c r="A11" s="111" t="str">
        <x:v>Customs data</x:v>
      </x:c>
      <x:c r="B11" s="111" t="str">
        <x:v>Shipment customs content</x:v>
      </x:c>
      <x:c r="C11" s="111" t="str">
        <x:v>Trade/customs data as contracted</x:v>
      </x:c>
      <x:c r="D11" s="111" t="str">
        <x:v>Ship/trade document fields</x:v>
      </x:c>
      <x:c r="E11" s="111" t="str">
        <x:v>ITMATT/CN22/CN23</x:v>
      </x:c>
      <x:c r="F11" s="111" t="str">
        <x:v>Carrier/forwarder filing payload</x:v>
      </x:c>
      <x:c r="G11" s="111" t="str">
        <x:v>Required</x:v>
      </x:c>
      <x:c r="H11" s="111" t="str">
        <x:v>Carrier/postal/partner API only</x:v>
      </x:c>
    </x:row>
    <x:row r="12" ht="54" customHeight="1">
      <x:c r="A12" s="110" t="str">
        <x:v>Documents/upload</x:v>
      </x:c>
      <x:c r="B12" s="110" t="str">
        <x:v>DHL docs where supported</x:v>
      </x:c>
      <x:c r="C12" s="110" t="str">
        <x:v>Paperless/trade docs where supported</x:v>
      </x:c>
      <x:c r="D12" s="110" t="str">
        <x:v>FedEx trade docs where supported</x:v>
      </x:c>
      <x:c r="E12" s="110" t="str">
        <x:v>Postal forms/messages</x:v>
      </x:c>
      <x:c r="F12" s="110" t="str">
        <x:v>e-AWB/e-DGD/docs</x:v>
      </x:c>
      <x:c r="G12" s="110" t="str">
        <x:v>Required</x:v>
      </x:c>
      <x:c r="H12" s="110" t="str">
        <x:v>Hash/version and provider acceptance</x:v>
      </x:c>
    </x:row>
    <x:row r="13" ht="54" customHeight="1">
      <x:c r="A13" s="111" t="str">
        <x:v>Dangerous goods</x:v>
      </x:c>
      <x:c r="B13" s="111" t="str">
        <x:v>Account/service specific</x:v>
      </x:c>
      <x:c r="C13" s="111" t="str">
        <x:v>UPS DG contract/API specific</x:v>
      </x:c>
      <x:c r="D13" s="111" t="str">
        <x:v>Account/service specific</x:v>
      </x:c>
      <x:c r="E13" s="111" t="str">
        <x:v>Operator prohibitions/limits</x:v>
      </x:c>
      <x:c r="F13" s="111" t="str">
        <x:v>Carrier/state/operator rules</x:v>
      </x:c>
      <x:c r="G13" s="111" t="str">
        <x:v>Required capability flags</x:v>
      </x:c>
      <x:c r="H13" s="111" t="str">
        <x:v>Legal DG approval plus external acceptance</x:v>
      </x:c>
    </x:row>
    <x:row r="14" ht="54" customHeight="1">
      <x:c r="A14" s="110" t="str">
        <x:v>Pickup/tender</x:v>
      </x:c>
      <x:c r="B14" s="110" t="str">
        <x:v>DHL pickup</x:v>
      </x:c>
      <x:c r="C14" s="110" t="str">
        <x:v>UPS pickup</x:v>
      </x:c>
      <x:c r="D14" s="110" t="str">
        <x:v>FedEx pickup</x:v>
      </x:c>
      <x:c r="E14" s="110" t="str">
        <x:v>Dispatch handover</x:v>
      </x:c>
      <x:c r="F14" s="110" t="str">
        <x:v>Cargo acceptance/manifest</x:v>
      </x:c>
      <x:c r="G14" s="110" t="str">
        <x:v>Required</x:v>
      </x:c>
      <x:c r="H14" s="110" t="str">
        <x:v>Pickup reference is not tender proof until scan/receipt</x:v>
      </x:c>
    </x:row>
    <x:row r="15" ht="54" customHeight="1">
      <x:c r="A15" s="111" t="str">
        <x:v>Tracking/events</x:v>
      </x:c>
      <x:c r="B15" s="111" t="str">
        <x:v>DHL tracking</x:v>
      </x:c>
      <x:c r="C15" s="111" t="str">
        <x:v>UPS tracking</x:v>
      </x:c>
      <x:c r="D15" s="111" t="str">
        <x:v>FedEx tracking/visibility</x:v>
      </x:c>
      <x:c r="E15" s="111" t="str">
        <x:v>RESDES/RESDIT/operator events</x:v>
      </x:c>
      <x:c r="F15" s="111" t="str">
        <x:v>ONE Record/Cargo-XML/partner events</x:v>
      </x:c>
      <x:c r="G15" s="111" t="str">
        <x:v>Required</x:v>
      </x:c>
      <x:c r="H15" s="111" t="str">
        <x:v>Authenticate/dedupe/order/normalize</x:v>
      </x:c>
    </x:row>
    <x:row r="16" ht="54" customHeight="1">
      <x:c r="A16" s="110" t="str">
        <x:v>Cancel/void</x:v>
      </x:c>
      <x:c r="B16" s="110" t="str">
        <x:v>DHL cancellation where supported</x:v>
      </x:c>
      <x:c r="C16" s="110" t="str">
        <x:v>UPS void/cancel</x:v>
      </x:c>
      <x:c r="D16" s="110" t="str">
        <x:v>FedEx cancel</x:v>
      </x:c>
      <x:c r="E16" s="110" t="str">
        <x:v>Operator-specific recall/cancel</x:v>
      </x:c>
      <x:c r="F16" s="110" t="str">
        <x:v>Booking/AWB cancellation</x:v>
      </x:c>
      <x:c r="G16" s="110" t="str">
        <x:v>Required</x:v>
      </x:c>
      <x:c r="H16" s="110" t="str">
        <x:v>Do not overwrite original external state</x:v>
      </x:c>
    </x:row>
    <x:row r="17" ht="54" customHeight="1">
      <x:c r="A17" s="111" t="str">
        <x:v>Returns</x:v>
      </x:c>
      <x:c r="B17" s="111" t="str">
        <x:v>DHL return where supported</x:v>
      </x:c>
      <x:c r="C17" s="111" t="str">
        <x:v>UPS returns</x:v>
      </x:c>
      <x:c r="D17" s="111" t="str">
        <x:v>FedEx returns</x:v>
      </x:c>
      <x:c r="E17" s="111" t="str">
        <x:v>RTS/return message flow</x:v>
      </x:c>
      <x:c r="F17" s="111" t="str">
        <x:v>Partner-specific return</x:v>
      </x:c>
      <x:c r="G17" s="111" t="str">
        <x:v>Required</x:v>
      </x:c>
      <x:c r="H17" s="111" t="str">
        <x:v>Link original customs/export evidence</x:v>
      </x:c>
    </x:row>
    <x:row r="18" ht="54" customHeight="1">
      <x:c r="A18" s="110" t="str">
        <x:v>Manifest/closeout</x:v>
      </x:c>
      <x:c r="B18" s="110" t="str">
        <x:v>Provider-specific</x:v>
      </x:c>
      <x:c r="C18" s="110" t="str">
        <x:v>UPS closeout/manifest where applicable</x:v>
      </x:c>
      <x:c r="D18" s="110" t="str">
        <x:v>FedEx closeout where applicable</x:v>
      </x:c>
      <x:c r="E18" s="110" t="str">
        <x:v>PREDES/CARDIT dispatch</x:v>
      </x:c>
      <x:c r="F18" s="110" t="str">
        <x:v>Air manifest/build-up</x:v>
      </x:c>
      <x:c r="G18" s="110" t="str">
        <x:v>Required</x:v>
      </x:c>
      <x:c r="H18" s="110" t="str">
        <x:v>All package/release gates complete</x:v>
      </x:c>
    </x:row>
    <x:row r="19" ht="54" customHeight="1">
      <x:c r="A19" s="111" t="str">
        <x:v>Security referrals</x:v>
      </x:c>
      <x:c r="B19" s="111" t="str">
        <x:v>Provider-specific response</x:v>
      </x:c>
      <x:c r="C19" s="111" t="str">
        <x:v>Provider-specific response</x:v>
      </x:c>
      <x:c r="D19" s="111" t="str">
        <x:v>Provider-specific response</x:v>
      </x:c>
      <x:c r="E19" s="111" t="str">
        <x:v>ITMREF/REFRSP, DNL</x:v>
      </x:c>
      <x:c r="F19" s="111" t="str">
        <x:v>PLACI RFI/RFS/DNL</x:v>
      </x:c>
      <x:c r="G19" s="111" t="str">
        <x:v>Required normalized state</x:v>
      </x:c>
      <x:c r="H19" s="111" t="str">
        <x:v>Only external authority/carrier may clear</x:v>
      </x:c>
    </x:row>
    <x:row r="20" ht="54" customHeight="1">
      <x:c r="A20" s="110" t="str">
        <x:v>Webhooks</x:v>
      </x:c>
      <x:c r="B20" s="110" t="str">
        <x:v>If offered</x:v>
      </x:c>
      <x:c r="C20" s="110" t="str">
        <x:v>If offered</x:v>
      </x:c>
      <x:c r="D20" s="110" t="str">
        <x:v>FedEx visibility where account/region offered</x:v>
      </x:c>
      <x:c r="E20" s="110" t="str">
        <x:v>Message exchange</x:v>
      </x:c>
      <x:c r="F20" s="110" t="str">
        <x:v>ONE Record/event endpoints</x:v>
      </x:c>
      <x:c r="G20" s="110" t="str">
        <x:v>Optional capability</x:v>
      </x:c>
      <x:c r="H20" s="110" t="str">
        <x:v>Polling fallback must be explicit and reconciled</x:v>
      </x:c>
    </x:row>
    <x:row r="21" ht="54" customHeight="1">
      <x:c r="A21" s="111" t="str">
        <x:v>Rate limits/quotas</x:v>
      </x:c>
      <x:c r="B21" s="111" t="str">
        <x:v>Provider policy</x:v>
      </x:c>
      <x:c r="C21" s="111" t="str">
        <x:v>UPS policy</x:v>
      </x:c>
      <x:c r="D21" s="111" t="str">
        <x:v>FedEx quota/rate guide</x:v>
      </x:c>
      <x:c r="E21" s="111" t="str">
        <x:v>Operator agreement</x:v>
      </x:c>
      <x:c r="F21" s="111" t="str">
        <x:v>Partner agreement</x:v>
      </x:c>
      <x:c r="G21" s="111" t="str">
        <x:v>Required</x:v>
      </x:c>
      <x:c r="H21" s="111" t="str">
        <x:v>Backoff, fairness and no unsafe retry</x:v>
      </x:c>
    </x:row>
    <x:row r="22" ht="54" customHeight="1">
      <x:c r="A22" s="110" t="str">
        <x:v>Certification/resale</x:v>
      </x:c>
      <x:c r="B22" s="110" t="str">
        <x:v>DHL contract/program</x:v>
      </x:c>
      <x:c r="C22" s="110" t="str">
        <x:v>UPS developer/contract review</x:v>
      </x:c>
      <x:c r="D22" s="110" t="str">
        <x:v>FedEx integrator/compatible program</x:v>
      </x:c>
      <x:c r="E22" s="110" t="str">
        <x:v>Bilateral/operator certification</x:v>
      </x:c>
      <x:c r="F22" s="110" t="str">
        <x:v>IATA/partner conformance</x:v>
      </x:c>
      <x:c r="G22" s="110" t="str">
        <x:v>Mandatory release gate</x:v>
      </x:c>
      <x:c r="H22" s="110" t="str">
        <x:v>Retain approval evidence</x:v>
      </x:c>
    </x:row>
    <x:row r="23" ht="54" customHeight="1">
      <x:c r="A23" s="111" t="str">
        <x:v>Billing reconciliation</x:v>
      </x:c>
      <x:c r="B23" s="111" t="str">
        <x:v>Shipment/invoice refs</x:v>
      </x:c>
      <x:c r="C23" s="111" t="str">
        <x:v>Shipment/invoice refs</x:v>
      </x:c>
      <x:c r="D23" s="111" t="str">
        <x:v>Shipment/invoice refs</x:v>
      </x:c>
      <x:c r="E23" s="111" t="str">
        <x:v>Postal statements</x:v>
      </x:c>
      <x:c r="F23" s="111" t="str">
        <x:v>Air invoice/charge refs</x:v>
      </x:c>
      <x:c r="G23" s="111" t="str">
        <x:v>Required</x:v>
      </x:c>
      <x:c r="H23" s="111" t="str">
        <x:v>Daily exception report</x:v>
      </x:c>
    </x:row>
    <x:row r="24" ht="54" customHeight="1">
      <x:c r="A24" s="110" t="str">
        <x:v>Sandbox/mocks</x:v>
      </x:c>
      <x:c r="B24" s="110" t="str">
        <x:v>Provider environment where available</x:v>
      </x:c>
      <x:c r="C24" s="110" t="str">
        <x:v>UPS test environment</x:v>
      </x:c>
      <x:c r="D24" s="110" t="str">
        <x:v>FedEx sandbox</x:v>
      </x:c>
      <x:c r="E24" s="110" t="str">
        <x:v>Conformance simulator/fixtures</x:v>
      </x:c>
      <x:c r="F24" s="110" t="str">
        <x:v>Partner sandbox/fixtures</x:v>
      </x:c>
      <x:c r="G24" s="110" t="str">
        <x:v>Required</x:v>
      </x:c>
      <x:c r="H24" s="110" t="str">
        <x:v>Negative, timeout, duplicate and future-version tests</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70" hidden="0" customWidth="1"/>
    <x:col min="3" max="3" width="50" hidden="0" customWidth="1"/>
    <x:col min="4" max="4" width="36" hidden="0" customWidth="1"/>
    <x:col min="5" max="5" width="48" hidden="0" customWidth="1"/>
  </x:cols>
  <x:sheetData>
    <x:row r="1" ht="32" customHeight="1">
      <x:c r="A1" s="87" t="str">
        <x:v>Compliance decision model</x:v>
      </x:c>
      <x:c r="B1" s="87"/>
      <x:c r="C1" s="87"/>
      <x:c r="D1" s="87"/>
      <x:c r="E1" s="87"/>
    </x:row>
    <x:row r="2" ht="34" customHeight="1">
      <x:c r="A2" s="88" t="str">
        <x:v>Canonical states, precedence and reason codes prevent ambiguous 'pass/fail' behavior and support reproducible explanations.</x:v>
      </x:c>
      <x:c r="B2" s="88"/>
      <x:c r="C2" s="88"/>
      <x:c r="D2" s="88"/>
      <x:c r="E2" s="88"/>
    </x:row>
    <x:row r="4" ht="34" customHeight="1">
      <x:c r="A4" s="89" t="str">
        <x:v>Status</x:v>
      </x:c>
      <x:c r="B4" s="89" t="str">
        <x:v>Meaning</x:v>
      </x:c>
      <x:c r="C4" s="89" t="str">
        <x:v>System action</x:v>
      </x:c>
      <x:c r="D4" s="89" t="str">
        <x:v>Who may resolve</x:v>
      </x:c>
      <x:c r="E4" s="89" t="str">
        <x:v>Invalidated by</x:v>
      </x:c>
    </x:row>
    <x:row r="5" ht="52" customHeight="1">
      <x:c r="A5" s="112" t="str">
        <x:v>ALLOWED</x:v>
      </x:c>
      <x:c r="B5" s="112" t="str">
        <x:v>All mandatory legal, authority, partner, tenant and operational checks pass; no conditions remain</x:v>
      </x:c>
      <x:c r="C5" s="112" t="str">
        <x:v>May proceed to next lifecycle gate</x:v>
      </x:c>
      <x:c r="D5" s="112" t="str">
        <x:v>Automatic</x:v>
      </x:c>
      <x:c r="E5" s="112" t="str">
        <x:v>Shipment version or rule/source change</x:v>
      </x:c>
    </x:row>
    <x:row r="6" ht="52" customHeight="1">
      <x:c r="A6" s="15" t="str">
        <x:v>ALLOWED_WITH_CONDITIONS</x:v>
      </x:c>
      <x:c r="B6" s="15" t="str">
        <x:v>Permitted only if machine-testable or attestable conditions are fulfilled</x:v>
      </x:c>
      <x:c r="C6" s="15" t="str">
        <x:v>Display and enforce each condition; re-evaluate after fulfilment</x:v>
      </x:c>
      <x:c r="D6" s="15" t="str">
        <x:v>Automatic or reviewer as rule states</x:v>
      </x:c>
      <x:c r="E6" s="15" t="str">
        <x:v>Condition fails/expires or scope changes</x:v>
      </x:c>
    </x:row>
    <x:row r="7" ht="52" customHeight="1">
      <x:c r="A7" s="112" t="str">
        <x:v>MANUAL_CERTIFIED_REVIEW</x:v>
      </x:c>
      <x:c r="B7" s="112" t="str">
        <x:v>A qualified person must determine or approve the result</x:v>
      </x:c>
      <x:c r="C7" s="112" t="str">
        <x:v>Hold until in-scope, non-conflicted certification is recorded</x:v>
      </x:c>
      <x:c r="D7" s="112" t="str">
        <x:v>Certified reviewer</x:v>
      </x:c>
      <x:c r="E7" s="112" t="str">
        <x:v>Approval expires or shipment scope changes</x:v>
      </x:c>
    </x:row>
    <x:row r="8" ht="52" customHeight="1">
      <x:c r="A8" s="15" t="str">
        <x:v>EXTERNAL_APPROVAL_REQUIRED</x:v>
      </x:c>
      <x:c r="B8" s="15" t="str">
        <x:v>Carrier, postal operator, forwarder, broker, competent authority or other licensed party must approve</x:v>
      </x:c>
      <x:c r="C8" s="15" t="str">
        <x:v>Hold until authenticated external acceptance/reference is received</x:v>
      </x:c>
      <x:c r="D8" s="15" t="str">
        <x:v>External party</x:v>
      </x:c>
      <x:c r="E8" s="15" t="str">
        <x:v>External status changes, expires or is cancelled</x:v>
      </x:c>
    </x:row>
    <x:row r="9" ht="52" customHeight="1">
      <x:c r="A9" s="112" t="str">
        <x:v>BLOCKED</x:v>
      </x:c>
      <x:c r="B9" s="112" t="str">
        <x:v>An applicable prohibition, confirmed match, unsupported service/commodity or nonwaivable failure applies</x:v>
      </x:c>
      <x:c r="C9" s="112" t="str">
        <x:v>Do not quote/label/file/tender except incident/return workflow</x:v>
      </x:c>
      <x:c r="D9" s="112" t="str">
        <x:v>Rule or confirmed reviewer/external result</x:v>
      </x:c>
      <x:c r="E9" s="112" t="str">
        <x:v>Only a new lawful rule/version or external clearance</x:v>
      </x:c>
    </x:row>
    <x:row r="10" ht="52" customHeight="1">
      <x:c r="A10" s="15" t="str">
        <x:v>UNKNOWN_BLOCKED</x:v>
      </x:c>
      <x:c r="B10" s="15" t="str">
        <x:v>Information, source, rule, capability, classification or response is missing, stale, conflicting or ambiguous</x:v>
      </x:c>
      <x:c r="C10" s="15" t="str">
        <x:v>Hold and return a remediation list</x:v>
      </x:c>
      <x:c r="D10" s="15" t="str">
        <x:v>Automatic; cannot be manually converted to ALLOWED</x:v>
      </x:c>
      <x:c r="E10" s="15" t="str">
        <x:v>Required inputs/sources/approvals become complete</x:v>
      </x:c>
    </x:row>
    <x:row r="13">
      <x:c r="A13" s="17" t="str">
        <x:v>Rule precedence</x:v>
      </x:c>
      <x:c r="B13" s="17"/>
      <x:c r="C13" s="17"/>
      <x:c r="D13" s="17"/>
      <x:c r="E13" s="17"/>
    </x:row>
    <x:row r="14">
      <x:c r="A14" s="14" t="n">
        <x:v>1</x:v>
      </x:c>
      <x:c r="B14" s="14" t="str">
        <x:v>Competent authority law, regulation, binding instruction or decision</x:v>
      </x:c>
      <x:c r="C14" s="14" t="str">
        <x:v>Exact jurisdiction and effective interval</x:v>
      </x:c>
    </x:row>
    <x:row r="15">
      <x:c r="A15" s="14" t="n">
        <x:v>2</x:v>
      </x:c>
      <x:c r="B15" s="14" t="str">
        <x:v>Treaty/convention as implemented by applicable state</x:v>
      </x:c>
      <x:c r="C15" s="14" t="str">
        <x:v>Treaty status alone is insufficient</x:v>
      </x:c>
    </x:row>
    <x:row r="16">
      <x:c r="A16" s="14" t="n">
        <x:v>3</x:v>
      </x:c>
      <x:c r="B16" s="14" t="str">
        <x:v>Origin, export, transit and destination country/territory packs</x:v>
      </x:c>
      <x:c r="C16" s="14" t="str">
        <x:v>Include special customs/fiscal territories</x:v>
      </x:c>
    </x:row>
    <x:row r="17">
      <x:c r="A17" s="14" t="n">
        <x:v>4</x:v>
      </x:c>
      <x:c r="B17" s="14" t="str">
        <x:v>Aviation state, postal designated-operator and security-program rules</x:v>
      </x:c>
      <x:c r="C17" s="14" t="str">
        <x:v>Mode/route/role specific</x:v>
      </x:c>
    </x:row>
    <x:row r="18">
      <x:c r="A18" s="14" t="n">
        <x:v>5</x:v>
      </x:c>
      <x:c r="B18" s="14" t="str">
        <x:v>Carrier/operator service, account, commodity and contract rules</x:v>
      </x:c>
      <x:c r="C18" s="14" t="str">
        <x:v>Live capability where available</x:v>
      </x:c>
    </x:row>
    <x:row r="19">
      <x:c r="A19" s="14" t="n">
        <x:v>6</x:v>
      </x:c>
      <x:c r="B19" s="14" t="str">
        <x:v>Tenant/site/customer permissions and warehouse SOPs</x:v>
      </x:c>
      <x:c r="C19" s="14" t="str">
        <x:v>May narrow but never broaden higher-order permission</x:v>
      </x:c>
    </x:row>
    <x:row r="21">
      <x:c r="A21" s="17" t="str">
        <x:v>Minimum reason-code registry</x:v>
      </x:c>
      <x:c r="B21" s="17"/>
      <x:c r="C21" s="17"/>
      <x:c r="D21" s="17"/>
      <x:c r="E21" s="17"/>
    </x:row>
    <x:row r="22">
      <x:c r="A22" s="14" t="str">
        <x:v>RULE_SOURCE_STALE</x:v>
      </x:c>
      <x:c r="B22" s="14" t="str">
        <x:v>Critical source review date or feed freshness exceeded</x:v>
      </x:c>
      <x:c r="C22" s="14" t="str">
        <x:v>UNKNOWN_BLOCKED</x:v>
      </x:c>
    </x:row>
    <x:row r="23">
      <x:c r="A23" s="14" t="str">
        <x:v>COUNTRY_PACK_INACTIVE</x:v>
      </x:c>
      <x:c r="B23" s="14" t="str">
        <x:v>Required direction/mode/commodity capability not approved</x:v>
      </x:c>
      <x:c r="C23" s="14" t="str">
        <x:v>UNKNOWN_BLOCKED</x:v>
      </x:c>
    </x:row>
    <x:row r="24">
      <x:c r="A24" s="14" t="str">
        <x:v>RULE_CONFLICT</x:v>
      </x:c>
      <x:c r="B24" s="14" t="str">
        <x:v>Applicable rules produce unresolved contradictory outcomes</x:v>
      </x:c>
      <x:c r="C24" s="14" t="str">
        <x:v>UNKNOWN_BLOCKED</x:v>
      </x:c>
    </x:row>
    <x:row r="25">
      <x:c r="A25" s="14" t="str">
        <x:v>INPUT_REQUIRED</x:v>
      </x:c>
      <x:c r="B25" s="14" t="str">
        <x:v>Mandatory fact/document/role missing</x:v>
      </x:c>
      <x:c r="C25" s="14" t="str">
        <x:v>UNKNOWN_BLOCKED</x:v>
      </x:c>
    </x:row>
    <x:row r="26">
      <x:c r="A26" s="14" t="str">
        <x:v>SERVICE_UNSUPPORTED</x:v>
      </x:c>
      <x:c r="B26" s="14" t="str">
        <x:v>Carrier/account exact lane capability absent</x:v>
      </x:c>
      <x:c r="C26" s="14" t="str">
        <x:v>BLOCKED</x:v>
      </x:c>
    </x:row>
    <x:row r="27">
      <x:c r="A27" s="14" t="str">
        <x:v>COMMODITY_PROHIBITED</x:v>
      </x:c>
      <x:c r="B27" s="14" t="str">
        <x:v>Applicable legal/partner prohibition</x:v>
      </x:c>
      <x:c r="C27" s="14" t="str">
        <x:v>BLOCKED</x:v>
      </x:c>
    </x:row>
    <x:row r="28">
      <x:c r="A28" s="14" t="str">
        <x:v>POTENTIAL_SANCTIONS_MATCH</x:v>
      </x:c>
      <x:c r="B28" s="14" t="str">
        <x:v>Potential designated-party/ownership match</x:v>
      </x:c>
      <x:c r="C28" s="14" t="str">
        <x:v>MANUAL_CERTIFIED_REVIEW</x:v>
      </x:c>
    </x:row>
    <x:row r="29">
      <x:c r="A29" s="14" t="str">
        <x:v>CONFIRMED_SANCTIONS_MATCH</x:v>
      </x:c>
      <x:c r="B29" s="14" t="str">
        <x:v>Confirmed prohibited party/ownership/control</x:v>
      </x:c>
      <x:c r="C29" s="14" t="str">
        <x:v>BLOCKED</x:v>
      </x:c>
    </x:row>
    <x:row r="30">
      <x:c r="A30" s="14" t="str">
        <x:v>EXPORT_CONTROL_REVIEW</x:v>
      </x:c>
      <x:c r="B30" s="14" t="str">
        <x:v>Classification/end-use/licence determination required</x:v>
      </x:c>
      <x:c r="C30" s="14" t="str">
        <x:v>MANUAL_CERTIFIED_REVIEW</x:v>
      </x:c>
    </x:row>
    <x:row r="31">
      <x:c r="A31" s="14" t="str">
        <x:v>LICENCE_REQUIRED</x:v>
      </x:c>
      <x:c r="B31" s="14" t="str">
        <x:v>External licence/permit/authorization required</x:v>
      </x:c>
      <x:c r="C31" s="14" t="str">
        <x:v>EXTERNAL_APPROVAL_REQUIRED</x:v>
      </x:c>
    </x:row>
    <x:row r="32">
      <x:c r="A32" s="14" t="str">
        <x:v>DG_REVIEW_REQUIRED</x:v>
      </x:c>
      <x:c r="B32" s="14" t="str">
        <x:v>Certified DG review required</x:v>
      </x:c>
      <x:c r="C32" s="14" t="str">
        <x:v>MANUAL_CERTIFIED_REVIEW</x:v>
      </x:c>
    </x:row>
    <x:row r="33">
      <x:c r="A33" s="14" t="str">
        <x:v>DG_CARRIER_ACCEPTANCE</x:v>
      </x:c>
      <x:c r="B33" s="14" t="str">
        <x:v>Carrier/forwarder DG approval not yet accepted</x:v>
      </x:c>
      <x:c r="C33" s="14" t="str">
        <x:v>EXTERNAL_APPROVAL_REQUIRED</x:v>
      </x:c>
    </x:row>
    <x:row r="34">
      <x:c r="A34" s="14" t="str">
        <x:v>PLACI_REFERRAL</x:v>
      </x:c>
      <x:c r="B34" s="14" t="str">
        <x:v>RFI/RFS response/clearance pending</x:v>
      </x:c>
      <x:c r="C34" s="14" t="str">
        <x:v>EXTERNAL_APPROVAL_REQUIRED</x:v>
      </x:c>
    </x:row>
    <x:row r="35">
      <x:c r="A35" s="14" t="str">
        <x:v>DO_NOT_LOAD</x:v>
      </x:c>
      <x:c r="B35" s="14" t="str">
        <x:v>Authority/carrier DNL received</x:v>
      </x:c>
      <x:c r="C35" s="14" t="str">
        <x:v>BLOCKED</x:v>
      </x:c>
    </x:row>
    <x:row r="36">
      <x:c r="A36" s="14" t="str">
        <x:v>FILING_UNKNOWN</x:v>
      </x:c>
      <x:c r="B36" s="14" t="str">
        <x:v>Technical success without business acceptance or ambiguous timeout</x:v>
      </x:c>
      <x:c r="C36" s="14" t="str">
        <x:v>UNKNOWN_BLOCKED</x:v>
      </x:c>
    </x:row>
    <x:row r="37">
      <x:c r="A37" s="14" t="str">
        <x:v>VALUE_INVALID</x:v>
      </x:c>
      <x:c r="B37" s="14" t="str">
        <x:v>Zero/implausible/unreconciled customs value</x:v>
      </x:c>
      <x:c r="C37" s="14" t="str">
        <x:v>UNKNOWN_BLOCKED</x:v>
      </x:c>
    </x:row>
    <x:row r="38">
      <x:c r="A38" s="14" t="str">
        <x:v>DOCUMENT_MISMATCH</x:v>
      </x:c>
      <x:c r="B38" s="14" t="str">
        <x:v>Canonical, rendered and submitted data differ</x:v>
      </x:c>
      <x:c r="C38" s="14" t="str">
        <x:v>UNKNOWN_BLOCKED</x:v>
      </x:c>
    </x:row>
    <x:row r="39">
      <x:c r="A39" s="14" t="str">
        <x:v>APPROVAL_SCOPE_CHANGED</x:v>
      </x:c>
      <x:c r="B39" s="14" t="str">
        <x:v>Shipment/package/lane version changed after approval</x:v>
      </x:c>
      <x:c r="C39" s="14" t="str">
        <x:v>MANUAL_CERTIFIED_REVIEW</x:v>
      </x:c>
    </x:row>
    <x:row r="40">
      <x:c r="A40" s="14" t="str">
        <x:v>TEMPERATURE_LANE_UNQUALIFIED</x:v>
      </x:c>
      <x:c r="B40" s="14" t="str">
        <x:v>Stability/packaging/carrier/delay budget not approved</x:v>
      </x:c>
      <x:c r="C40" s="14" t="str">
        <x:v>BLOCKED</x:v>
      </x:c>
    </x:row>
    <x:row r="41">
      <x:c r="A41" s="14" t="str">
        <x:v>WAREHOUSE_HOLD</x:v>
      </x:c>
      <x:c r="B41" s="14" t="str">
        <x:v>Quarantine, damage, recall, custody or reconciliation issue</x:v>
      </x:c>
      <x:c r="C41" s="14" t="str">
        <x:v>BLOCKED</x:v>
      </x:c>
    </x:row>
  </x:sheetData>
  <x:mergeCells>
    <x:mergeCell ref="A1:E1"/>
    <x:mergeCell ref="A2:E2"/>
    <x:mergeCell ref="A13:E13"/>
    <x:mergeCell ref="A21:E2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24" hidden="0" customWidth="1"/>
    <x:col min="4" max="4" width="32" hidden="0" customWidth="1"/>
    <x:col min="5" max="5" width="45" hidden="0" customWidth="1"/>
    <x:col min="6" max="6" width="28" hidden="0" customWidth="1"/>
    <x:col min="7" max="7" width="62" hidden="0" customWidth="1"/>
    <x:col min="8" max="8" width="70" hidden="0" customWidth="1"/>
    <x:col min="9" max="9" width="14" hidden="0" customWidth="1"/>
    <x:col min="10" max="10" width="28" hidden="0" customWidth="1"/>
    <x:col min="11" max="11" width="24" hidden="0" customWidth="1"/>
    <x:col min="12" max="12" width="15" hidden="0" customWidth="1"/>
    <x:col min="13" max="13" width="12" hidden="0" customWidth="1"/>
  </x:cols>
  <x:sheetData>
    <x:row r="1" ht="32" customHeight="1">
      <x:c r="A1" s="87" t="str">
        <x:v>Authoritative source and monitoring register</x:v>
      </x:c>
      <x:c r="B1" s="87"/>
      <x:c r="C1" s="87"/>
      <x:c r="D1" s="87"/>
      <x:c r="E1" s="87"/>
      <x:c r="F1" s="87"/>
      <x:c r="G1" s="87"/>
      <x:c r="H1" s="87"/>
      <x:c r="I1" s="87"/>
      <x:c r="J1" s="87"/>
      <x:c r="K1" s="87"/>
      <x:c r="L1" s="87"/>
      <x:c r="M1" s="87"/>
    </x:row>
    <x:row r="2" ht="34" customHeight="1">
      <x:c r="A2" s="88" t="str">
        <x:v>Official/primary sources used for the baseline as of 2026-07-25. Production rules require exact provision-level citations or licensed-source identifiers and local legal validation.</x:v>
      </x:c>
      <x:c r="B2" s="88"/>
      <x:c r="C2" s="88"/>
      <x:c r="D2" s="88"/>
      <x:c r="E2" s="88"/>
      <x:c r="F2" s="88"/>
      <x:c r="G2" s="88"/>
      <x:c r="H2" s="88"/>
      <x:c r="I2" s="88"/>
      <x:c r="J2" s="88"/>
      <x:c r="K2" s="88"/>
      <x:c r="L2" s="88"/>
      <x:c r="M2" s="88"/>
    </x:row>
    <x:row r="4" ht="34" customHeight="1">
      <x:c r="A4" s="89" t="str">
        <x:v>Source ID</x:v>
      </x:c>
      <x:c r="B4" s="89" t="str">
        <x:v>Category</x:v>
      </x:c>
      <x:c r="C4" s="89" t="str">
        <x:v>Jurisdiction</x:v>
      </x:c>
      <x:c r="D4" s="89" t="str">
        <x:v>Authority</x:v>
      </x:c>
      <x:c r="E4" s="89" t="str">
        <x:v>Instrument / source</x:v>
      </x:c>
      <x:c r="F4" s="89" t="str">
        <x:v>Edition / effective status</x:v>
      </x:c>
      <x:c r="G4" s="89" t="str">
        <x:v>Use in system</x:v>
      </x:c>
      <x:c r="H4" s="89" t="str">
        <x:v>Official URL</x:v>
      </x:c>
      <x:c r="I4" s="89" t="str">
        <x:v>Format</x:v>
      </x:c>
      <x:c r="J4" s="89" t="str">
        <x:v>Update signal / cadence</x:v>
      </x:c>
      <x:c r="K4" s="89" t="str">
        <x:v>Owner</x:v>
      </x:c>
      <x:c r="L4" s="89" t="str">
        <x:v>Next review</x:v>
      </x:c>
      <x:c r="M4" s="89" t="str">
        <x:v>Status</x:v>
      </x:c>
    </x:row>
    <x:row r="5" ht="54" customHeight="1">
      <x:c r="A5" s="111" t="str">
        <x:v>SRC-CUS-001</x:v>
      </x:c>
      <x:c r="B5" s="111" t="str">
        <x:v>Customs</x:v>
      </x:c>
      <x:c r="C5" s="111" t="str">
        <x:v>Global</x:v>
      </x:c>
      <x:c r="D5" s="111" t="str">
        <x:v>World Customs Organization</x:v>
      </x:c>
      <x:c r="E5" s="111" t="str">
        <x:v>WCO Data Model v4</x:v>
      </x:c>
      <x:c r="F5" s="111" t="str">
        <x:v>Current framework</x:v>
      </x:c>
      <x:c r="G5" s="111" t="str">
        <x:v>Canonical cross-border regulatory data model; JSON/API and WCO-UPU mappings</x:v>
      </x:c>
      <x:c r="H5" s="111" t="str">
        <x:v>https://www.wcoomd.org/en/topics/facilitation/instrument-and-tools/tools/data-model.aspx</x:v>
      </x:c>
      <x:c r="I5" s="111" t="str">
        <x:v>Web/PDF</x:v>
      </x:c>
      <x:c r="J5" s="111" t="str">
        <x:v>Monitor WCO releases</x:v>
      </x:c>
      <x:c r="K5" s="111" t="str">
        <x:v>Global compliance</x:v>
      </x:c>
      <x:c r="L5" s="111" t="str">
        <x:v>2026-10-25</x:v>
      </x:c>
      <x:c r="M5" s="116" t="str">
        <x:v>ACTIVE</x:v>
      </x:c>
    </x:row>
    <x:row r="6" ht="54" customHeight="1">
      <x:c r="A6" s="110" t="str">
        <x:v>SRC-CUS-002</x:v>
      </x:c>
      <x:c r="B6" s="110" t="str">
        <x:v>Customs</x:v>
      </x:c>
      <x:c r="C6" s="110" t="str">
        <x:v>Global</x:v>
      </x:c>
      <x:c r="D6" s="110" t="str">
        <x:v>World Customs Organization</x:v>
      </x:c>
      <x:c r="E6" s="110" t="str">
        <x:v>SAFE Framework of Standards 2025</x:v>
      </x:c>
      <x:c r="F6" s="110" t="str">
        <x:v>2025</x:v>
      </x:c>
      <x:c r="G6" s="110" t="str">
        <x:v>Supply-chain security, advance electronic information, authorized-operator controls</x:v>
      </x:c>
      <x:c r="H6" s="110" t="str">
        <x:v>https://www.wcoomd.org/-/media/wco/public/global/pdf/topics/facilitation/instruments-and-tools/tools/safe-package/safe-framework-2025_en.pdf</x:v>
      </x:c>
      <x:c r="I6" s="110" t="str">
        <x:v>PDF</x:v>
      </x:c>
      <x:c r="J6" s="110" t="str">
        <x:v>Annual release review</x:v>
      </x:c>
      <x:c r="K6" s="110" t="str">
        <x:v>Global compliance</x:v>
      </x:c>
      <x:c r="L6" s="110" t="str">
        <x:v>2026-10-25</x:v>
      </x:c>
      <x:c r="M6" s="116" t="str">
        <x:v>ACTIVE</x:v>
      </x:c>
    </x:row>
    <x:row r="7" ht="54" customHeight="1">
      <x:c r="A7" s="111" t="str">
        <x:v>SRC-CUS-003</x:v>
      </x:c>
      <x:c r="B7" s="111" t="str">
        <x:v>Customs</x:v>
      </x:c>
      <x:c r="C7" s="111" t="str">
        <x:v>Global</x:v>
      </x:c>
      <x:c r="D7" s="111" t="str">
        <x:v>World Customs Organization</x:v>
      </x:c>
      <x:c r="E7" s="111" t="str">
        <x:v>Revised Kyoto Convention</x:v>
      </x:c>
      <x:c r="F7" s="111" t="str">
        <x:v>Convention/current accessions</x:v>
      </x:c>
      <x:c r="G7" s="111" t="str">
        <x:v>Customs simplification, transparency, risk management, appeals, data minimization</x:v>
      </x:c>
      <x:c r="H7" s="111" t="str">
        <x:v>https://www.wcoomd.org/en/Topics/Facilitation/Instrument%20and%20Tools/Conventions/pf_revised_kyoto_conv</x:v>
      </x:c>
      <x:c r="I7" s="111" t="str">
        <x:v>Web</x:v>
      </x:c>
      <x:c r="J7" s="111" t="str">
        <x:v>Quarterly accession review</x:v>
      </x:c>
      <x:c r="K7" s="111" t="str">
        <x:v>Global compliance</x:v>
      </x:c>
      <x:c r="L7" s="111" t="str">
        <x:v>2026-10-25</x:v>
      </x:c>
      <x:c r="M7" s="116" t="str">
        <x:v>ACTIVE</x:v>
      </x:c>
    </x:row>
    <x:row r="8" ht="54" customHeight="1">
      <x:c r="A8" s="110" t="str">
        <x:v>SRC-CUS-004</x:v>
      </x:c>
      <x:c r="B8" s="110" t="str">
        <x:v>Customs</x:v>
      </x:c>
      <x:c r="C8" s="110" t="str">
        <x:v>Global</x:v>
      </x:c>
      <x:c r="D8" s="110" t="str">
        <x:v>World Customs Organization</x:v>
      </x:c>
      <x:c r="E8" s="110" t="str">
        <x:v>Cross-Border E-Commerce Framework of Standards</x:v>
      </x:c>
      <x:c r="F8" s="110" t="str">
        <x:v>Current</x:v>
      </x:c>
      <x:c r="G8" s="110" t="str">
        <x:v>E-commerce advance data, facilitation, safety, revenue and partnership controls</x:v>
      </x:c>
      <x:c r="H8" s="110" t="str">
        <x:v>https://www.wcoomd.org/en/Topics/Facilitation/Instrument%20and%20Tools/Frameworks%20of%20Standards/Ecommerce</x:v>
      </x:c>
      <x:c r="I8" s="110" t="str">
        <x:v>Web/PDF</x:v>
      </x:c>
      <x:c r="J8" s="110" t="str">
        <x:v>Annual review</x:v>
      </x:c>
      <x:c r="K8" s="110" t="str">
        <x:v>Global compliance</x:v>
      </x:c>
      <x:c r="L8" s="110" t="str">
        <x:v>2026-10-25</x:v>
      </x:c>
      <x:c r="M8" s="116" t="str">
        <x:v>ACTIVE</x:v>
      </x:c>
    </x:row>
    <x:row r="9" ht="54" customHeight="1">
      <x:c r="A9" s="111" t="str">
        <x:v>SRC-CUS-005</x:v>
      </x:c>
      <x:c r="B9" s="111" t="str">
        <x:v>Classification</x:v>
      </x:c>
      <x:c r="C9" s="111" t="str">
        <x:v>Global</x:v>
      </x:c>
      <x:c r="D9" s="111" t="str">
        <x:v>World Customs Organization</x:v>
      </x:c>
      <x:c r="E9" s="111" t="str">
        <x:v>Harmonized System 2022</x:v>
      </x:c>
      <x:c r="F9" s="111" t="str">
        <x:v>2022 edition</x:v>
      </x:c>
      <x:c r="G9" s="111" t="str">
        <x:v>Six-digit HS baseline; national tariff extensions remain country-pack data</x:v>
      </x:c>
      <x:c r="H9" s="111" t="str">
        <x:v>https://www.wcoomd.org/en/topics/nomenclature/instrument-and-tools/hs-nomenclature-2022-edition/hs-nomenclature-2022-edition.aspx?p=1</x:v>
      </x:c>
      <x:c r="I9" s="111" t="str">
        <x:v>Web</x:v>
      </x:c>
      <x:c r="J9" s="111" t="str">
        <x:v>Monitor HS amendments and 2027 migration</x:v>
      </x:c>
      <x:c r="K9" s="111" t="str">
        <x:v>Classification team</x:v>
      </x:c>
      <x:c r="L9" s="111" t="str">
        <x:v>2026-10-25</x:v>
      </x:c>
      <x:c r="M9" s="116" t="str">
        <x:v>ACTIVE</x:v>
      </x:c>
    </x:row>
    <x:row r="10" ht="54" customHeight="1">
      <x:c r="A10" s="110" t="str">
        <x:v>SRC-CUS-006</x:v>
      </x:c>
      <x:c r="B10" s="110" t="str">
        <x:v>Trade facilitation</x:v>
      </x:c>
      <x:c r="C10" s="110" t="str">
        <x:v>Global</x:v>
      </x:c>
      <x:c r="D10" s="110" t="str">
        <x:v>World Trade Organization</x:v>
      </x:c>
      <x:c r="E10" s="110" t="str">
        <x:v>Trade Facilitation Agreement legal text</x:v>
      </x:c>
      <x:c r="F10" s="110" t="str">
        <x:v>Current</x:v>
      </x:c>
      <x:c r="G10" s="110" t="str">
        <x:v>Publication, pre-arrival, release, transit, single-window and broker context</x:v>
      </x:c>
      <x:c r="H10" s="110" t="str">
        <x:v>https://www.wto.org/english/docs_e/legal_e/tfa_e.htm</x:v>
      </x:c>
      <x:c r="I10" s="110" t="str">
        <x:v>Web</x:v>
      </x:c>
      <x:c r="J10" s="110" t="str">
        <x:v>Quarterly legal review</x:v>
      </x:c>
      <x:c r="K10" s="110" t="str">
        <x:v>Global compliance</x:v>
      </x:c>
      <x:c r="L10" s="110" t="str">
        <x:v>2026-10-25</x:v>
      </x:c>
      <x:c r="M10" s="116" t="str">
        <x:v>ACTIVE</x:v>
      </x:c>
    </x:row>
    <x:row r="11" ht="54" customHeight="1">
      <x:c r="A11" s="111" t="str">
        <x:v>SRC-CUS-007</x:v>
      </x:c>
      <x:c r="B11" s="111" t="str">
        <x:v>Country intelligence</x:v>
      </x:c>
      <x:c r="C11" s="111" t="str">
        <x:v>WTO members</x:v>
      </x:c>
      <x:c r="D11" s="111" t="str">
        <x:v>World Trade Organization</x:v>
      </x:c>
      <x:c r="E11" s="111" t="str">
        <x:v>Trade Facilitation Agreement Database</x:v>
      </x:c>
      <x:c r="F11" s="111" t="str">
        <x:v>Live member notifications</x:v>
      </x:c>
      <x:c r="G11" s="111" t="str">
        <x:v>Country-pack discovery: procedures, single windows, broker use and contact points</x:v>
      </x:c>
      <x:c r="H11" s="111" t="str">
        <x:v>https://tfadatabase.org/en</x:v>
      </x:c>
      <x:c r="I11" s="111" t="str">
        <x:v>Web/database</x:v>
      </x:c>
      <x:c r="J11" s="111" t="str">
        <x:v>Validate every pack against national sources</x:v>
      </x:c>
      <x:c r="K11" s="111" t="str">
        <x:v>Country-pack owners</x:v>
      </x:c>
      <x:c r="L11" s="111" t="str">
        <x:v>2026-08-25</x:v>
      </x:c>
      <x:c r="M11" s="116" t="str">
        <x:v>ACTIVE</x:v>
      </x:c>
    </x:row>
    <x:row r="12" ht="54" customHeight="1">
      <x:c r="A12" s="110" t="str">
        <x:v>SRC-CUS-008</x:v>
      </x:c>
      <x:c r="B12" s="110" t="str">
        <x:v>Origin</x:v>
      </x:c>
      <x:c r="C12" s="110" t="str">
        <x:v>Global</x:v>
      </x:c>
      <x:c r="D12" s="110" t="str">
        <x:v>World Trade Organization</x:v>
      </x:c>
      <x:c r="E12" s="110" t="str">
        <x:v>Rules of Origin Dataset</x:v>
      </x:c>
      <x:c r="F12" s="110" t="str">
        <x:v>Live dataset</x:v>
      </x:c>
      <x:c r="G12" s="110" t="str">
        <x:v>Preferential/non-preferential origin source discovery; agreement inventory</x:v>
      </x:c>
      <x:c r="H12" s="110" t="str">
        <x:v>https://data.wto.org/en/dataset/ext_roo</x:v>
      </x:c>
      <x:c r="I12" s="110" t="str">
        <x:v>Dataset</x:v>
      </x:c>
      <x:c r="J12" s="110" t="str">
        <x:v>Quarterly refresh</x:v>
      </x:c>
      <x:c r="K12" s="110" t="str">
        <x:v>Origin team</x:v>
      </x:c>
      <x:c r="L12" s="110" t="str">
        <x:v>2026-10-25</x:v>
      </x:c>
      <x:c r="M12" s="116" t="str">
        <x:v>ACTIVE</x:v>
      </x:c>
    </x:row>
    <x:row r="13" ht="54" customHeight="1">
      <x:c r="A13" s="111" t="str">
        <x:v>SRC-CUS-009</x:v>
      </x:c>
      <x:c r="B13" s="111" t="str">
        <x:v>Licensing</x:v>
      </x:c>
      <x:c r="C13" s="111" t="str">
        <x:v>Global</x:v>
      </x:c>
      <x:c r="D13" s="111" t="str">
        <x:v>World Trade Organization</x:v>
      </x:c>
      <x:c r="E13" s="111" t="str">
        <x:v>Agreement on Import Licensing Procedures</x:v>
      </x:c>
      <x:c r="F13" s="111" t="str">
        <x:v>Current</x:v>
      </x:c>
      <x:c r="G13" s="111" t="str">
        <x:v>Licensing transparency and country-pack licensing workflow design</x:v>
      </x:c>
      <x:c r="H13" s="111" t="str">
        <x:v>https://importlicensing.wto.org/content/text-agreement</x:v>
      </x:c>
      <x:c r="I13" s="111" t="str">
        <x:v>Web</x:v>
      </x:c>
      <x:c r="J13" s="111" t="str">
        <x:v>Annual review</x:v>
      </x:c>
      <x:c r="K13" s="111" t="str">
        <x:v>Global compliance</x:v>
      </x:c>
      <x:c r="L13" s="111" t="str">
        <x:v>2027-01-25</x:v>
      </x:c>
      <x:c r="M13" s="116" t="str">
        <x:v>ACTIVE</x:v>
      </x:c>
    </x:row>
    <x:row r="14" ht="54" customHeight="1">
      <x:c r="A14" s="110" t="str">
        <x:v>SRC-CUS-010</x:v>
      </x:c>
      <x:c r="B14" s="110" t="str">
        <x:v>Valuation</x:v>
      </x:c>
      <x:c r="C14" s="110" t="str">
        <x:v>Global</x:v>
      </x:c>
      <x:c r="D14" s="110" t="str">
        <x:v>World Trade Organization</x:v>
      </x:c>
      <x:c r="E14" s="110" t="str">
        <x:v>Customs valuation learning and legal materials</x:v>
      </x:c>
      <x:c r="F14" s="110" t="str">
        <x:v>Current</x:v>
      </x:c>
      <x:c r="G14" s="110" t="str">
        <x:v>Transaction value and sequential alternative methods; local implementation required</x:v>
      </x:c>
      <x:c r="H14" s="110" t="str">
        <x:v>https://www.learning.wto.org/course/info.php?id=268</x:v>
      </x:c>
      <x:c r="I14" s="110" t="str">
        <x:v>Web</x:v>
      </x:c>
      <x:c r="J14" s="110" t="str">
        <x:v>Annual review</x:v>
      </x:c>
      <x:c r="K14" s="110" t="str">
        <x:v>Valuation team</x:v>
      </x:c>
      <x:c r="L14" s="110" t="str">
        <x:v>2027-01-25</x:v>
      </x:c>
      <x:c r="M14" s="116" t="str">
        <x:v>ACTIVE</x:v>
      </x:c>
    </x:row>
    <x:row r="15" ht="54" customHeight="1">
      <x:c r="A15" s="111" t="str">
        <x:v>SRC-DAT-001</x:v>
      </x:c>
      <x:c r="B15" s="111" t="str">
        <x:v>Location data</x:v>
      </x:c>
      <x:c r="C15" s="111" t="str">
        <x:v>Global</x:v>
      </x:c>
      <x:c r="D15" s="111" t="str">
        <x:v>United Nations Statistics Division</x:v>
      </x:c>
      <x:c r="E15" s="111" t="str">
        <x:v>UN M49 country or area codes</x:v>
      </x:c>
      <x:c r="F15" s="111" t="str">
        <x:v>Live</x:v>
      </x:c>
      <x:c r="G15" s="111" t="str">
        <x:v>Country/territory naming, M49 codes and statistical regions</x:v>
      </x:c>
      <x:c r="H15" s="111" t="str">
        <x:v>https://unstats.un.org/unsd/methodology/m49/</x:v>
      </x:c>
      <x:c r="I15" s="111" t="str">
        <x:v>Web/table</x:v>
      </x:c>
      <x:c r="J15" s="111" t="str">
        <x:v>Monthly change check</x:v>
      </x:c>
      <x:c r="K15" s="111" t="str">
        <x:v>Platform data</x:v>
      </x:c>
      <x:c r="L15" s="111" t="str">
        <x:v>2026-08-25</x:v>
      </x:c>
      <x:c r="M15" s="116" t="str">
        <x:v>ACTIVE</x:v>
      </x:c>
    </x:row>
    <x:row r="16" ht="54" customHeight="1">
      <x:c r="A16" s="110" t="str">
        <x:v>SRC-DAT-002</x:v>
      </x:c>
      <x:c r="B16" s="110" t="str">
        <x:v>Location data</x:v>
      </x:c>
      <x:c r="C16" s="110" t="str">
        <x:v>Global</x:v>
      </x:c>
      <x:c r="D16" s="110" t="str">
        <x:v>International Organization for Standardization</x:v>
      </x:c>
      <x:c r="E16" s="110" t="str">
        <x:v>ISO 3166 country codes</x:v>
      </x:c>
      <x:c r="F16" s="110" t="str">
        <x:v>Live</x:v>
      </x:c>
      <x:c r="G16" s="110" t="str">
        <x:v>ISO alpha-2/alpha-3 country and dependent-territory identifiers</x:v>
      </x:c>
      <x:c r="H16" s="110" t="str">
        <x:v>https://www.iso.org/iso-3166-country-codes.html</x:v>
      </x:c>
      <x:c r="I16" s="110" t="str">
        <x:v>Web</x:v>
      </x:c>
      <x:c r="J16" s="110" t="str">
        <x:v>Subscribe to ISO change notices</x:v>
      </x:c>
      <x:c r="K16" s="110" t="str">
        <x:v>Platform data</x:v>
      </x:c>
      <x:c r="L16" s="110" t="str">
        <x:v>2026-08-25</x:v>
      </x:c>
      <x:c r="M16" s="116" t="str">
        <x:v>ACTIVE</x:v>
      </x:c>
    </x:row>
    <x:row r="17" ht="54" customHeight="1">
      <x:c r="A17" s="111" t="str">
        <x:v>SRC-DAT-003</x:v>
      </x:c>
      <x:c r="B17" s="111" t="str">
        <x:v>Location data</x:v>
      </x:c>
      <x:c r="C17" s="111" t="str">
        <x:v>Global</x:v>
      </x:c>
      <x:c r="D17" s="111" t="str">
        <x:v>UNECE UN/CEFACT</x:v>
      </x:c>
      <x:c r="E17" s="111" t="str">
        <x:v>UN/LOCODE Recommendation 16</x:v>
      </x:c>
      <x:c r="F17" s="111" t="str">
        <x:v>Current release</x:v>
      </x:c>
      <x:c r="G17" s="111" t="str">
        <x:v>Ports, airports, terminals and other trade locations</x:v>
      </x:c>
      <x:c r="H17" s="111" t="str">
        <x:v>https://unece.org/info/publications/pub/21828</x:v>
      </x:c>
      <x:c r="I17" s="111" t="str">
        <x:v>Dataset</x:v>
      </x:c>
      <x:c r="J17" s="111" t="str">
        <x:v>Release-based update</x:v>
      </x:c>
      <x:c r="K17" s="111" t="str">
        <x:v>Platform data</x:v>
      </x:c>
      <x:c r="L17" s="111" t="str">
        <x:v>2026-10-25</x:v>
      </x:c>
      <x:c r="M17" s="116" t="str">
        <x:v>ACTIVE</x:v>
      </x:c>
    </x:row>
    <x:row r="18" ht="54" customHeight="1">
      <x:c r="A18" s="110" t="str">
        <x:v>SRC-DAT-004</x:v>
      </x:c>
      <x:c r="B18" s="110" t="str">
        <x:v>Trade data</x:v>
      </x:c>
      <x:c r="C18" s="110" t="str">
        <x:v>Global</x:v>
      </x:c>
      <x:c r="D18" s="110" t="str">
        <x:v>UNECE UN/CEFACT</x:v>
      </x:c>
      <x:c r="E18" s="110" t="str">
        <x:v>Multimodal Transport Reference Data Model</x:v>
      </x:c>
      <x:c r="F18" s="110" t="str">
        <x:v>Current</x:v>
      </x:c>
      <x:c r="G18" s="110" t="str">
        <x:v>Semantic alignment for consignment, transport movement and parties</x:v>
      </x:c>
      <x:c r="H18" s="110" t="str">
        <x:v>https://service.unece.org/trade/uncefact/publication/Transport-Logistics/MMT-RDM/HTML/011.htm</x:v>
      </x:c>
      <x:c r="I18" s="110" t="str">
        <x:v>Web/model</x:v>
      </x:c>
      <x:c r="J18" s="110" t="str">
        <x:v>Annual review</x:v>
      </x:c>
      <x:c r="K18" s="110" t="str">
        <x:v>Architecture</x:v>
      </x:c>
      <x:c r="L18" s="110" t="str">
        <x:v>2027-01-25</x:v>
      </x:c>
      <x:c r="M18" s="116" t="str">
        <x:v>ACTIVE</x:v>
      </x:c>
    </x:row>
    <x:row r="19" ht="54" customHeight="1">
      <x:c r="A19" s="111" t="str">
        <x:v>SRC-POST-001</x:v>
      </x:c>
      <x:c r="B19" s="111" t="str">
        <x:v>Postal</x:v>
      </x:c>
      <x:c r="C19" s="111" t="str">
        <x:v>Global</x:v>
      </x:c>
      <x:c r="D19" s="111" t="str">
        <x:v>WCO and Universal Postal Union</x:v>
      </x:c>
      <x:c r="E19" s="111" t="str">
        <x:v>WCO-UPU EAD and Data Quality Guidelines 2025</x:v>
      </x:c>
      <x:c r="F19" s="111" t="str">
        <x:v>2025</x:v>
      </x:c>
      <x:c r="G19" s="111" t="str">
        <x:v>ITMATT/CN22/CN23 electronic data, identifiers, PLACI and referral handling</x:v>
      </x:c>
      <x:c r="H19" s="111" t="str">
        <x:v>https://www.upu.int/UPU/media/upu/files/postalSolutions/programmesAndServices/postalSupplyChain/customs/wcoPublicationsAndActivities/WcoUpuGuidelinesEadAndDataQuality2025En.pdf</x:v>
      </x:c>
      <x:c r="I19" s="111" t="str">
        <x:v>PDF</x:v>
      </x:c>
      <x:c r="J19" s="111" t="str">
        <x:v>Annual edition review</x:v>
      </x:c>
      <x:c r="K19" s="111" t="str">
        <x:v>Postal compliance</x:v>
      </x:c>
      <x:c r="L19" s="111" t="str">
        <x:v>2026-10-25</x:v>
      </x:c>
      <x:c r="M19" s="116" t="str">
        <x:v>ACTIVE</x:v>
      </x:c>
    </x:row>
    <x:row r="20" ht="54" customHeight="1">
      <x:c r="A20" s="110" t="str">
        <x:v>SRC-POST-002</x:v>
      </x:c>
      <x:c r="B20" s="110" t="str">
        <x:v>Postal</x:v>
      </x:c>
      <x:c r="C20" s="110" t="str">
        <x:v>Global</x:v>
      </x:c>
      <x:c r="D20" s="110" t="str">
        <x:v>Universal Postal Union</x:v>
      </x:c>
      <x:c r="E20" s="110" t="str">
        <x:v>Convention Regulations 2025</x:v>
      </x:c>
      <x:c r="F20" s="110" t="str">
        <x:v>2025</x:v>
      </x:c>
      <x:c r="G20" s="110" t="str">
        <x:v>International letter-post and parcel operational rules and forms</x:v>
      </x:c>
      <x:c r="H20" s="110" t="str">
        <x:v>https://www.upu.int/UPU/media/upu/files/aboutUpu/acts/05-actsRegulationsConventionAndPostalPayment/POC-REGL-2025-1%E2%94%80Doc-1.pdf</x:v>
      </x:c>
      <x:c r="I20" s="110" t="str">
        <x:v>PDF</x:v>
      </x:c>
      <x:c r="J20" s="110" t="str">
        <x:v>Annual edition review</x:v>
      </x:c>
      <x:c r="K20" s="110" t="str">
        <x:v>Postal compliance</x:v>
      </x:c>
      <x:c r="L20" s="110" t="str">
        <x:v>2026-10-25</x:v>
      </x:c>
      <x:c r="M20" s="116" t="str">
        <x:v>ACTIVE</x:v>
      </x:c>
    </x:row>
    <x:row r="21" ht="54" customHeight="1">
      <x:c r="A21" s="111" t="str">
        <x:v>SRC-POST-003</x:v>
      </x:c>
      <x:c r="B21" s="111" t="str">
        <x:v>Postal</x:v>
      </x:c>
      <x:c r="C21" s="111" t="str">
        <x:v>Global</x:v>
      </x:c>
      <x:c r="D21" s="111" t="str">
        <x:v>Universal Postal Union</x:v>
      </x:c>
      <x:c r="E21" s="111" t="str">
        <x:v>UPU Standards Catalogue</x:v>
      </x:c>
      <x:c r="F21" s="111" t="str">
        <x:v>May 2026</x:v>
      </x:c>
      <x:c r="G21" s="111" t="str">
        <x:v>Message and identifier standards inventory</x:v>
      </x:c>
      <x:c r="H21" s="111" t="str">
        <x:v>https://www.upu.int/UPU/media/upu/documents/Standards/20260512-Catalogue-of-UPU-standards.pdf</x:v>
      </x:c>
      <x:c r="I21" s="111" t="str">
        <x:v>PDF</x:v>
      </x:c>
      <x:c r="J21" s="111" t="str">
        <x:v>Quarterly edition review</x:v>
      </x:c>
      <x:c r="K21" s="111" t="str">
        <x:v>Postal architecture</x:v>
      </x:c>
      <x:c r="L21" s="111" t="str">
        <x:v>2026-10-25</x:v>
      </x:c>
      <x:c r="M21" s="116" t="str">
        <x:v>ACTIVE</x:v>
      </x:c>
    </x:row>
    <x:row r="22" ht="54" customHeight="1">
      <x:c r="A22" s="110" t="str">
        <x:v>SRC-POST-004</x:v>
      </x:c>
      <x:c r="B22" s="110" t="str">
        <x:v>Postal</x:v>
      </x:c>
      <x:c r="C22" s="110" t="str">
        <x:v>Global</x:v>
      </x:c>
      <x:c r="D22" s="110" t="str">
        <x:v>Universal Postal Union</x:v>
      </x:c>
      <x:c r="E22" s="110" t="str">
        <x:v>Letter-post forms</x:v>
      </x:c>
      <x:c r="F22" s="110" t="str">
        <x:v>Live</x:v>
      </x:c>
      <x:c r="G22" s="110" t="str">
        <x:v>Authoritative CN22/CN23 and related form templates</x:v>
      </x:c>
      <x:c r="H22" s="110" t="str">
        <x:v>https://www.upu.int/fr/Solutions-postales/Programmes-et-services/Services-physiques/Formules-de-la-poste-aux-lettres</x:v>
      </x:c>
      <x:c r="I22" s="110" t="str">
        <x:v>Web/forms</x:v>
      </x:c>
      <x:c r="J22" s="110" t="str">
        <x:v>Quarterly check</x:v>
      </x:c>
      <x:c r="K22" s="110" t="str">
        <x:v>Postal compliance</x:v>
      </x:c>
      <x:c r="L22" s="110" t="str">
        <x:v>2026-10-25</x:v>
      </x:c>
      <x:c r="M22" s="116" t="str">
        <x:v>ACTIVE</x:v>
      </x:c>
    </x:row>
    <x:row r="23" ht="54" customHeight="1">
      <x:c r="A23" s="111" t="str">
        <x:v>SRC-AIR-001</x:v>
      </x:c>
      <x:c r="B23" s="111" t="str">
        <x:v>Air cargo</x:v>
      </x:c>
      <x:c r="C23" s="111" t="str">
        <x:v>Global</x:v>
      </x:c>
      <x:c r="D23" s="111" t="str">
        <x:v>International Civil Aviation Organization</x:v>
      </x:c>
      <x:c r="E23" s="111" t="str">
        <x:v>Dangerous Goods overview and Annex 18 context</x:v>
      </x:c>
      <x:c r="F23" s="111" t="str">
        <x:v>Current</x:v>
      </x:c>
      <x:c r="G23" s="111" t="str">
        <x:v>Air DG roles, acceptance, inspection, segregation, training and enforcement</x:v>
      </x:c>
      <x:c r="H23" s="111" t="str">
        <x:v>https://www.icao.int/dangerous-goods</x:v>
      </x:c>
      <x:c r="I23" s="111" t="str">
        <x:v>Web</x:v>
      </x:c>
      <x:c r="J23" s="111" t="str">
        <x:v>Annual and addendum review</x:v>
      </x:c>
      <x:c r="K23" s="111" t="str">
        <x:v>DG governance</x:v>
      </x:c>
      <x:c r="L23" s="111" t="str">
        <x:v>2026-09-25</x:v>
      </x:c>
      <x:c r="M23" s="116" t="str">
        <x:v>ACTIVE</x:v>
      </x:c>
    </x:row>
    <x:row r="24" ht="54" customHeight="1">
      <x:c r="A24" s="110" t="str">
        <x:v>SRC-AIR-002</x:v>
      </x:c>
      <x:c r="B24" s="110" t="str">
        <x:v>Air cargo</x:v>
      </x:c>
      <x:c r="C24" s="110" t="str">
        <x:v>Global</x:v>
      </x:c>
      <x:c r="D24" s="110" t="str">
        <x:v>International Civil Aviation Organization</x:v>
      </x:c>
      <x:c r="E24" s="110" t="str">
        <x:v>Technical Instructions, Doc 9284</x:v>
      </x:c>
      <x:c r="F24" s="110" t="str">
        <x:v>2025–2026 edition</x:v>
      </x:c>
      <x:c r="G24" s="110" t="str">
        <x:v>Binding technical baseline as implemented by states; state variations apply</x:v>
      </x:c>
      <x:c r="H24" s="110" t="str">
        <x:v>https://www.icao.int/publications/doc-series/doc-9284</x:v>
      </x:c>
      <x:c r="I24" s="110" t="str">
        <x:v>Web/PDF</x:v>
      </x:c>
      <x:c r="J24" s="110" t="str">
        <x:v>Monitor corrigenda/addenda</x:v>
      </x:c>
      <x:c r="K24" s="110" t="str">
        <x:v>DG governance</x:v>
      </x:c>
      <x:c r="L24" s="110" t="str">
        <x:v>2026-08-25</x:v>
      </x:c>
      <x:c r="M24" s="116" t="str">
        <x:v>ACTIVE</x:v>
      </x:c>
    </x:row>
    <x:row r="25" ht="54" customHeight="1">
      <x:c r="A25" s="111" t="str">
        <x:v>SRC-AIR-003</x:v>
      </x:c>
      <x:c r="B25" s="111" t="str">
        <x:v>Air cargo</x:v>
      </x:c>
      <x:c r="C25" s="111" t="str">
        <x:v>Global</x:v>
      </x:c>
      <x:c r="D25" s="111" t="str">
        <x:v>International Civil Aviation Organization</x:v>
      </x:c>
      <x:c r="E25" s="111" t="str">
        <x:v>2025–2026 Technical Instructions revisions</x:v>
      </x:c>
      <x:c r="F25" s="111" t="str">
        <x:v>2025–2026</x:v>
      </x:c>
      <x:c r="G25" s="111" t="str">
        <x:v>Revision and corrigendum control</x:v>
      </x:c>
      <x:c r="H25" s="111" t="str">
        <x:v>https://www.icao.int/sites/default/files/DangerousGoods/RevisionsIncorporatedIn2025_2026EditionOfTechnicalInstructionsForTheSafeTransportOfDangerousGoodsByAir.pdf</x:v>
      </x:c>
      <x:c r="I25" s="111" t="str">
        <x:v>PDF</x:v>
      </x:c>
      <x:c r="J25" s="111" t="str">
        <x:v>Monthly addendum check</x:v>
      </x:c>
      <x:c r="K25" s="111" t="str">
        <x:v>DG governance</x:v>
      </x:c>
      <x:c r="L25" s="111" t="str">
        <x:v>2026-08-25</x:v>
      </x:c>
      <x:c r="M25" s="116" t="str">
        <x:v>ACTIVE</x:v>
      </x:c>
    </x:row>
    <x:row r="26" ht="54" customHeight="1">
      <x:c r="A26" s="110" t="str">
        <x:v>SRC-AIR-004</x:v>
      </x:c>
      <x:c r="B26" s="110" t="str">
        <x:v>Dangerous goods</x:v>
      </x:c>
      <x:c r="C26" s="110" t="str">
        <x:v>Global</x:v>
      </x:c>
      <x:c r="D26" s="110" t="str">
        <x:v>United Nations Economic Commission for Europe</x:v>
      </x:c>
      <x:c r="E26" s="110" t="str">
        <x:v>UN Model Regulations Rev. 24</x:v>
      </x:c>
      <x:c r="F26" s="110" t="str">
        <x:v>2025</x:v>
      </x:c>
      <x:c r="G26" s="110" t="str">
        <x:v>UN numbers, classes, packaging and model multimodal provisions</x:v>
      </x:c>
      <x:c r="H26" s="110" t="str">
        <x:v>https://unece.org/transport/dangerous-goods/un-model-regulations-rev-24</x:v>
      </x:c>
      <x:c r="I26" s="110" t="str">
        <x:v>Web/PDF</x:v>
      </x:c>
      <x:c r="J26" s="110" t="str">
        <x:v>Biennial release plus corrigenda</x:v>
      </x:c>
      <x:c r="K26" s="110" t="str">
        <x:v>DG product</x:v>
      </x:c>
      <x:c r="L26" s="110" t="str">
        <x:v>2026-10-25</x:v>
      </x:c>
      <x:c r="M26" s="116" t="str">
        <x:v>ACTIVE</x:v>
      </x:c>
    </x:row>
    <x:row r="27" ht="54" customHeight="1">
      <x:c r="A27" s="111" t="str">
        <x:v>SRC-AIR-005</x:v>
      </x:c>
      <x:c r="B27" s="111" t="str">
        <x:v>Dangerous goods</x:v>
      </x:c>
      <x:c r="C27" s="111" t="str">
        <x:v>Global</x:v>
      </x:c>
      <x:c r="D27" s="111" t="str">
        <x:v>UNECE</x:v>
      </x:c>
      <x:c r="E27" s="111" t="str">
        <x:v>UN Manual of Tests and Criteria Rev. 8 Amend. 1</x:v>
      </x:c>
      <x:c r="F27" s="111" t="str">
        <x:v>2025</x:v>
      </x:c>
      <x:c r="G27" s="111" t="str">
        <x:v>UN 38.3 and other classification/test evidence</x:v>
      </x:c>
      <x:c r="H27" s="111" t="str">
        <x:v>https://unece.org/sites/default/files/2025-07/ST-SG-AC10-11-Rev8-Amend1e.pdf</x:v>
      </x:c>
      <x:c r="I27" s="111" t="str">
        <x:v>PDF</x:v>
      </x:c>
      <x:c r="J27" s="111" t="str">
        <x:v>Edition/addendum review</x:v>
      </x:c>
      <x:c r="K27" s="111" t="str">
        <x:v>DG product</x:v>
      </x:c>
      <x:c r="L27" s="111" t="str">
        <x:v>2026-10-25</x:v>
      </x:c>
      <x:c r="M27" s="116" t="str">
        <x:v>ACTIVE</x:v>
      </x:c>
    </x:row>
    <x:row r="28" ht="54" customHeight="1">
      <x:c r="A28" s="110" t="str">
        <x:v>SRC-AIR-006</x:v>
      </x:c>
      <x:c r="B28" s="110" t="str">
        <x:v>Dangerous goods</x:v>
      </x:c>
      <x:c r="C28" s="110" t="str">
        <x:v>Global</x:v>
      </x:c>
      <x:c r="D28" s="110" t="str">
        <x:v>International Air Transport Association</x:v>
      </x:c>
      <x:c r="E28" s="110" t="str">
        <x:v>DGR 67th edition significant changes</x:v>
      </x:c>
      <x:c r="F28" s="110" t="str">
        <x:v>2026</x:v>
      </x:c>
      <x:c r="G28" s="110" t="str">
        <x:v>Operator-facing annual DG rule changes; state/operator variations must be separately licensed and loaded</x:v>
      </x:c>
      <x:c r="H28" s="110" t="str">
        <x:v>https://www.iata.org/contentassets/90f8038b0eea42069554b2f4530f49ea/dgr-67-en-significant-changes.pdf</x:v>
      </x:c>
      <x:c r="I28" s="110" t="str">
        <x:v>PDF</x:v>
      </x:c>
      <x:c r="J28" s="110" t="str">
        <x:v>Annual edition and addenda</x:v>
      </x:c>
      <x:c r="K28" s="110" t="str">
        <x:v>DG governance</x:v>
      </x:c>
      <x:c r="L28" s="110" t="str">
        <x:v>2026-08-25</x:v>
      </x:c>
      <x:c r="M28" s="116" t="str">
        <x:v>ACTIVE</x:v>
      </x:c>
    </x:row>
    <x:row r="29" ht="54" customHeight="1">
      <x:c r="A29" s="111" t="str">
        <x:v>SRC-AIR-007</x:v>
      </x:c>
      <x:c r="B29" s="111" t="str">
        <x:v>Lithium batteries</x:v>
      </x:c>
      <x:c r="C29" s="111" t="str">
        <x:v>Global</x:v>
      </x:c>
      <x:c r="D29" s="111" t="str">
        <x:v>International Air Transport Association</x:v>
      </x:c>
      <x:c r="E29" s="111" t="str">
        <x:v>Lithium Battery Guidance Document 2026</x:v>
      </x:c>
      <x:c r="F29" s="111" t="str">
        <x:v>2026</x:v>
      </x:c>
      <x:c r="G29" s="111" t="str">
        <x:v>Lithium battery classification, documentation and packing decision support</x:v>
      </x:c>
      <x:c r="H29" s="111" t="str">
        <x:v>https://www.iata.org/contentassets/05e6d8742b0047259bf3a700bc9d42b9/lithium-battery-guidance-document.pdf</x:v>
      </x:c>
      <x:c r="I29" s="111" t="str">
        <x:v>PDF</x:v>
      </x:c>
      <x:c r="J29" s="111" t="str">
        <x:v>Annual edition review</x:v>
      </x:c>
      <x:c r="K29" s="111" t="str">
        <x:v>DG product</x:v>
      </x:c>
      <x:c r="L29" s="111" t="str">
        <x:v>2026-08-25</x:v>
      </x:c>
      <x:c r="M29" s="116" t="str">
        <x:v>ACTIVE</x:v>
      </x:c>
    </x:row>
    <x:row r="30" ht="54" customHeight="1">
      <x:c r="A30" s="110" t="str">
        <x:v>SRC-AIR-008</x:v>
      </x:c>
      <x:c r="B30" s="110" t="str">
        <x:v>Air cargo data</x:v>
      </x:c>
      <x:c r="C30" s="110" t="str">
        <x:v>Global</x:v>
      </x:c>
      <x:c r="D30" s="110" t="str">
        <x:v>International Air Transport Association</x:v>
      </x:c>
      <x:c r="E30" s="110" t="str">
        <x:v>Shipper's Declaration and e-DGD</x:v>
      </x:c>
      <x:c r="F30" s="110" t="str">
        <x:v>Current</x:v>
      </x:c>
      <x:c r="G30" s="110" t="str">
        <x:v>DGD/e-DGD production and shipper certification boundary</x:v>
      </x:c>
      <x:c r="H30" s="110" t="str">
        <x:v>https://www.iata.org/en/programs/cargo/dgr/shippers-declaration/</x:v>
      </x:c>
      <x:c r="I30" s="110" t="str">
        <x:v>Web</x:v>
      </x:c>
      <x:c r="J30" s="110" t="str">
        <x:v>Quarterly review</x:v>
      </x:c>
      <x:c r="K30" s="110" t="str">
        <x:v>Air integrations</x:v>
      </x:c>
      <x:c r="L30" s="110" t="str">
        <x:v>2026-10-25</x:v>
      </x:c>
      <x:c r="M30" s="116" t="str">
        <x:v>ACTIVE</x:v>
      </x:c>
    </x:row>
    <x:row r="31" ht="54" customHeight="1">
      <x:c r="A31" s="111" t="str">
        <x:v>SRC-AIR-009</x:v>
      </x:c>
      <x:c r="B31" s="111" t="str">
        <x:v>Air cargo data</x:v>
      </x:c>
      <x:c r="C31" s="111" t="str">
        <x:v>Global</x:v>
      </x:c>
      <x:c r="D31" s="111" t="str">
        <x:v>International Air Transport Association</x:v>
      </x:c>
      <x:c r="E31" s="111" t="str">
        <x:v>ONE Record fact sheet</x:v>
      </x:c>
      <x:c r="F31" s="111" t="str">
        <x:v>Effective 2026</x:v>
      </x:c>
      <x:c r="G31" s="111" t="str">
        <x:v>API common data model, security and event-driven cargo data sharing</x:v>
      </x:c>
      <x:c r="H31" s="111" t="str">
        <x:v>https://www.iata.org/en/iata-repository/pressroom/fact-sheets/fact-sheet-one-record/</x:v>
      </x:c>
      <x:c r="I31" s="111" t="str">
        <x:v>Web</x:v>
      </x:c>
      <x:c r="J31" s="111" t="str">
        <x:v>Release review</x:v>
      </x:c>
      <x:c r="K31" s="111" t="str">
        <x:v>Air integrations</x:v>
      </x:c>
      <x:c r="L31" s="111" t="str">
        <x:v>2026-10-25</x:v>
      </x:c>
      <x:c r="M31" s="116" t="str">
        <x:v>ACTIVE</x:v>
      </x:c>
    </x:row>
    <x:row r="32" ht="54" customHeight="1">
      <x:c r="A32" s="110" t="str">
        <x:v>SRC-AIR-010</x:v>
      </x:c>
      <x:c r="B32" s="110" t="str">
        <x:v>Air cargo data</x:v>
      </x:c>
      <x:c r="C32" s="110" t="str">
        <x:v>Global</x:v>
      </x:c>
      <x:c r="D32" s="110" t="str">
        <x:v>International Air Transport Association</x:v>
      </x:c>
      <x:c r="E32" s="110" t="str">
        <x:v>Cargo-XML Toolkit</x:v>
      </x:c>
      <x:c r="F32" s="110" t="str">
        <x:v>Current</x:v>
      </x:c>
      <x:c r="G32" s="110" t="str">
        <x:v>Cargo message interoperability and legacy-forwarder integration</x:v>
      </x:c>
      <x:c r="H32" s="110" t="str">
        <x:v>https://www.iata.org/en/publications/manuals/cargo-xml-toolkit/</x:v>
      </x:c>
      <x:c r="I32" s="110" t="str">
        <x:v>Web</x:v>
      </x:c>
      <x:c r="J32" s="110" t="str">
        <x:v>Release review</x:v>
      </x:c>
      <x:c r="K32" s="110" t="str">
        <x:v>Air integrations</x:v>
      </x:c>
      <x:c r="L32" s="110" t="str">
        <x:v>2026-10-25</x:v>
      </x:c>
      <x:c r="M32" s="116" t="str">
        <x:v>ACTIVE</x:v>
      </x:c>
    </x:row>
    <x:row r="33" ht="54" customHeight="1">
      <x:c r="A33" s="111" t="str">
        <x:v>SRC-AIR-011</x:v>
      </x:c>
      <x:c r="B33" s="111" t="str">
        <x:v>Air cargo documents</x:v>
      </x:c>
      <x:c r="C33" s="111" t="str">
        <x:v>Global</x:v>
      </x:c>
      <x:c r="D33" s="111" t="str">
        <x:v>International Air Transport Association</x:v>
      </x:c>
      <x:c r="E33" s="111" t="str">
        <x:v>Resolution 672—e-AWB</x:v>
      </x:c>
      <x:c r="F33" s="111" t="str">
        <x:v>Current</x:v>
      </x:c>
      <x:c r="G33" s="111" t="str">
        <x:v>Electronic air waybill process and fallback controls</x:v>
      </x:c>
      <x:c r="H33" s="111" t="str">
        <x:v>https://www.iata.org/contentassets/783ac75f30d74e32a8eaef26af5696b6/csc-672-en-28dec2019.pdf</x:v>
      </x:c>
      <x:c r="I33" s="111" t="str">
        <x:v>PDF</x:v>
      </x:c>
      <x:c r="J33" s="111" t="str">
        <x:v>Annual review</x:v>
      </x:c>
      <x:c r="K33" s="111" t="str">
        <x:v>Air operations</x:v>
      </x:c>
      <x:c r="L33" s="111" t="str">
        <x:v>2027-01-25</x:v>
      </x:c>
      <x:c r="M33" s="116" t="str">
        <x:v>ACTIVE</x:v>
      </x:c>
    </x:row>
    <x:row r="34" ht="54" customHeight="1">
      <x:c r="A34" s="110" t="str">
        <x:v>SRC-AIR-012</x:v>
      </x:c>
      <x:c r="B34" s="110" t="str">
        <x:v>Aviation security</x:v>
      </x:c>
      <x:c r="C34" s="110" t="str">
        <x:v>Global</x:v>
      </x:c>
      <x:c r="D34" s="110" t="str">
        <x:v>WCO and ICAO</x:v>
      </x:c>
      <x:c r="E34" s="110" t="str">
        <x:v>Guiding Principles for Pre-Loading Advance Cargo Information</x:v>
      </x:c>
      <x:c r="F34" s="110" t="str">
        <x:v>Current</x:v>
      </x:c>
      <x:c r="G34" s="110" t="str">
        <x:v>PLACI 7+1 data, timing, referrals and do-not-load controls</x:v>
      </x:c>
      <x:c r="H34" s="110" t="str">
        <x:v>https://www.icao.int/sites/default/files/sp-files/Security/aircargo/Documents/Joint%20WCO-ICAO%20Guiding%20Principles%20for%20PLACI%20EN.pdf</x:v>
      </x:c>
      <x:c r="I34" s="110" t="str">
        <x:v>PDF</x:v>
      </x:c>
      <x:c r="J34" s="110" t="str">
        <x:v>Annual review</x:v>
      </x:c>
      <x:c r="K34" s="110" t="str">
        <x:v>Air security</x:v>
      </x:c>
      <x:c r="L34" s="110" t="str">
        <x:v>2026-10-25</x:v>
      </x:c>
      <x:c r="M34" s="116" t="str">
        <x:v>ACTIVE</x:v>
      </x:c>
    </x:row>
    <x:row r="35" ht="54" customHeight="1">
      <x:c r="A35" s="111" t="str">
        <x:v>SRC-AIR-013</x:v>
      </x:c>
      <x:c r="B35" s="111" t="str">
        <x:v>Air carriage</x:v>
      </x:c>
      <x:c r="C35" s="111" t="str">
        <x:v>Treaty parties</x:v>
      </x:c>
      <x:c r="D35" s="111" t="str">
        <x:v>International Civil Aviation Organization</x:v>
      </x:c>
      <x:c r="E35" s="111" t="str">
        <x:v>Montreal Convention 1999</x:v>
      </x:c>
      <x:c r="F35" s="111" t="str">
        <x:v>Treaty/current parties</x:v>
      </x:c>
      <x:c r="G35" s="111" t="str">
        <x:v>Air carriage documentation and liability framework; applicability is lane-specific</x:v>
      </x:c>
      <x:c r="H35" s="111" t="str">
        <x:v>https://www.icao.int/sites/default/files/inline-files/mtl99_en.pdf</x:v>
      </x:c>
      <x:c r="I35" s="111" t="str">
        <x:v>PDF</x:v>
      </x:c>
      <x:c r="J35" s="111" t="str">
        <x:v>Parties and limits review</x:v>
      </x:c>
      <x:c r="K35" s="111" t="str">
        <x:v>Legal</x:v>
      </x:c>
      <x:c r="L35" s="111" t="str">
        <x:v>2026-10-25</x:v>
      </x:c>
      <x:c r="M35" s="116" t="str">
        <x:v>ACTIVE</x:v>
      </x:c>
    </x:row>
    <x:row r="36" ht="54" customHeight="1">
      <x:c r="A36" s="110" t="str">
        <x:v>SRC-AIR-014</x:v>
      </x:c>
      <x:c r="B36" s="110" t="str">
        <x:v>Air carriage</x:v>
      </x:c>
      <x:c r="C36" s="110" t="str">
        <x:v>Treaty parties</x:v>
      </x:c>
      <x:c r="D36" s="110" t="str">
        <x:v>International Civil Aviation Organization</x:v>
      </x:c>
      <x:c r="E36" s="110" t="str">
        <x:v>Revised Montreal Convention liability limits</x:v>
      </x:c>
      <x:c r="F36" s="110" t="str">
        <x:v>Effective 2024-12-28</x:v>
      </x:c>
      <x:c r="G36" s="110" t="str">
        <x:v>Versioned air cargo liability limits; no hard-coded amount without treaty applicability</x:v>
      </x:c>
      <x:c r="H36" s="110" t="str">
        <x:v>https://www.icao.int/sites/default/files/secretariat/legal/LEB%20Treaty%20Collection%20Documents/2024_Revised_Limits_Of_Liability_Under_The_Montreal_Convention_Of_1999_en.pdf</x:v>
      </x:c>
      <x:c r="I36" s="110" t="str">
        <x:v>PDF</x:v>
      </x:c>
      <x:c r="J36" s="110" t="str">
        <x:v>Five-year revision check</x:v>
      </x:c>
      <x:c r="K36" s="110" t="str">
        <x:v>Legal</x:v>
      </x:c>
      <x:c r="L36" s="110" t="str">
        <x:v>2027-01-25</x:v>
      </x:c>
      <x:c r="M36" s="116" t="str">
        <x:v>ACTIVE</x:v>
      </x:c>
    </x:row>
    <x:row r="37" ht="54" customHeight="1">
      <x:c r="A37" s="111" t="str">
        <x:v>SRC-SAN-001</x:v>
      </x:c>
      <x:c r="B37" s="111" t="str">
        <x:v>Sanctions</x:v>
      </x:c>
      <x:c r="C37" s="111" t="str">
        <x:v>Global/UN members</x:v>
      </x:c>
      <x:c r="D37" s="111" t="str">
        <x:v>United Nations Security Council</x:v>
      </x:c>
      <x:c r="E37" s="111" t="str">
        <x:v>UN Security Council Consolidated List</x:v>
      </x:c>
      <x:c r="F37" s="111" t="str">
        <x:v>Live</x:v>
      </x:c>
      <x:c r="G37" s="111" t="str">
        <x:v>Baseline designated-party and regime screening</x:v>
      </x:c>
      <x:c r="H37" s="111" t="str">
        <x:v>https://main.un.org/securitycouncil/en/content/un-sc-consolidated-list</x:v>
      </x:c>
      <x:c r="I37" s="111" t="str">
        <x:v>XML/PDF</x:v>
      </x:c>
      <x:c r="J37" s="111" t="str">
        <x:v>At least daily ingestion</x:v>
      </x:c>
      <x:c r="K37" s="111" t="str">
        <x:v>Screening operations</x:v>
      </x:c>
      <x:c r="L37" s="111" t="str">
        <x:v>2026-07-26</x:v>
      </x:c>
      <x:c r="M37" s="116" t="str">
        <x:v>ACTIVE</x:v>
      </x:c>
    </x:row>
    <x:row r="38" ht="54" customHeight="1">
      <x:c r="A38" s="110" t="str">
        <x:v>SRC-SAN-002</x:v>
      </x:c>
      <x:c r="B38" s="110" t="str">
        <x:v>Sanctions</x:v>
      </x:c>
      <x:c r="C38" s="110" t="str">
        <x:v>United States nexus</x:v>
      </x:c>
      <x:c r="D38" s="110" t="str">
        <x:v>U.S. Treasury OFAC</x:v>
      </x:c>
      <x:c r="E38" s="110" t="str">
        <x:v>Sanctions List Service</x:v>
      </x:c>
      <x:c r="F38" s="110" t="str">
        <x:v>Live</x:v>
      </x:c>
      <x:c r="G38" s="110" t="str">
        <x:v>OFAC list ingestion and authoritative match resolution</x:v>
      </x:c>
      <x:c r="H38" s="110" t="str">
        <x:v>https://ofac.treasury.gov/sanctions-list-service</x:v>
      </x:c>
      <x:c r="I38" s="110" t="str">
        <x:v>Data/Web</x:v>
      </x:c>
      <x:c r="J38" s="110" t="str">
        <x:v>At least daily ingestion</x:v>
      </x:c>
      <x:c r="K38" s="110" t="str">
        <x:v>Screening operations</x:v>
      </x:c>
      <x:c r="L38" s="110" t="str">
        <x:v>2026-07-26</x:v>
      </x:c>
      <x:c r="M38" s="116" t="str">
        <x:v>ACTIVE</x:v>
      </x:c>
    </x:row>
    <x:row r="39" ht="54" customHeight="1">
      <x:c r="A39" s="111" t="str">
        <x:v>SRC-SAN-003</x:v>
      </x:c>
      <x:c r="B39" s="111" t="str">
        <x:v>Export controls</x:v>
      </x:c>
      <x:c r="C39" s="111" t="str">
        <x:v>United States nexus</x:v>
      </x:c>
      <x:c r="D39" s="111" t="str">
        <x:v>U.S. International Trade Administration</x:v>
      </x:c>
      <x:c r="E39" s="111" t="str">
        <x:v>Consolidated Screening List and API</x:v>
      </x:c>
      <x:c r="F39" s="111" t="str">
        <x:v>Updated daily</x:v>
      </x:c>
      <x:c r="G39" s="111" t="str">
        <x:v>Multi-agency screening aid; potential matches require source-list due diligence</x:v>
      </x:c>
      <x:c r="H39" s="111" t="str">
        <x:v>https://www.trade.gov/consolidated-screening-list</x:v>
      </x:c>
      <x:c r="I39" s="111" t="str">
        <x:v>API/Data</x:v>
      </x:c>
      <x:c r="J39" s="111" t="str">
        <x:v>Daily ingestion</x:v>
      </x:c>
      <x:c r="K39" s="111" t="str">
        <x:v>Screening operations</x:v>
      </x:c>
      <x:c r="L39" s="111" t="str">
        <x:v>2026-07-26</x:v>
      </x:c>
      <x:c r="M39" s="116" t="str">
        <x:v>ACTIVE</x:v>
      </x:c>
    </x:row>
    <x:row r="40" ht="54" customHeight="1">
      <x:c r="A40" s="110" t="str">
        <x:v>SRC-SAN-004</x:v>
      </x:c>
      <x:c r="B40" s="110" t="str">
        <x:v>Export controls</x:v>
      </x:c>
      <x:c r="C40" s="110" t="str">
        <x:v>United States nexus</x:v>
      </x:c>
      <x:c r="D40" s="110" t="str">
        <x:v>U.S. Bureau of Industry and Security</x:v>
      </x:c>
      <x:c r="E40" s="110" t="str">
        <x:v>Interactive Commerce Country Chart</x:v>
      </x:c>
      <x:c r="F40" s="110" t="str">
        <x:v>Live</x:v>
      </x:c>
      <x:c r="G40" s="110" t="str">
        <x:v>EAR country-reason license matrix input; classification and end-use controls still required</x:v>
      </x:c>
      <x:c r="H40" s="110" t="str">
        <x:v>https://media.bis.gov/regulations/ear/interactive-commerce-country-chart</x:v>
      </x:c>
      <x:c r="I40" s="110" t="str">
        <x:v>Web</x:v>
      </x:c>
      <x:c r="J40" s="110" t="str">
        <x:v>Daily/notification review</x:v>
      </x:c>
      <x:c r="K40" s="110" t="str">
        <x:v>Export controls</x:v>
      </x:c>
      <x:c r="L40" s="110" t="str">
        <x:v>2026-07-26</x:v>
      </x:c>
      <x:c r="M40" s="116" t="str">
        <x:v>ACTIVE</x:v>
      </x:c>
    </x:row>
    <x:row r="41" ht="54" customHeight="1">
      <x:c r="A41" s="111" t="str">
        <x:v>SRC-SAN-005</x:v>
      </x:c>
      <x:c r="B41" s="111" t="str">
        <x:v>Sanctions</x:v>
      </x:c>
      <x:c r="C41" s="111" t="str">
        <x:v>European Union nexus</x:v>
      </x:c>
      <x:c r="D41" s="111" t="str">
        <x:v>European Commission</x:v>
      </x:c>
      <x:c r="E41" s="111" t="str">
        <x:v>EU consolidated financial sanctions list</x:v>
      </x:c>
      <x:c r="F41" s="111" t="str">
        <x:v>Live</x:v>
      </x:c>
      <x:c r="G41" s="111" t="str">
        <x:v>EU designated-party screening</x:v>
      </x:c>
      <x:c r="H41" s="111" t="str">
        <x:v>https://data.europa.eu/data/datasets/consolidated-list-of-persons-groups-and-entities-subject-to-eu-financial-sanctions?dl=rdf&amp;locale=en</x:v>
      </x:c>
      <x:c r="I41" s="111" t="str">
        <x:v>Data</x:v>
      </x:c>
      <x:c r="J41" s="111" t="str">
        <x:v>Daily ingestion</x:v>
      </x:c>
      <x:c r="K41" s="111" t="str">
        <x:v>Screening operations</x:v>
      </x:c>
      <x:c r="L41" s="111" t="str">
        <x:v>2026-07-26</x:v>
      </x:c>
      <x:c r="M41" s="116" t="str">
        <x:v>ACTIVE</x:v>
      </x:c>
    </x:row>
    <x:row r="42" ht="54" customHeight="1">
      <x:c r="A42" s="110" t="str">
        <x:v>SRC-SAN-006</x:v>
      </x:c>
      <x:c r="B42" s="110" t="str">
        <x:v>Sanctions</x:v>
      </x:c>
      <x:c r="C42" s="110" t="str">
        <x:v>United Kingdom nexus</x:v>
      </x:c>
      <x:c r="D42" s="110" t="str">
        <x:v>UK Government</x:v>
      </x:c>
      <x:c r="E42" s="110" t="str">
        <x:v>UK Sanctions List</x:v>
      </x:c>
      <x:c r="F42" s="110" t="str">
        <x:v>Live</x:v>
      </x:c>
      <x:c r="G42" s="110" t="str">
        <x:v>UK designated-party and regime screening</x:v>
      </x:c>
      <x:c r="H42" s="110" t="str">
        <x:v>https://www.gov.uk/government/publications/the-uk-sanctions-list</x:v>
      </x:c>
      <x:c r="I42" s="110" t="str">
        <x:v>Data/Web</x:v>
      </x:c>
      <x:c r="J42" s="110" t="str">
        <x:v>Daily ingestion</x:v>
      </x:c>
      <x:c r="K42" s="110" t="str">
        <x:v>Screening operations</x:v>
      </x:c>
      <x:c r="L42" s="110" t="str">
        <x:v>2026-07-26</x:v>
      </x:c>
      <x:c r="M42" s="116" t="str">
        <x:v>ACTIVE</x:v>
      </x:c>
    </x:row>
    <x:row r="43" ht="54" customHeight="1">
      <x:c r="A43" s="111" t="str">
        <x:v>SRC-SAN-007</x:v>
      </x:c>
      <x:c r="B43" s="111" t="str">
        <x:v>Dual use</x:v>
      </x:c>
      <x:c r="C43" s="111" t="str">
        <x:v>Participating states</x:v>
      </x:c>
      <x:c r="D43" s="111" t="str">
        <x:v>Wassenaar Arrangement</x:v>
      </x:c>
      <x:c r="E43" s="111" t="str">
        <x:v>Dual-Use and Munitions Lists 2025</x:v>
      </x:c>
      <x:c r="F43" s="111" t="str">
        <x:v>2025 with 2026 correction</x:v>
      </x:c>
      <x:c r="G43" s="111" t="str">
        <x:v>Control-list reference; national implementation controls licensing</x:v>
      </x:c>
      <x:c r="H43" s="111" t="str">
        <x:v>https://www.wassenaar.org/app/uploads/2025/12/List-of-Dual-Use-Goods-and-Technologies-and-ML-2025.pdf</x:v>
      </x:c>
      <x:c r="I43" s="111" t="str">
        <x:v>PDF</x:v>
      </x:c>
      <x:c r="J43" s="111" t="str">
        <x:v>Annual list review</x:v>
      </x:c>
      <x:c r="K43" s="111" t="str">
        <x:v>Export controls</x:v>
      </x:c>
      <x:c r="L43" s="111" t="str">
        <x:v>2026-10-25</x:v>
      </x:c>
      <x:c r="M43" s="116" t="str">
        <x:v>ACTIVE</x:v>
      </x:c>
    </x:row>
    <x:row r="44" ht="54" customHeight="1">
      <x:c r="A44" s="110" t="str">
        <x:v>SRC-SAN-008</x:v>
      </x:c>
      <x:c r="B44" s="110" t="str">
        <x:v>Dual use</x:v>
      </x:c>
      <x:c r="C44" s="110" t="str">
        <x:v>Participating states</x:v>
      </x:c>
      <x:c r="D44" s="110" t="str">
        <x:v>Missile Technology Control Regime</x:v>
      </x:c>
      <x:c r="E44" s="110" t="str">
        <x:v>MTCR Guidelines</x:v>
      </x:c>
      <x:c r="F44" s="110" t="str">
        <x:v>Current</x:v>
      </x:c>
      <x:c r="G44" s="110" t="str">
        <x:v>Missile-related dual-use control taxonomy; national implementation controls licensing</x:v>
      </x:c>
      <x:c r="H44" s="110" t="str">
        <x:v>https://www.mtcr.info/en/mtcr-guidelines</x:v>
      </x:c>
      <x:c r="I44" s="110" t="str">
        <x:v>Web/PDF</x:v>
      </x:c>
      <x:c r="J44" s="110" t="str">
        <x:v>Annual review</x:v>
      </x:c>
      <x:c r="K44" s="110" t="str">
        <x:v>Export controls</x:v>
      </x:c>
      <x:c r="L44" s="110" t="str">
        <x:v>2027-01-25</x:v>
      </x:c>
      <x:c r="M44" s="116" t="str">
        <x:v>ACTIVE</x:v>
      </x:c>
    </x:row>
    <x:row r="45" ht="54" customHeight="1">
      <x:c r="A45" s="111" t="str">
        <x:v>SRC-SAN-009</x:v>
      </x:c>
      <x:c r="B45" s="111" t="str">
        <x:v>Dual use</x:v>
      </x:c>
      <x:c r="C45" s="111" t="str">
        <x:v>Participating states</x:v>
      </x:c>
      <x:c r="D45" s="111" t="str">
        <x:v>Australia Group</x:v>
      </x:c>
      <x:c r="E45" s="111" t="str">
        <x:v>Common control lists</x:v>
      </x:c>
      <x:c r="F45" s="111" t="str">
        <x:v>Current</x:v>
      </x:c>
      <x:c r="G45" s="111" t="str">
        <x:v>Chemical/biological dual-use taxonomy; national implementation controls licensing</x:v>
      </x:c>
      <x:c r="H45" s="111" t="str">
        <x:v>https://www.dfat.gov.au/publications/minisite/theaustraliagroupnet/site/en/controllists.html</x:v>
      </x:c>
      <x:c r="I45" s="111" t="str">
        <x:v>Web/PDF</x:v>
      </x:c>
      <x:c r="J45" s="111" t="str">
        <x:v>Annual review</x:v>
      </x:c>
      <x:c r="K45" s="111" t="str">
        <x:v>Export controls</x:v>
      </x:c>
      <x:c r="L45" s="111" t="str">
        <x:v>2027-01-25</x:v>
      </x:c>
      <x:c r="M45" s="116" t="str">
        <x:v>ACTIVE</x:v>
      </x:c>
    </x:row>
    <x:row r="46" ht="54" customHeight="1">
      <x:c r="A46" s="110" t="str">
        <x:v>SRC-SAN-010</x:v>
      </x:c>
      <x:c r="B46" s="110" t="str">
        <x:v>Cultural goods</x:v>
      </x:c>
      <x:c r="C46" s="110" t="str">
        <x:v>Global</x:v>
      </x:c>
      <x:c r="D46" s="110" t="str">
        <x:v>UNESCO</x:v>
      </x:c>
      <x:c r="E46" s="110" t="str">
        <x:v>1970 Cultural Property Convention</x:v>
      </x:c>
      <x:c r="F46" s="110" t="str">
        <x:v>Convention/current parties</x:v>
      </x:c>
      <x:c r="G46" s="110" t="str">
        <x:v>Cultural-property provenance and permit workflow</x:v>
      </x:c>
      <x:c r="H46" s="110" t="str">
        <x:v>https://www.unesco.org/en/legal-affairs/convention-means-prohibiting-and-preventing-illicit-import-export-and-transfer-ownership-cultural</x:v>
      </x:c>
      <x:c r="I46" s="110" t="str">
        <x:v>Web</x:v>
      </x:c>
      <x:c r="J46" s="110" t="str">
        <x:v>Annual party/law review</x:v>
      </x:c>
      <x:c r="K46" s="110" t="str">
        <x:v>High-value controls</x:v>
      </x:c>
      <x:c r="L46" s="110" t="str">
        <x:v>2027-01-25</x:v>
      </x:c>
      <x:c r="M46" s="116" t="str">
        <x:v>ACTIVE</x:v>
      </x:c>
    </x:row>
    <x:row r="47" ht="54" customHeight="1">
      <x:c r="A47" s="111" t="str">
        <x:v>SRC-SAN-011</x:v>
      </x:c>
      <x:c r="B47" s="111" t="str">
        <x:v>Cultural goods</x:v>
      </x:c>
      <x:c r="C47" s="111" t="str">
        <x:v>Global</x:v>
      </x:c>
      <x:c r="D47" s="111" t="str">
        <x:v>INTERPOL</x:v>
      </x:c>
      <x:c r="E47" s="111" t="str">
        <x:v>Stolen Works of Art Database</x:v>
      </x:c>
      <x:c r="F47" s="111" t="str">
        <x:v>Live</x:v>
      </x:c>
      <x:c r="G47" s="111" t="str">
        <x:v>External screening/escalation for art and cultural goods</x:v>
      </x:c>
      <x:c r="H47" s="111" t="str">
        <x:v>https://www.interpol.int/Crimes/Cultural-heritage-crime/Stolen-Works-of-Art-Database</x:v>
      </x:c>
      <x:c r="I47" s="111" t="str">
        <x:v>Database</x:v>
      </x:c>
      <x:c r="J47" s="111" t="str">
        <x:v>Per shipment where triggered</x:v>
      </x:c>
      <x:c r="K47" s="111" t="str">
        <x:v>High-value controls</x:v>
      </x:c>
      <x:c r="L47" s="111" t="str">
        <x:v>2026-07-26</x:v>
      </x:c>
      <x:c r="M47" s="116" t="str">
        <x:v>ACTIVE</x:v>
      </x:c>
    </x:row>
    <x:row r="48" ht="54" customHeight="1">
      <x:c r="A48" s="110" t="str">
        <x:v>SRC-SAN-012</x:v>
      </x:c>
      <x:c r="B48" s="110" t="str">
        <x:v>Wildlife</x:v>
      </x:c>
      <x:c r="C48" s="110" t="str">
        <x:v>CITES parties</x:v>
      </x:c>
      <x:c r="D48" s="110" t="str">
        <x:v>CITES Secretariat</x:v>
      </x:c>
      <x:c r="E48" s="110" t="str">
        <x:v>CITES Trade Database and species controls</x:v>
      </x:c>
      <x:c r="F48" s="110" t="str">
        <x:v>Live</x:v>
      </x:c>
      <x:c r="G48" s="110" t="str">
        <x:v>Species/material screening and permit evidence for products containing protected wildlife</x:v>
      </x:c>
      <x:c r="H48" s="110" t="str">
        <x:v>https://trade.cites.org/</x:v>
      </x:c>
      <x:c r="I48" s="110" t="str">
        <x:v>Database</x:v>
      </x:c>
      <x:c r="J48" s="110" t="str">
        <x:v>Current-list lookup</x:v>
      </x:c>
      <x:c r="K48" s="110" t="str">
        <x:v>Commodity compliance</x:v>
      </x:c>
      <x:c r="L48" s="110" t="str">
        <x:v>2026-07-26</x:v>
      </x:c>
      <x:c r="M48" s="116" t="str">
        <x:v>ACTIVE</x:v>
      </x:c>
    </x:row>
    <x:row r="49" ht="54" customHeight="1">
      <x:c r="A49" s="111" t="str">
        <x:v>SRC-SAN-013</x:v>
      </x:c>
      <x:c r="B49" s="111" t="str">
        <x:v>Precious goods</x:v>
      </x:c>
      <x:c r="C49" s="111" t="str">
        <x:v>Kimberley Process participants</x:v>
      </x:c>
      <x:c r="D49" s="111" t="str">
        <x:v>Kimberley Process</x:v>
      </x:c>
      <x:c r="E49" s="111" t="str">
        <x:v>Kimberley Process Certification Scheme</x:v>
      </x:c>
      <x:c r="F49" s="111" t="str">
        <x:v>Current</x:v>
      </x:c>
      <x:c r="G49" s="111" t="str">
        <x:v>Rough-diamond participant, certificate and tamper-evident controls</x:v>
      </x:c>
      <x:c r="H49" s="111" t="str">
        <x:v>https://www.kimberleyprocess.com/about/what-is-kp</x:v>
      </x:c>
      <x:c r="I49" s="111" t="str">
        <x:v>Web</x:v>
      </x:c>
      <x:c r="J49" s="111" t="str">
        <x:v>Shipment-time validation</x:v>
      </x:c>
      <x:c r="K49" s="111" t="str">
        <x:v>High-value controls</x:v>
      </x:c>
      <x:c r="L49" s="111" t="str">
        <x:v>2026-07-26</x:v>
      </x:c>
      <x:c r="M49" s="116" t="str">
        <x:v>ACTIVE</x:v>
      </x:c>
    </x:row>
    <x:row r="50" ht="54" customHeight="1">
      <x:c r="A50" s="110" t="str">
        <x:v>SRC-COM-001</x:v>
      </x:c>
      <x:c r="B50" s="110" t="str">
        <x:v>Food/SPS</x:v>
      </x:c>
      <x:c r="C50" s="110" t="str">
        <x:v>WTO members</x:v>
      </x:c>
      <x:c r="D50" s="110" t="str">
        <x:v>World Trade Organization</x:v>
      </x:c>
      <x:c r="E50" s="110" t="str">
        <x:v>SPS notification system</x:v>
      </x:c>
      <x:c r="F50" s="110" t="str">
        <x:v>Live</x:v>
      </x:c>
      <x:c r="G50" s="110" t="str">
        <x:v>Country pack changes for food, animal and plant health controls</x:v>
      </x:c>
      <x:c r="H50" s="110" t="str">
        <x:v>https://notifications.wto.org/en/notification-requirements/sanitary-and-phytosanitary-measures</x:v>
      </x:c>
      <x:c r="I50" s="110" t="str">
        <x:v>Database</x:v>
      </x:c>
      <x:c r="J50" s="110" t="str">
        <x:v>Daily alerts by market</x:v>
      </x:c>
      <x:c r="K50" s="110" t="str">
        <x:v>Food compliance</x:v>
      </x:c>
      <x:c r="L50" s="110" t="str">
        <x:v>2026-07-26</x:v>
      </x:c>
      <x:c r="M50" s="116" t="str">
        <x:v>ACTIVE</x:v>
      </x:c>
    </x:row>
    <x:row r="51" ht="54" customHeight="1">
      <x:c r="A51" s="111" t="str">
        <x:v>SRC-COM-002</x:v>
      </x:c>
      <x:c r="B51" s="111" t="str">
        <x:v>Food</x:v>
      </x:c>
      <x:c r="C51" s="111" t="str">
        <x:v>Global</x:v>
      </x:c>
      <x:c r="D51" s="111" t="str">
        <x:v>FAO/WHO Codex Alimentarius</x:v>
      </x:c>
      <x:c r="E51" s="111" t="str">
        <x:v>Codex standards list</x:v>
      </x:c>
      <x:c r="F51" s="111" t="str">
        <x:v>Current</x:v>
      </x:c>
      <x:c r="G51" s="111" t="str">
        <x:v>Product standards, labelling and hygiene reference; national adoption varies</x:v>
      </x:c>
      <x:c r="H51" s="111" t="str">
        <x:v>https://www.fao.org/fao-who-codexalimentarius/codex-texts/list-standards/en/</x:v>
      </x:c>
      <x:c r="I51" s="111" t="str">
        <x:v>Web/PDF</x:v>
      </x:c>
      <x:c r="J51" s="111" t="str">
        <x:v>Quarterly review</x:v>
      </x:c>
      <x:c r="K51" s="111" t="str">
        <x:v>Food compliance</x:v>
      </x:c>
      <x:c r="L51" s="111" t="str">
        <x:v>2026-10-25</x:v>
      </x:c>
      <x:c r="M51" s="116" t="str">
        <x:v>ACTIVE</x:v>
      </x:c>
    </x:row>
    <x:row r="52" ht="54" customHeight="1">
      <x:c r="A52" s="110" t="str">
        <x:v>SRC-COM-003</x:v>
      </x:c>
      <x:c r="B52" s="110" t="str">
        <x:v>Pharma/cold chain</x:v>
      </x:c>
      <x:c r="C52" s="110" t="str">
        <x:v>Global</x:v>
      </x:c>
      <x:c r="D52" s="110" t="str">
        <x:v>World Health Organization</x:v>
      </x:c>
      <x:c r="E52" s="110" t="str">
        <x:v>Good storage and distribution practices</x:v>
      </x:c>
      <x:c r="F52" s="110" t="str">
        <x:v>WHO TRS 1025 Annex 7</x:v>
      </x:c>
      <x:c r="G52" s="110" t="str">
        <x:v>Warehouse quality system, storage, distribution, complaints, returns and recalls</x:v>
      </x:c>
      <x:c r="H52" s="110" t="str">
        <x:v>https://cdn.who.int/media/docs/default-source/medicines/norms-and-standards/guidelines/distribution/trs1025-annex7-%281%29.pdf</x:v>
      </x:c>
      <x:c r="I52" s="110" t="str">
        <x:v>PDF</x:v>
      </x:c>
      <x:c r="J52" s="110" t="str">
        <x:v>Annual review</x:v>
      </x:c>
      <x:c r="K52" s="110" t="str">
        <x:v>Life sciences quality</x:v>
      </x:c>
      <x:c r="L52" s="110" t="str">
        <x:v>2027-01-25</x:v>
      </x:c>
      <x:c r="M52" s="116" t="str">
        <x:v>ACTIVE</x:v>
      </x:c>
    </x:row>
    <x:row r="53" ht="54" customHeight="1">
      <x:c r="A53" s="111" t="str">
        <x:v>SRC-COM-004</x:v>
      </x:c>
      <x:c r="B53" s="111" t="str">
        <x:v>Cold chain</x:v>
      </x:c>
      <x:c r="C53" s="111" t="str">
        <x:v>Global</x:v>
      </x:c>
      <x:c r="D53" s="111" t="str">
        <x:v>World Health Organization</x:v>
      </x:c>
      <x:c r="E53" s="111" t="str">
        <x:v>Model guidance for time- and temperature-sensitive pharmaceutical products</x:v>
      </x:c>
      <x:c r="F53" s="111" t="str">
        <x:v>WHO TRS 961 Annex 9</x:v>
      </x:c>
      <x:c r="G53" s="111" t="str">
        <x:v>Temperature mapping, monitoring, excursions, packaging and transport qualification</x:v>
      </x:c>
      <x:c r="H53" s="111" t="str">
        <x:v>https://www.who.int/docs/default-source/medicines/norms-and-standards/guidelines/distribution/trs961-annex9-modelguidanceforstoragetransport.pdf</x:v>
      </x:c>
      <x:c r="I53" s="111" t="str">
        <x:v>PDF</x:v>
      </x:c>
      <x:c r="J53" s="111" t="str">
        <x:v>Annual review</x:v>
      </x:c>
      <x:c r="K53" s="111" t="str">
        <x:v>Life sciences quality</x:v>
      </x:c>
      <x:c r="L53" s="111" t="str">
        <x:v>2027-01-25</x:v>
      </x:c>
      <x:c r="M53" s="116" t="str">
        <x:v>ACTIVE</x:v>
      </x:c>
    </x:row>
    <x:row r="54" ht="54" customHeight="1">
      <x:c r="A54" s="110" t="str">
        <x:v>SRC-COM-005</x:v>
      </x:c>
      <x:c r="B54" s="110" t="str">
        <x:v>Medical devices</x:v>
      </x:c>
      <x:c r="C54" s="110" t="str">
        <x:v>Global/national implementation</x:v>
      </x:c>
      <x:c r="D54" s="110" t="str">
        <x:v>International Medical Device Regulators Forum</x:v>
      </x:c>
      <x:c r="E54" s="110" t="str">
        <x:v>Unique Device Identification guidance</x:v>
      </x:c>
      <x:c r="F54" s="110" t="str">
        <x:v>IMDRF/UDI WG/N7FINAL:2013</x:v>
      </x:c>
      <x:c r="G54" s="110" t="str">
        <x:v>UDI data capture and regulatory identifier mapping</x:v>
      </x:c>
      <x:c r="H54" s="110" t="str">
        <x:v>https://www.imdrf.org/sites/default/files/docs/imdrf/final/technical/imdrf-tech-131209-udi-guidance-140901.pdf</x:v>
      </x:c>
      <x:c r="I54" s="110" t="str">
        <x:v>PDF</x:v>
      </x:c>
      <x:c r="J54" s="110" t="str">
        <x:v>Annual review</x:v>
      </x:c>
      <x:c r="K54" s="110" t="str">
        <x:v>Medical device compliance</x:v>
      </x:c>
      <x:c r="L54" s="110" t="str">
        <x:v>2027-01-25</x:v>
      </x:c>
      <x:c r="M54" s="116" t="str">
        <x:v>ACTIVE</x:v>
      </x:c>
    </x:row>
    <x:row r="55" ht="54" customHeight="1">
      <x:c r="A55" s="111" t="str">
        <x:v>SRC-COM-006</x:v>
      </x:c>
      <x:c r="B55" s="111" t="str">
        <x:v>Food</x:v>
      </x:c>
      <x:c r="C55" s="111" t="str">
        <x:v>United States destination</x:v>
      </x:c>
      <x:c r="D55" s="111" t="str">
        <x:v>U.S. Food and Drug Administration</x:v>
      </x:c>
      <x:c r="E55" s="111" t="str">
        <x:v>Foreign Supplier Verification Programs</x:v>
      </x:c>
      <x:c r="F55" s="111" t="str">
        <x:v>Current</x:v>
      </x:c>
      <x:c r="G55" s="111" t="str">
        <x:v>Importer/FSVP data and shipment hold where required</x:v>
      </x:c>
      <x:c r="H55" s="111" t="str">
        <x:v>https://www.fda.gov/food/food-safety-modernization-act-fsma/final-rule-foreign-supplier-verification-programs-fsvp-glance</x:v>
      </x:c>
      <x:c r="I55" s="111" t="str">
        <x:v>Web</x:v>
      </x:c>
      <x:c r="J55" s="111" t="str">
        <x:v>Quarterly review</x:v>
      </x:c>
      <x:c r="K55" s="111" t="str">
        <x:v>US country pack</x:v>
      </x:c>
      <x:c r="L55" s="111" t="str">
        <x:v>2026-10-25</x:v>
      </x:c>
      <x:c r="M55" s="116" t="str">
        <x:v>ACTIVE</x:v>
      </x:c>
    </x:row>
    <x:row r="56" ht="54" customHeight="1">
      <x:c r="A56" s="110" t="str">
        <x:v>SRC-COM-007</x:v>
      </x:c>
      <x:c r="B56" s="110" t="str">
        <x:v>Food</x:v>
      </x:c>
      <x:c r="C56" s="110" t="str">
        <x:v>United States destination</x:v>
      </x:c>
      <x:c r="D56" s="110" t="str">
        <x:v>U.S. Food and Drug Administration</x:v>
      </x:c>
      <x:c r="E56" s="110" t="str">
        <x:v>Prior Notice of Imported Foods</x:v>
      </x:c>
      <x:c r="F56" s="110" t="str">
        <x:v>Current</x:v>
      </x:c>
      <x:c r="G56" s="110" t="str">
        <x:v>Prior-notice identifier/evidence requirement via approved external filer or carrier workflow</x:v>
      </x:c>
      <x:c r="H56" s="110" t="str">
        <x:v>https://www.fda.gov/industry/fda-import-process/prior-notice-imported-foods</x:v>
      </x:c>
      <x:c r="I56" s="110" t="str">
        <x:v>Web</x:v>
      </x:c>
      <x:c r="J56" s="110" t="str">
        <x:v>Quarterly review</x:v>
      </x:c>
      <x:c r="K56" s="110" t="str">
        <x:v>US country pack</x:v>
      </x:c>
      <x:c r="L56" s="110" t="str">
        <x:v>2026-10-25</x:v>
      </x:c>
      <x:c r="M56" s="116" t="str">
        <x:v>ACTIVE</x:v>
      </x:c>
    </x:row>
    <x:row r="57" ht="54" customHeight="1">
      <x:c r="A57" s="111" t="str">
        <x:v>SRC-COM-008</x:v>
      </x:c>
      <x:c r="B57" s="111" t="str">
        <x:v>Medical devices</x:v>
      </x:c>
      <x:c r="C57" s="111" t="str">
        <x:v>United States destination</x:v>
      </x:c>
      <x:c r="D57" s="111" t="str">
        <x:v>U.S. Food and Drug Administration</x:v>
      </x:c>
      <x:c r="E57" s="111" t="str">
        <x:v>Importing Medical Devices</x:v>
      </x:c>
      <x:c r="F57" s="111" t="str">
        <x:v>Current</x:v>
      </x:c>
      <x:c r="G57" s="111" t="str">
        <x:v>Registration/listing/product-code/import data validation</x:v>
      </x:c>
      <x:c r="H57" s="111" t="str">
        <x:v>https://www.fda.gov/industry/importing-fda-regulated-products/importing-medical-devices</x:v>
      </x:c>
      <x:c r="I57" s="111" t="str">
        <x:v>Web</x:v>
      </x:c>
      <x:c r="J57" s="111" t="str">
        <x:v>Quarterly review</x:v>
      </x:c>
      <x:c r="K57" s="111" t="str">
        <x:v>US country pack</x:v>
      </x:c>
      <x:c r="L57" s="111" t="str">
        <x:v>2026-10-25</x:v>
      </x:c>
      <x:c r="M57" s="116" t="str">
        <x:v>ACTIVE</x:v>
      </x:c>
    </x:row>
    <x:row r="58" ht="54" customHeight="1">
      <x:c r="A58" s="110" t="str">
        <x:v>SRC-COM-009</x:v>
      </x:c>
      <x:c r="B58" s="110" t="str">
        <x:v>Food</x:v>
      </x:c>
      <x:c r="C58" s="110" t="str">
        <x:v>European Union destination</x:v>
      </x:c>
      <x:c r="D58" s="110" t="str">
        <x:v>European Commission</x:v>
      </x:c>
      <x:c r="E58" s="110" t="str">
        <x:v>Imported products—official controls</x:v>
      </x:c>
      <x:c r="F58" s="110" t="str">
        <x:v>Current</x:v>
      </x:c>
      <x:c r="G58" s="110" t="str">
        <x:v>EU food/animal/product official-control and border-control-post routing</x:v>
      </x:c>
      <x:c r="H58" s="110" t="str">
        <x:v>https://food.ec.europa.eu/horizontal-topics/official-controls-and-enforcement/imported-products_en</x:v>
      </x:c>
      <x:c r="I58" s="110" t="str">
        <x:v>Web</x:v>
      </x:c>
      <x:c r="J58" s="110" t="str">
        <x:v>Monthly review</x:v>
      </x:c>
      <x:c r="K58" s="110" t="str">
        <x:v>EU country pack</x:v>
      </x:c>
      <x:c r="L58" s="110" t="str">
        <x:v>2026-08-25</x:v>
      </x:c>
      <x:c r="M58" s="116" t="str">
        <x:v>ACTIVE</x:v>
      </x:c>
    </x:row>
    <x:row r="59" ht="54" customHeight="1">
      <x:c r="A59" s="111" t="str">
        <x:v>SRC-COM-010</x:v>
      </x:c>
      <x:c r="B59" s="111" t="str">
        <x:v>Medicinal products</x:v>
      </x:c>
      <x:c r="C59" s="111" t="str">
        <x:v>European Economic Area</x:v>
      </x:c>
      <x:c r="D59" s="111" t="str">
        <x:v>European Commission</x:v>
      </x:c>
      <x:c r="E59" s="111" t="str">
        <x:v>Good Distribution Practice Guidelines</x:v>
      </x:c>
      <x:c r="F59" s="111" t="str">
        <x:v>Current consolidated guidance</x:v>
      </x:c>
      <x:c r="G59" s="111" t="str">
        <x:v>EU GDP quality, responsible-person, supplier/customer, transport, returns and falsification controls</x:v>
      </x:c>
      <x:c r="H59" s="111" t="str">
        <x:v>https://health.ec.europa.eu/document/download/9f28179a-a6f8-418a-a5fc-ecfbb3ae3ba8_en</x:v>
      </x:c>
      <x:c r="I59" s="111" t="str">
        <x:v>PDF</x:v>
      </x:c>
      <x:c r="J59" s="111" t="str">
        <x:v>Annual review</x:v>
      </x:c>
      <x:c r="K59" s="111" t="str">
        <x:v>EU country pack</x:v>
      </x:c>
      <x:c r="L59" s="111" t="str">
        <x:v>2027-01-25</x:v>
      </x:c>
      <x:c r="M59" s="116" t="str">
        <x:v>ACTIVE</x:v>
      </x:c>
    </x:row>
    <x:row r="60" ht="54" customHeight="1">
      <x:c r="A60" s="110" t="str">
        <x:v>SRC-COM-011</x:v>
      </x:c>
      <x:c r="B60" s="110" t="str">
        <x:v>Cold chain</x:v>
      </x:c>
      <x:c r="C60" s="110" t="str">
        <x:v>Global/air</x:v>
      </x:c>
      <x:c r="D60" s="110" t="str">
        <x:v>International Air Transport Association</x:v>
      </x:c>
      <x:c r="E60" s="110" t="str">
        <x:v>Temperature Control Regulations</x:v>
      </x:c>
      <x:c r="F60" s="110" t="str">
        <x:v>Current edition</x:v>
      </x:c>
      <x:c r="G60" s="110" t="str">
        <x:v>Air temperature-control operational baseline; licensed content and carrier variations apply</x:v>
      </x:c>
      <x:c r="H60" s="110" t="str">
        <x:v>https://www.iata.org/en/publications/manuals/temperature-control-regulations/</x:v>
      </x:c>
      <x:c r="I60" s="110" t="str">
        <x:v>Web/manual</x:v>
      </x:c>
      <x:c r="J60" s="110" t="str">
        <x:v>Annual edition</x:v>
      </x:c>
      <x:c r="K60" s="110" t="str">
        <x:v>Life sciences quality</x:v>
      </x:c>
      <x:c r="L60" s="110" t="str">
        <x:v>2026-10-25</x:v>
      </x:c>
      <x:c r="M60" s="116" t="str">
        <x:v>ACTIVE</x:v>
      </x:c>
    </x:row>
    <x:row r="61" ht="54" customHeight="1">
      <x:c r="A61" s="111" t="str">
        <x:v>SRC-COM-012</x:v>
      </x:c>
      <x:c r="B61" s="111" t="str">
        <x:v>Tobacco</x:v>
      </x:c>
      <x:c r="C61" s="111" t="str">
        <x:v>Protocol parties</x:v>
      </x:c>
      <x:c r="D61" s="111" t="str">
        <x:v>World Health Organization FCTC</x:v>
      </x:c>
      <x:c r="E61" s="111" t="str">
        <x:v>Protocol to Eliminate Illicit Trade in Tobacco Products</x:v>
      </x:c>
      <x:c r="F61" s="111" t="str">
        <x:v>Current parties</x:v>
      </x:c>
      <x:c r="G61" s="111" t="str">
        <x:v>Licensing, tracking/tracing and supply-chain due diligence reference</x:v>
      </x:c>
      <x:c r="H61" s="111" t="str">
        <x:v>https://fctc.who.int/docs/librariesprovider12/default-document-library/protocol-to-eliminate-illicit-trade-in-tobacco-products.pdf</x:v>
      </x:c>
      <x:c r="I61" s="111" t="str">
        <x:v>PDF</x:v>
      </x:c>
      <x:c r="J61" s="111" t="str">
        <x:v>Annual party/law review</x:v>
      </x:c>
      <x:c r="K61" s="111" t="str">
        <x:v>Excise compliance</x:v>
      </x:c>
      <x:c r="L61" s="111" t="str">
        <x:v>2027-01-25</x:v>
      </x:c>
      <x:c r="M61" s="116" t="str">
        <x:v>ACTIVE</x:v>
      </x:c>
    </x:row>
    <x:row r="62" ht="54" customHeight="1">
      <x:c r="A62" s="110" t="str">
        <x:v>SRC-COM-013</x:v>
      </x:c>
      <x:c r="B62" s="110" t="str">
        <x:v>Excise</x:v>
      </x:c>
      <x:c r="C62" s="110" t="str">
        <x:v>European Union</x:v>
      </x:c>
      <x:c r="D62" s="110" t="str">
        <x:v>European Commission</x:v>
      </x:c>
      <x:c r="E62" s="110" t="str">
        <x:v>Excise Movement and Control System</x:v>
      </x:c>
      <x:c r="F62" s="110" t="str">
        <x:v>Current</x:v>
      </x:c>
      <x:c r="G62" s="110" t="str">
        <x:v>Excise movement references and external approval/document evidence</x:v>
      </x:c>
      <x:c r="H62" s="110" t="str">
        <x:v>https://taxation-customs.ec.europa.eu/taxation/excise-duties/emcs_en</x:v>
      </x:c>
      <x:c r="I62" s="110" t="str">
        <x:v>Web</x:v>
      </x:c>
      <x:c r="J62" s="110" t="str">
        <x:v>Quarterly review</x:v>
      </x:c>
      <x:c r="K62" s="110" t="str">
        <x:v>EU country pack</x:v>
      </x:c>
      <x:c r="L62" s="110" t="str">
        <x:v>2026-10-25</x:v>
      </x:c>
      <x:c r="M62" s="116" t="str">
        <x:v>ACTIVE</x:v>
      </x:c>
    </x:row>
    <x:row r="63" ht="54" customHeight="1">
      <x:c r="A63" s="111" t="str">
        <x:v>SRC-COM-014</x:v>
      </x:c>
      <x:c r="B63" s="111" t="str">
        <x:v>Alcohol</x:v>
      </x:c>
      <x:c r="C63" s="111" t="str">
        <x:v>United States</x:v>
      </x:c>
      <x:c r="D63" s="111" t="str">
        <x:v>Alcohol and Tobacco Tax and Trade Bureau</x:v>
      </x:c>
      <x:c r="E63" s="111" t="str">
        <x:v>COLAs Online</x:v>
      </x:c>
      <x:c r="F63" s="111" t="str">
        <x:v>Current</x:v>
      </x:c>
      <x:c r="G63" s="111" t="str">
        <x:v>Label-approval evidence for applicable alcohol flows</x:v>
      </x:c>
      <x:c r="H63" s="111" t="str">
        <x:v>https://www.ttb.gov/online-services/colas-online</x:v>
      </x:c>
      <x:c r="I63" s="111" t="str">
        <x:v>Web</x:v>
      </x:c>
      <x:c r="J63" s="111" t="str">
        <x:v>Shipment-time validation</x:v>
      </x:c>
      <x:c r="K63" s="111" t="str">
        <x:v>US country pack</x:v>
      </x:c>
      <x:c r="L63" s="111" t="str">
        <x:v>2026-07-26</x:v>
      </x:c>
      <x:c r="M63" s="116" t="str">
        <x:v>ACTIVE</x:v>
      </x:c>
    </x:row>
    <x:row r="64" ht="54" customHeight="1">
      <x:c r="A64" s="110" t="str">
        <x:v>SRC-ELC-001</x:v>
      </x:c>
      <x:c r="B64" s="110" t="str">
        <x:v>Electronic trade documents</x:v>
      </x:c>
      <x:c r="C64" s="110" t="str">
        <x:v>Global/national enactment</x:v>
      </x:c>
      <x:c r="D64" s="110" t="str">
        <x:v>UNCITRAL</x:v>
      </x:c>
      <x:c r="E64" s="110" t="str">
        <x:v>Model Law on Electronic Transferable Records</x:v>
      </x:c>
      <x:c r="F64" s="110" t="str">
        <x:v>2017/current enactments</x:v>
      </x:c>
      <x:c r="G64" s="110" t="str">
        <x:v>Electronic transferable-record capability and jurisdictional equivalence checks</x:v>
      </x:c>
      <x:c r="H64" s="110" t="str">
        <x:v>https://uncitral.un.org/en/texts/ecommerce/modellaw/electronic_transferable_records</x:v>
      </x:c>
      <x:c r="I64" s="110" t="str">
        <x:v>Web</x:v>
      </x:c>
      <x:c r="J64" s="110" t="str">
        <x:v>Annual enactment review</x:v>
      </x:c>
      <x:c r="K64" s="110" t="str">
        <x:v>Legal architecture</x:v>
      </x:c>
      <x:c r="L64" s="110" t="str">
        <x:v>2027-01-25</x:v>
      </x:c>
      <x:c r="M64" s="116" t="str">
        <x:v>ACTIVE</x:v>
      </x:c>
    </x:row>
    <x:row r="65" ht="54" customHeight="1">
      <x:c r="A65" s="111" t="str">
        <x:v>SRC-ELC-002</x:v>
      </x:c>
      <x:c r="B65" s="111" t="str">
        <x:v>Electronic signatures</x:v>
      </x:c>
      <x:c r="C65" s="111" t="str">
        <x:v>Global/national enactment</x:v>
      </x:c>
      <x:c r="D65" s="111" t="str">
        <x:v>UNCITRAL</x:v>
      </x:c>
      <x:c r="E65" s="111" t="str">
        <x:v>Model Law on Electronic Signatures</x:v>
      </x:c>
      <x:c r="F65" s="111" t="str">
        <x:v>2001/current enactments</x:v>
      </x:c>
      <x:c r="G65" s="111" t="str">
        <x:v>Signature assurance and legal-validity country-pack requirement</x:v>
      </x:c>
      <x:c r="H65" s="111" t="str">
        <x:v>https://uncitral.un.org/en/texts/ecommerce/modellaw/electronic_signatures</x:v>
      </x:c>
      <x:c r="I65" s="111" t="str">
        <x:v>Web</x:v>
      </x:c>
      <x:c r="J65" s="111" t="str">
        <x:v>Annual enactment review</x:v>
      </x:c>
      <x:c r="K65" s="111" t="str">
        <x:v>Legal architecture</x:v>
      </x:c>
      <x:c r="L65" s="111" t="str">
        <x:v>2027-01-25</x:v>
      </x:c>
      <x:c r="M65" s="116" t="str">
        <x:v>ACTIVE</x:v>
      </x:c>
    </x:row>
    <x:row r="66" ht="54" customHeight="1">
      <x:c r="A66" s="110" t="str">
        <x:v>SRC-PRV-001</x:v>
      </x:c>
      <x:c r="B66" s="110" t="str">
        <x:v>Privacy</x:v>
      </x:c>
      <x:c r="C66" s="110" t="str">
        <x:v>Global</x:v>
      </x:c>
      <x:c r="D66" s="110" t="str">
        <x:v>UN Trade and Development</x:v>
      </x:c>
      <x:c r="E66" s="110" t="str">
        <x:v>Global Cyberlaw Tracker</x:v>
      </x:c>
      <x:c r="F66" s="110" t="str">
        <x:v>Live</x:v>
      </x:c>
      <x:c r="G66" s="110" t="str">
        <x:v>Country-pack discovery for privacy, cybercrime, consumer and electronic-transactions laws</x:v>
      </x:c>
      <x:c r="H66" s="110" t="str">
        <x:v>https://unctad.org/topic/ecommerce-and-digital-economy/ecommerce-law-reform/summary-adoption-e-commerce-legislation-worldwide</x:v>
      </x:c>
      <x:c r="I66" s="110" t="str">
        <x:v>Web/database</x:v>
      </x:c>
      <x:c r="J66" s="110" t="str">
        <x:v>Quarterly review</x:v>
      </x:c>
      <x:c r="K66" s="110" t="str">
        <x:v>Privacy</x:v>
      </x:c>
      <x:c r="L66" s="110" t="str">
        <x:v>2026-10-25</x:v>
      </x:c>
      <x:c r="M66" s="116" t="str">
        <x:v>ACTIVE</x:v>
      </x:c>
    </x:row>
    <x:row r="67" ht="54" customHeight="1">
      <x:c r="A67" s="111" t="str">
        <x:v>SRC-PRV-002</x:v>
      </x:c>
      <x:c r="B67" s="111" t="str">
        <x:v>Privacy</x:v>
      </x:c>
      <x:c r="C67" s="111" t="str">
        <x:v>European Economic Area</x:v>
      </x:c>
      <x:c r="D67" s="111" t="str">
        <x:v>European Union</x:v>
      </x:c>
      <x:c r="E67" s="111" t="str">
        <x:v>General Data Protection Regulation</x:v>
      </x:c>
      <x:c r="F67" s="111" t="str">
        <x:v>Current consolidated law</x:v>
      </x:c>
      <x:c r="G67" s="111" t="str">
        <x:v>Controller/processor, rights, security, breach and cross-border transfer controls</x:v>
      </x:c>
      <x:c r="H67" s="111" t="str">
        <x:v>https://eur-lex.europa.eu/legal-content/EN/TXT/PDF/?uri=CELEX%3A32016R0679</x:v>
      </x:c>
      <x:c r="I67" s="111" t="str">
        <x:v>PDF</x:v>
      </x:c>
      <x:c r="J67" s="111" t="str">
        <x:v>Quarterly legal review</x:v>
      </x:c>
      <x:c r="K67" s="111" t="str">
        <x:v>Privacy</x:v>
      </x:c>
      <x:c r="L67" s="111" t="str">
        <x:v>2026-10-25</x:v>
      </x:c>
      <x:c r="M67" s="116" t="str">
        <x:v>ACTIVE</x:v>
      </x:c>
    </x:row>
    <x:row r="68" ht="54" customHeight="1">
      <x:c r="A68" s="110" t="str">
        <x:v>SRC-PRV-003</x:v>
      </x:c>
      <x:c r="B68" s="110" t="str">
        <x:v>Privacy</x:v>
      </x:c>
      <x:c r="C68" s="110" t="str">
        <x:v>Convention parties</x:v>
      </x:c>
      <x:c r="D68" s="110" t="str">
        <x:v>Council of Europe</x:v>
      </x:c>
      <x:c r="E68" s="110" t="str">
        <x:v>Convention 108 parties</x:v>
      </x:c>
      <x:c r="F68" s="110" t="str">
        <x:v>Live</x:v>
      </x:c>
      <x:c r="G68" s="110" t="str">
        <x:v>International privacy-law coverage and transfer context</x:v>
      </x:c>
      <x:c r="H68" s="110" t="str">
        <x:v>https://www.coe.int/en/web/conventions/full-list?module=signatures-by-treaty&amp;treatynum=108</x:v>
      </x:c>
      <x:c r="I68" s="110" t="str">
        <x:v>Web</x:v>
      </x:c>
      <x:c r="J68" s="110" t="str">
        <x:v>Quarterly parties review</x:v>
      </x:c>
      <x:c r="K68" s="110" t="str">
        <x:v>Privacy</x:v>
      </x:c>
      <x:c r="L68" s="110" t="str">
        <x:v>2026-10-25</x:v>
      </x:c>
      <x:c r="M68" s="116" t="str">
        <x:v>ACTIVE</x:v>
      </x:c>
    </x:row>
    <x:row r="69" ht="54" customHeight="1">
      <x:c r="A69" s="111" t="str">
        <x:v>SRC-PRV-004</x:v>
      </x:c>
      <x:c r="B69" s="111" t="str">
        <x:v>Privacy</x:v>
      </x:c>
      <x:c r="C69" s="111" t="str">
        <x:v>Global reference</x:v>
      </x:c>
      <x:c r="D69" s="111" t="str">
        <x:v>OECD</x:v>
      </x:c>
      <x:c r="E69" s="111" t="str">
        <x:v>Privacy Guidelines</x:v>
      </x:c>
      <x:c r="F69" s="111" t="str">
        <x:v>2013/current</x:v>
      </x:c>
      <x:c r="G69" s="111" t="str">
        <x:v>Privacy-program principles and transborder-flow controls</x:v>
      </x:c>
      <x:c r="H69" s="111" t="str">
        <x:v>https://www.oecd.org/en/publications/oecd-guidelines-on-the-protection-of-privacy-and-transborder-flows-of-personal-data_9789264196391-en.html</x:v>
      </x:c>
      <x:c r="I69" s="111" t="str">
        <x:v>Web/PDF</x:v>
      </x:c>
      <x:c r="J69" s="111" t="str">
        <x:v>Annual review</x:v>
      </x:c>
      <x:c r="K69" s="111" t="str">
        <x:v>Privacy</x:v>
      </x:c>
      <x:c r="L69" s="111" t="str">
        <x:v>2027-01-25</x:v>
      </x:c>
      <x:c r="M69" s="116" t="str">
        <x:v>ACTIVE</x:v>
      </x:c>
    </x:row>
    <x:row r="70" ht="54" customHeight="1">
      <x:c r="A70" s="110" t="str">
        <x:v>SRC-PRV-005</x:v>
      </x:c>
      <x:c r="B70" s="110" t="str">
        <x:v>Privacy</x:v>
      </x:c>
      <x:c r="C70" s="110" t="str">
        <x:v>India</x:v>
      </x:c>
      <x:c r="D70" s="110" t="str">
        <x:v>Ministry of Electronics and Information Technology</x:v>
      </x:c>
      <x:c r="E70" s="110" t="str">
        <x:v>Digital Personal Data Protection Rules 2025</x:v>
      </x:c>
      <x:c r="F70" s="110" t="str">
        <x:v>Staggered from 2025-11-13</x:v>
      </x:c>
      <x:c r="G70" s="110" t="str">
        <x:v>India privacy obligations and future-effective rule scheduling</x:v>
      </x:c>
      <x:c r="H70" s="110" t="str">
        <x:v>https://www.meity.gov.in/static/uploads/2025/11/53450e6e5dc0bfa85ebd78686cadad39.pdf</x:v>
      </x:c>
      <x:c r="I70" s="110" t="str">
        <x:v>PDF</x:v>
      </x:c>
      <x:c r="J70" s="110" t="str">
        <x:v>Monthly commencement review</x:v>
      </x:c>
      <x:c r="K70" s="110" t="str">
        <x:v>India country pack</x:v>
      </x:c>
      <x:c r="L70" s="110" t="str">
        <x:v>2026-08-25</x:v>
      </x:c>
      <x:c r="M70" s="116" t="str">
        <x:v>ACTIVE</x:v>
      </x:c>
    </x:row>
    <x:row r="71" ht="54" customHeight="1">
      <x:c r="A71" s="111" t="str">
        <x:v>SRC-PRV-006</x:v>
      </x:c>
      <x:c r="B71" s="111" t="str">
        <x:v>Privacy</x:v>
      </x:c>
      <x:c r="C71" s="111" t="str">
        <x:v>Japan</x:v>
      </x:c>
      <x:c r="D71" s="111" t="str">
        <x:v>Personal Information Protection Commission</x:v>
      </x:c>
      <x:c r="E71" s="111" t="str">
        <x:v>Act on the Protection of Personal Information</x:v>
      </x:c>
      <x:c r="F71" s="111" t="str">
        <x:v>Current English translation</x:v>
      </x:c>
      <x:c r="G71" s="111" t="str">
        <x:v>Japan privacy and overseas-transfer controls</x:v>
      </x:c>
      <x:c r="H71" s="111" t="str">
        <x:v>https://www.ppc.go.jp/files/pdf/APPI_english.pdf</x:v>
      </x:c>
      <x:c r="I71" s="111" t="str">
        <x:v>PDF</x:v>
      </x:c>
      <x:c r="J71" s="111" t="str">
        <x:v>Quarterly legal review</x:v>
      </x:c>
      <x:c r="K71" s="111" t="str">
        <x:v>Japan country pack</x:v>
      </x:c>
      <x:c r="L71" s="111" t="str">
        <x:v>2026-10-25</x:v>
      </x:c>
      <x:c r="M71" s="116" t="str">
        <x:v>ACTIVE</x:v>
      </x:c>
    </x:row>
    <x:row r="72" ht="54" customHeight="1">
      <x:c r="A72" s="110" t="str">
        <x:v>SRC-PRV-007</x:v>
      </x:c>
      <x:c r="B72" s="110" t="str">
        <x:v>Privacy</x:v>
      </x:c>
      <x:c r="C72" s="110" t="str">
        <x:v>Singapore</x:v>
      </x:c>
      <x:c r="D72" s="110" t="str">
        <x:v>Personal Data Protection Commission</x:v>
      </x:c>
      <x:c r="E72" s="110" t="str">
        <x:v>PDPA data-protection obligations</x:v>
      </x:c>
      <x:c r="F72" s="110" t="str">
        <x:v>Current</x:v>
      </x:c>
      <x:c r="G72" s="110" t="str">
        <x:v>Singapore privacy obligations and transfer limitation</x:v>
      </x:c>
      <x:c r="H72" s="110" t="str">
        <x:v>https://www.pdpc.gov.sg/data-protection-obligations</x:v>
      </x:c>
      <x:c r="I72" s="110" t="str">
        <x:v>Web</x:v>
      </x:c>
      <x:c r="J72" s="110" t="str">
        <x:v>Quarterly legal review</x:v>
      </x:c>
      <x:c r="K72" s="110" t="str">
        <x:v>Singapore country pack</x:v>
      </x:c>
      <x:c r="L72" s="110" t="str">
        <x:v>2026-10-25</x:v>
      </x:c>
      <x:c r="M72" s="116" t="str">
        <x:v>ACTIVE</x:v>
      </x:c>
    </x:row>
    <x:row r="73" ht="54" customHeight="1">
      <x:c r="A73" s="111" t="str">
        <x:v>SRC-PRV-008</x:v>
      </x:c>
      <x:c r="B73" s="111" t="str">
        <x:v>Privacy</x:v>
      </x:c>
      <x:c r="C73" s="111" t="str">
        <x:v>Australia</x:v>
      </x:c>
      <x:c r="D73" s="111" t="str">
        <x:v>Office of the Australian Information Commissioner</x:v>
      </x:c>
      <x:c r="E73" s="111" t="str">
        <x:v>APP 8—cross-border disclosure</x:v>
      </x:c>
      <x:c r="F73" s="111" t="str">
        <x:v>Current</x:v>
      </x:c>
      <x:c r="G73" s="111" t="str">
        <x:v>Australia cross-border accountability controls</x:v>
      </x:c>
      <x:c r="H73" s="111" t="str">
        <x:v>https://www.oaic.gov.au/privacy/australian-privacy-principles/australian-privacy-principles-guidelines/chapter-8-app-8-cross-border-disclosure-of-personal-information</x:v>
      </x:c>
      <x:c r="I73" s="111" t="str">
        <x:v>Web</x:v>
      </x:c>
      <x:c r="J73" s="111" t="str">
        <x:v>Quarterly legal review</x:v>
      </x:c>
      <x:c r="K73" s="111" t="str">
        <x:v>Australia country pack</x:v>
      </x:c>
      <x:c r="L73" s="111" t="str">
        <x:v>2026-10-25</x:v>
      </x:c>
      <x:c r="M73" s="116" t="str">
        <x:v>ACTIVE</x:v>
      </x:c>
    </x:row>
    <x:row r="74" ht="54" customHeight="1">
      <x:c r="A74" s="110" t="str">
        <x:v>SRC-PRV-009</x:v>
      </x:c>
      <x:c r="B74" s="110" t="str">
        <x:v>Privacy</x:v>
      </x:c>
      <x:c r="C74" s="110" t="str">
        <x:v>China</x:v>
      </x:c>
      <x:c r="D74" s="110" t="str">
        <x:v>National People's Congress translation hosted by Supreme People's Procuratorate</x:v>
      </x:c>
      <x:c r="E74" s="110" t="str">
        <x:v>Personal Information Protection Law</x:v>
      </x:c>
      <x:c r="F74" s="110" t="str">
        <x:v>Effective 2021-11-01</x:v>
      </x:c>
      <x:c r="G74" s="110" t="str">
        <x:v>China processing, localization/security-assessment and transfer workflow</x:v>
      </x:c>
      <x:c r="H74" s="110" t="str">
        <x:v>https://en.spp.gov.cn/2021-12/29/c_948419.htm</x:v>
      </x:c>
      <x:c r="I74" s="110" t="str">
        <x:v>Web</x:v>
      </x:c>
      <x:c r="J74" s="110" t="str">
        <x:v>Monthly regulatory review</x:v>
      </x:c>
      <x:c r="K74" s="110" t="str">
        <x:v>China country pack</x:v>
      </x:c>
      <x:c r="L74" s="110" t="str">
        <x:v>2026-08-25</x:v>
      </x:c>
      <x:c r="M74" s="116" t="str">
        <x:v>ACTIVE</x:v>
      </x:c>
    </x:row>
    <x:row r="75" ht="54" customHeight="1">
      <x:c r="A75" s="111" t="str">
        <x:v>SRC-PRV-010</x:v>
      </x:c>
      <x:c r="B75" s="111" t="str">
        <x:v>Privacy</x:v>
      </x:c>
      <x:c r="C75" s="111" t="str">
        <x:v>Brazil</x:v>
      </x:c>
      <x:c r="D75" s="111" t="str">
        <x:v>Brazilian Data Protection Authority</x:v>
      </x:c>
      <x:c r="E75" s="111" t="str">
        <x:v>Resolution CD/ANPD No. 19 on international transfers</x:v>
      </x:c>
      <x:c r="F75" s="111" t="str">
        <x:v>2024</x:v>
      </x:c>
      <x:c r="G75" s="111" t="str">
        <x:v>Brazil transfer mechanisms and contractual controls</x:v>
      </x:c>
      <x:c r="H75" s="111" t="str">
        <x:v>https://www.in.gov.br/en/web/dou/-/resolucao-cd/anpd-n-19-de-23-de-agosto-de-2024-580095396?hl=en_US</x:v>
      </x:c>
      <x:c r="I75" s="111" t="str">
        <x:v>Web</x:v>
      </x:c>
      <x:c r="J75" s="111" t="str">
        <x:v>Quarterly legal review</x:v>
      </x:c>
      <x:c r="K75" s="111" t="str">
        <x:v>Brazil country pack</x:v>
      </x:c>
      <x:c r="L75" s="111" t="str">
        <x:v>2026-10-25</x:v>
      </x:c>
      <x:c r="M75" s="116" t="str">
        <x:v>ACTIVE</x:v>
      </x:c>
    </x:row>
    <x:row r="76" ht="54" customHeight="1">
      <x:c r="A76" s="110" t="str">
        <x:v>SRC-PRV-011</x:v>
      </x:c>
      <x:c r="B76" s="110" t="str">
        <x:v>Privacy</x:v>
      </x:c>
      <x:c r="C76" s="110" t="str">
        <x:v>Canada</x:v>
      </x:c>
      <x:c r="D76" s="110" t="str">
        <x:v>Office of the Privacy Commissioner of Canada</x:v>
      </x:c>
      <x:c r="E76" s="110" t="str">
        <x:v>PIPEDA processing across borders guidance</x:v>
      </x:c>
      <x:c r="F76" s="110" t="str">
        <x:v>Current</x:v>
      </x:c>
      <x:c r="G76" s="110" t="str">
        <x:v>Canada accountability, notice, contract and access controls</x:v>
      </x:c>
      <x:c r="H76" s="110" t="str">
        <x:v>https://www.priv.gc.ca/en/privacy-topics/airports-and-borders/gl_dab_090127/</x:v>
      </x:c>
      <x:c r="I76" s="110" t="str">
        <x:v>Web</x:v>
      </x:c>
      <x:c r="J76" s="110" t="str">
        <x:v>Quarterly legal review</x:v>
      </x:c>
      <x:c r="K76" s="110" t="str">
        <x:v>Canada country pack</x:v>
      </x:c>
      <x:c r="L76" s="110" t="str">
        <x:v>2026-10-25</x:v>
      </x:c>
      <x:c r="M76" s="116" t="str">
        <x:v>ACTIVE</x:v>
      </x:c>
    </x:row>
    <x:row r="77" ht="54" customHeight="1">
      <x:c r="A77" s="111" t="str">
        <x:v>SRC-PRV-012</x:v>
      </x:c>
      <x:c r="B77" s="111" t="str">
        <x:v>Privacy</x:v>
      </x:c>
      <x:c r="C77" s="111" t="str">
        <x:v>California/United States</x:v>
      </x:c>
      <x:c r="D77" s="111" t="str">
        <x:v>California Privacy Protection Agency</x:v>
      </x:c>
      <x:c r="E77" s="111" t="str">
        <x:v>CCPA statute</x:v>
      </x:c>
      <x:c r="F77" s="111" t="str">
        <x:v>Effective 2026-01-01 edition</x:v>
      </x:c>
      <x:c r="G77" s="111" t="str">
        <x:v>California consumer rights, contracts, requests and sensitive data controls</x:v>
      </x:c>
      <x:c r="H77" s="111" t="str">
        <x:v>https://cppa.ca.gov/regulations/pdf/ccpa_statute_eff_20260101.pdf</x:v>
      </x:c>
      <x:c r="I77" s="111" t="str">
        <x:v>PDF</x:v>
      </x:c>
      <x:c r="J77" s="111" t="str">
        <x:v>Quarterly legal review</x:v>
      </x:c>
      <x:c r="K77" s="111" t="str">
        <x:v>US privacy pack</x:v>
      </x:c>
      <x:c r="L77" s="111" t="str">
        <x:v>2026-10-25</x:v>
      </x:c>
      <x:c r="M77" s="116" t="str">
        <x:v>ACTIVE</x:v>
      </x:c>
    </x:row>
    <x:row r="78" ht="54" customHeight="1">
      <x:c r="A78" s="110" t="str">
        <x:v>SRC-PRV-013</x:v>
      </x:c>
      <x:c r="B78" s="110" t="str">
        <x:v>Privacy</x:v>
      </x:c>
      <x:c r="C78" s="110" t="str">
        <x:v>South Africa</x:v>
      </x:c>
      <x:c r="D78" s="110" t="str">
        <x:v>Information Regulator</x:v>
      </x:c>
      <x:c r="E78" s="110" t="str">
        <x:v>Protection of Personal Information Act</x:v>
      </x:c>
      <x:c r="F78" s="110" t="str">
        <x:v>Current</x:v>
      </x:c>
      <x:c r="G78" s="110" t="str">
        <x:v>South Africa privacy, operator and cross-border transfer controls</x:v>
      </x:c>
      <x:c r="H78" s="110" t="str">
        <x:v>https://inforegulator.org.za/wp-content/uploads/2020/07/POPIA-fo-the-officials.pdf</x:v>
      </x:c>
      <x:c r="I78" s="110" t="str">
        <x:v>PDF</x:v>
      </x:c>
      <x:c r="J78" s="110" t="str">
        <x:v>Quarterly legal review</x:v>
      </x:c>
      <x:c r="K78" s="110" t="str">
        <x:v>South Africa country pack</x:v>
      </x:c>
      <x:c r="L78" s="110" t="str">
        <x:v>2026-10-25</x:v>
      </x:c>
      <x:c r="M78" s="116" t="str">
        <x:v>ACTIVE</x:v>
      </x:c>
    </x:row>
    <x:row r="79" ht="54" customHeight="1">
      <x:c r="A79" s="111" t="str">
        <x:v>SRC-PRV-014</x:v>
      </x:c>
      <x:c r="B79" s="111" t="str">
        <x:v>Privacy</x:v>
      </x:c>
      <x:c r="C79" s="111" t="str">
        <x:v>Nigeria</x:v>
      </x:c>
      <x:c r="D79" s="111" t="str">
        <x:v>Nigeria Data Protection Commission</x:v>
      </x:c>
      <x:c r="E79" s="111" t="str">
        <x:v>Nigeria Data Protection Act / GAID</x:v>
      </x:c>
      <x:c r="F79" s="111" t="str">
        <x:v>2025 guidance</x:v>
      </x:c>
      <x:c r="G79" s="111" t="str">
        <x:v>Nigeria controller/processor and transfer controls</x:v>
      </x:c>
      <x:c r="H79" s="111" t="str">
        <x:v>https://ndpc.gov.ng/wp-content/uploads/2025/07/NDP-ACT-GAID-2025-MARCH-20TH.pdf</x:v>
      </x:c>
      <x:c r="I79" s="111" t="str">
        <x:v>PDF</x:v>
      </x:c>
      <x:c r="J79" s="111" t="str">
        <x:v>Quarterly legal review</x:v>
      </x:c>
      <x:c r="K79" s="111" t="str">
        <x:v>Nigeria country pack</x:v>
      </x:c>
      <x:c r="L79" s="111" t="str">
        <x:v>2026-10-25</x:v>
      </x:c>
      <x:c r="M79" s="116" t="str">
        <x:v>ACTIVE</x:v>
      </x:c>
    </x:row>
    <x:row r="80" ht="54" customHeight="1">
      <x:c r="A80" s="110" t="str">
        <x:v>SRC-PRV-015</x:v>
      </x:c>
      <x:c r="B80" s="110" t="str">
        <x:v>Privacy</x:v>
      </x:c>
      <x:c r="C80" s="110" t="str">
        <x:v>Saudi Arabia</x:v>
      </x:c>
      <x:c r="D80" s="110" t="str">
        <x:v>Saudi Data and AI Authority</x:v>
      </x:c>
      <x:c r="E80" s="110" t="str">
        <x:v>Personal data transfer outside the Kingdom regulation</x:v>
      </x:c>
      <x:c r="F80" s="110" t="str">
        <x:v>Current</x:v>
      </x:c>
      <x:c r="G80" s="110" t="str">
        <x:v>Saudi cross-border-transfer assessments and safeguards</x:v>
      </x:c>
      <x:c r="H80" s="110" t="str">
        <x:v>https://dgp.sdaia.gov.sa/wps/portal/pdp/knowledgecenter/details/RegulationonPersonalDataTransferOutsidetheKingdom/</x:v>
      </x:c>
      <x:c r="I80" s="110" t="str">
        <x:v>Web</x:v>
      </x:c>
      <x:c r="J80" s="110" t="str">
        <x:v>Quarterly legal review</x:v>
      </x:c>
      <x:c r="K80" s="110" t="str">
        <x:v>Saudi country pack</x:v>
      </x:c>
      <x:c r="L80" s="110" t="str">
        <x:v>2026-10-25</x:v>
      </x:c>
      <x:c r="M80" s="116" t="str">
        <x:v>ACTIVE</x:v>
      </x:c>
    </x:row>
    <x:row r="81" ht="54" customHeight="1">
      <x:c r="A81" s="111" t="str">
        <x:v>SRC-PRV-016</x:v>
      </x:c>
      <x:c r="B81" s="111" t="str">
        <x:v>Privacy</x:v>
      </x:c>
      <x:c r="C81" s="111" t="str">
        <x:v>United Arab Emirates</x:v>
      </x:c>
      <x:c r="D81" s="111" t="str">
        <x:v>UAE Government</x:v>
      </x:c>
      <x:c r="E81" s="111" t="str">
        <x:v>Data protection laws overview</x:v>
      </x:c>
      <x:c r="F81" s="111" t="str">
        <x:v>Current</x:v>
      </x:c>
      <x:c r="G81" s="111" t="str">
        <x:v>Federal and free-zone privacy-law routing</x:v>
      </x:c>
      <x:c r="H81" s="111" t="str">
        <x:v>https://u.ae/en/about-the-uae/digital-uae/data/data-protection-laws</x:v>
      </x:c>
      <x:c r="I81" s="111" t="str">
        <x:v>Web</x:v>
      </x:c>
      <x:c r="J81" s="111" t="str">
        <x:v>Quarterly legal review</x:v>
      </x:c>
      <x:c r="K81" s="111" t="str">
        <x:v>UAE country pack</x:v>
      </x:c>
      <x:c r="L81" s="111" t="str">
        <x:v>2026-10-25</x:v>
      </x:c>
      <x:c r="M81" s="116" t="str">
        <x:v>ACTIVE</x:v>
      </x:c>
    </x:row>
    <x:row r="82" ht="54" customHeight="1">
      <x:c r="A82" s="110" t="str">
        <x:v>SRC-USA-001</x:v>
      </x:c>
      <x:c r="B82" s="110" t="str">
        <x:v>Customs/e-commerce</x:v>
      </x:c>
      <x:c r="C82" s="110" t="str">
        <x:v>United States</x:v>
      </x:c>
      <x:c r="D82" s="110" t="str">
        <x:v>U.S. Customs and Border Protection / Federal Register</x:v>
      </x:c>
      <x:c r="E82" s="110" t="str">
        <x:v>Indefinite suspension of de minimis for mail and new postal informal entry</x:v>
      </x:c>
      <x:c r="F82" s="110" t="str">
        <x:v>Effective 2026-07-24; compliance 2026-10-22</x:v>
      </x:c>
      <x:c r="G82" s="110" t="str">
        <x:v>Current postal-entry routing, thresholds and formal-entry triggers</x:v>
      </x:c>
      <x:c r="H82" s="110" t="str">
        <x:v>https://www.federalregister.gov/documents/2026/06/24/2026-12669/indefinite-suspension-of-the-de-minimis-exemption-for-mail-shipments-and-new-postal-informal-entry</x:v>
      </x:c>
      <x:c r="I82" s="110" t="str">
        <x:v>Web/PDF</x:v>
      </x:c>
      <x:c r="J82" s="110" t="str">
        <x:v>Daily until stabilized</x:v>
      </x:c>
      <x:c r="K82" s="110" t="str">
        <x:v>US country pack</x:v>
      </x:c>
      <x:c r="L82" s="110" t="str">
        <x:v>2026-07-26</x:v>
      </x:c>
      <x:c r="M82" s="116" t="str">
        <x:v>ACTIVE</x:v>
      </x:c>
    </x:row>
    <x:row r="83" ht="54" customHeight="1">
      <x:c r="A83" s="111" t="str">
        <x:v>SRC-USA-002</x:v>
      </x:c>
      <x:c r="B83" s="111" t="str">
        <x:v>Customs/e-commerce</x:v>
      </x:c>
      <x:c r="C83" s="111" t="str">
        <x:v>United States</x:v>
      </x:c>
      <x:c r="D83" s="111" t="str">
        <x:v>The White House</x:v>
      </x:c>
      <x:c r="E83" s="111" t="str">
        <x:v>Executive Order 14324</x:v>
      </x:c>
      <x:c r="F83" s="111" t="str">
        <x:v>2025/current continuation must be checked</x:v>
      </x:c>
      <x:c r="G83" s="111" t="str">
        <x:v>Global de minimis suspension history and authority; current implementation governed by later actions/rules</x:v>
      </x:c>
      <x:c r="H83" s="111" t="str">
        <x:v>https://www.whitehouse.gov/presidential-actions/2025/07/suspending-duty-free-de-minimis-treatment-for-all-countries/</x:v>
      </x:c>
      <x:c r="I83" s="111" t="str">
        <x:v>Web</x:v>
      </x:c>
      <x:c r="J83" s="111" t="str">
        <x:v>Legal change monitoring</x:v>
      </x:c>
      <x:c r="K83" s="111" t="str">
        <x:v>US country pack</x:v>
      </x:c>
      <x:c r="L83" s="111" t="str">
        <x:v>2026-08-01</x:v>
      </x:c>
      <x:c r="M83" s="116" t="str">
        <x:v>ACTIVE</x:v>
      </x:c>
    </x:row>
    <x:row r="84" ht="54" customHeight="1">
      <x:c r="A84" s="110" t="str">
        <x:v>SRC-EU-001</x:v>
      </x:c>
      <x:c r="B84" s="110" t="str">
        <x:v>Customs/security</x:v>
      </x:c>
      <x:c r="C84" s="110" t="str">
        <x:v>European Union</x:v>
      </x:c>
      <x:c r="D84" s="110" t="str">
        <x:v>European Commission</x:v>
      </x:c>
      <x:c r="E84" s="110" t="str">
        <x:v>Import Control System 2</x:v>
      </x:c>
      <x:c r="F84" s="110" t="str">
        <x:v>Current</x:v>
      </x:c>
      <x:c r="G84" s="110" t="str">
        <x:v>ENS, PLACI, referrals and EU entry/transit data validation</x:v>
      </x:c>
      <x:c r="H84" s="110" t="str">
        <x:v>https://taxation-customs.ec.europa.eu/customs/customs-security/import-control-system-2_en</x:v>
      </x:c>
      <x:c r="I84" s="110" t="str">
        <x:v>Web</x:v>
      </x:c>
      <x:c r="J84" s="110" t="str">
        <x:v>Monthly release and law review</x:v>
      </x:c>
      <x:c r="K84" s="110" t="str">
        <x:v>EU country pack</x:v>
      </x:c>
      <x:c r="L84" s="110" t="str">
        <x:v>2026-08-25</x:v>
      </x:c>
      <x:c r="M84" s="116" t="str">
        <x:v>ACTIVE</x:v>
      </x:c>
    </x:row>
    <x:row r="85" ht="54" customHeight="1">
      <x:c r="A85" s="111" t="str">
        <x:v>SRC-EU-002</x:v>
      </x:c>
      <x:c r="B85" s="111" t="str">
        <x:v>Customs/e-commerce</x:v>
      </x:c>
      <x:c r="C85" s="111" t="str">
        <x:v>European Union</x:v>
      </x:c>
      <x:c r="D85" s="111" t="str">
        <x:v>European Commission</x:v>
      </x:c>
      <x:c r="E85" s="111" t="str">
        <x:v>Temporary flat customs duty for low-value imports</x:v>
      </x:c>
      <x:c r="F85" s="111" t="str">
        <x:v>From 2026-07-01 to planned 2028-07-01 transition</x:v>
      </x:c>
      <x:c r="G85" s="111" t="str">
        <x:v>Effective-dated low-value duty, item-level tariff identity and later PID requirements</x:v>
      </x:c>
      <x:c r="H85" s="111" t="str">
        <x:v>https://taxation-customs.ec.europa.eu/news/guidance-and-legal-text-temporary-flat-fee-low-value-imports-which-will-apply-until-1-july-2028-2026-06-08_en</x:v>
      </x:c>
      <x:c r="I85" s="111" t="str">
        <x:v>Web</x:v>
      </x:c>
      <x:c r="J85" s="111" t="str">
        <x:v>Monthly transition review</x:v>
      </x:c>
      <x:c r="K85" s="111" t="str">
        <x:v>EU country pack</x:v>
      </x:c>
      <x:c r="L85" s="111" t="str">
        <x:v>2026-08-25</x:v>
      </x:c>
      <x:c r="M85" s="116" t="str">
        <x:v>ACTIVE</x:v>
      </x:c>
    </x:row>
    <x:row r="86" ht="54" customHeight="1">
      <x:c r="A86" s="110" t="str">
        <x:v>SRC-EU-003</x:v>
      </x:c>
      <x:c r="B86" s="110" t="str">
        <x:v>VAT</x:v>
      </x:c>
      <x:c r="C86" s="110" t="str">
        <x:v>European Union</x:v>
      </x:c>
      <x:c r="D86" s="110" t="str">
        <x:v>European Commission</x:v>
      </x:c>
      <x:c r="E86" s="110" t="str">
        <x:v>Import One Stop Shop factsheet</x:v>
      </x:c>
      <x:c r="F86" s="110" t="str">
        <x:v>Current</x:v>
      </x:c>
      <x:c r="G86" s="110" t="str">
        <x:v>IOSS identifiers, VAT collection and carrier/customs data handling</x:v>
      </x:c>
      <x:c r="H86" s="110" t="str">
        <x:v>https://taxation-customs.ec.europa.eu/document/download/cf3823b2-a6cf-420a-bdc4-83759aee9691_en?filename=IOSS+VAT_+Factsheet.pdf</x:v>
      </x:c>
      <x:c r="I86" s="110" t="str">
        <x:v>PDF</x:v>
      </x:c>
      <x:c r="J86" s="110" t="str">
        <x:v>Quarterly review</x:v>
      </x:c>
      <x:c r="K86" s="110" t="str">
        <x:v>EU country pack</x:v>
      </x:c>
      <x:c r="L86" s="110" t="str">
        <x:v>2026-10-25</x:v>
      </x:c>
      <x:c r="M86" s="116" t="str">
        <x:v>ACTIVE</x:v>
      </x:c>
    </x:row>
    <x:row r="87" ht="54" customHeight="1">
      <x:c r="A87" s="111" t="str">
        <x:v>SRC-EU-004</x:v>
      </x:c>
      <x:c r="B87" s="111" t="str">
        <x:v>Customs</x:v>
      </x:c>
      <x:c r="C87" s="111" t="str">
        <x:v>European Union</x:v>
      </x:c>
      <x:c r="D87" s="111" t="str">
        <x:v>EUR-Lex</x:v>
      </x:c>
      <x:c r="E87" s="111" t="str">
        <x:v>Union Customs Code</x:v>
      </x:c>
      <x:c r="F87" s="111" t="str">
        <x:v>Current consolidated text</x:v>
      </x:c>
      <x:c r="G87" s="111" t="str">
        <x:v>EU customs procedures, debt, declarations and representation</x:v>
      </x:c>
      <x:c r="H87" s="111" t="str">
        <x:v>https://eur-lex.europa.eu/legal-content/EN/TXT/?uri=consolidation%3A2013R0952%2F20200101_0030010</x:v>
      </x:c>
      <x:c r="I87" s="111" t="str">
        <x:v>Web</x:v>
      </x:c>
      <x:c r="J87" s="111" t="str">
        <x:v>Quarterly legal review</x:v>
      </x:c>
      <x:c r="K87" s="111" t="str">
        <x:v>EU country pack</x:v>
      </x:c>
      <x:c r="L87" s="111" t="str">
        <x:v>2026-10-25</x:v>
      </x:c>
      <x:c r="M87" s="116" t="str">
        <x:v>ACTIVE</x:v>
      </x:c>
    </x:row>
    <x:row r="88" ht="54" customHeight="1">
      <x:c r="A88" s="110" t="str">
        <x:v>SRC-UK-001</x:v>
      </x:c>
      <x:c r="B88" s="110" t="str">
        <x:v>Customs/e-commerce</x:v>
      </x:c>
      <x:c r="C88" s="110" t="str">
        <x:v>United Kingdom</x:v>
      </x:c>
      <x:c r="D88" s="110" t="str">
        <x:v>HM Treasury / HM Revenue &amp; Customs</x:v>
      </x:c>
      <x:c r="E88" s="110" t="str">
        <x:v>Reforming customs treatment of low-value imports</x:v>
      </x:c>
      <x:c r="F88" s="110" t="str">
        <x:v>Published 2026-07-13; implementation by 2028 at latest</x:v>
      </x:c>
      <x:c r="G88" s="110" t="str">
        <x:v>Future-effective rule modeling; do not apply proposal as current law before commencement</x:v>
      </x:c>
      <x:c r="H88" s="110" t="str">
        <x:v>https://www.gov.uk/government/publications/reforming-customs-rules-for-low-value-imports/reforming-the-customs-treatment-of-low-value-imports-into-the-uk</x:v>
      </x:c>
      <x:c r="I88" s="110" t="str">
        <x:v>Web</x:v>
      </x:c>
      <x:c r="J88" s="110" t="str">
        <x:v>Monthly implementation review</x:v>
      </x:c>
      <x:c r="K88" s="110" t="str">
        <x:v>UK country pack</x:v>
      </x:c>
      <x:c r="L88" s="110" t="str">
        <x:v>2026-08-25</x:v>
      </x:c>
      <x:c r="M88" s="116" t="str">
        <x:v>ACTIVE</x:v>
      </x:c>
    </x:row>
    <x:row r="89" ht="54" customHeight="1">
      <x:c r="A89" s="111" t="str">
        <x:v>SRC-UK-002</x:v>
      </x:c>
      <x:c r="B89" s="111" t="str">
        <x:v>Customs/tax</x:v>
      </x:c>
      <x:c r="C89" s="111" t="str">
        <x:v>United Kingdom</x:v>
      </x:c>
      <x:c r="D89" s="111" t="str">
        <x:v>UK Government</x:v>
      </x:c>
      <x:c r="E89" s="111" t="str">
        <x:v>Tax and duty on goods sent from abroad</x:v>
      </x:c>
      <x:c r="F89" s="111" t="str">
        <x:v>Current</x:v>
      </x:c>
      <x:c r="G89" s="111" t="str">
        <x:v>Current consumer/low-value tax treatment</x:v>
      </x:c>
      <x:c r="H89" s="111" t="str">
        <x:v>https://www.gov.uk/goods-sent-from-abroad/tax-and-duty</x:v>
      </x:c>
      <x:c r="I89" s="111" t="str">
        <x:v>Web</x:v>
      </x:c>
      <x:c r="J89" s="111" t="str">
        <x:v>Monthly review</x:v>
      </x:c>
      <x:c r="K89" s="111" t="str">
        <x:v>UK country pack</x:v>
      </x:c>
      <x:c r="L89" s="111" t="str">
        <x:v>2026-08-25</x:v>
      </x:c>
      <x:c r="M89" s="116" t="str">
        <x:v>ACTIVE</x:v>
      </x:c>
    </x:row>
    <x:row r="90" ht="54" customHeight="1">
      <x:c r="A90" s="110" t="str">
        <x:v>SRC-UK-003</x:v>
      </x:c>
      <x:c r="B90" s="110" t="str">
        <x:v>Customs</x:v>
      </x:c>
      <x:c r="C90" s="110" t="str">
        <x:v>United Kingdom</x:v>
      </x:c>
      <x:c r="D90" s="110" t="str">
        <x:v>HM Revenue &amp; Customs</x:v>
      </x:c>
      <x:c r="E90" s="110" t="str">
        <x:v>Customs Declaration Service collection</x:v>
      </x:c>
      <x:c r="F90" s="110" t="str">
        <x:v>Current</x:v>
      </x:c>
      <x:c r="G90" s="110" t="str">
        <x:v>Carrier/broker filing response and declaration identifier mapping</x:v>
      </x:c>
      <x:c r="H90" s="110" t="str">
        <x:v>https://www.gov.uk/government/collections/customs-declaration-service</x:v>
      </x:c>
      <x:c r="I90" s="110" t="str">
        <x:v>Web</x:v>
      </x:c>
      <x:c r="J90" s="110" t="str">
        <x:v>Quarterly review</x:v>
      </x:c>
      <x:c r="K90" s="110" t="str">
        <x:v>UK country pack</x:v>
      </x:c>
      <x:c r="L90" s="110" t="str">
        <x:v>2026-10-25</x:v>
      </x:c>
      <x:c r="M90" s="116" t="str">
        <x:v>ACTIVE</x:v>
      </x:c>
    </x:row>
    <x:row r="91" ht="54" customHeight="1">
      <x:c r="A91" s="111" t="str">
        <x:v>SRC-UK-004</x:v>
      </x:c>
      <x:c r="B91" s="111" t="str">
        <x:v>Customs/security</x:v>
      </x:c>
      <x:c r="C91" s="111" t="str">
        <x:v>United Kingdom</x:v>
      </x:c>
      <x:c r="D91" s="111" t="str">
        <x:v>HM Revenue &amp; Customs</x:v>
      </x:c>
      <x:c r="E91" s="111" t="str">
        <x:v>Safety and security declarations</x:v>
      </x:c>
      <x:c r="F91" s="111" t="str">
        <x:v>Current</x:v>
      </x:c>
      <x:c r="G91" s="111" t="str">
        <x:v>ENS/EXS requirement and evidence validation</x:v>
      </x:c>
      <x:c r="H91" s="111" t="str">
        <x:v>https://www.gov.uk/guidance/safety-and-security-declarations</x:v>
      </x:c>
      <x:c r="I91" s="111" t="str">
        <x:v>Web</x:v>
      </x:c>
      <x:c r="J91" s="111" t="str">
        <x:v>Monthly review</x:v>
      </x:c>
      <x:c r="K91" s="111" t="str">
        <x:v>UK country pack</x:v>
      </x:c>
      <x:c r="L91" s="111" t="str">
        <x:v>2026-08-25</x:v>
      </x:c>
      <x:c r="M91" s="116" t="str">
        <x:v>ACTIVE</x:v>
      </x:c>
    </x:row>
    <x:row r="92" ht="54" customHeight="1">
      <x:c r="A92" s="110" t="str">
        <x:v>SRC-UK-005</x:v>
      </x:c>
      <x:c r="B92" s="110" t="str">
        <x:v>Tariff</x:v>
      </x:c>
      <x:c r="C92" s="110" t="str">
        <x:v>United Kingdom</x:v>
      </x:c>
      <x:c r="D92" s="110" t="str">
        <x:v>HM Revenue &amp; Customs</x:v>
      </x:c>
      <x:c r="E92" s="110" t="str">
        <x:v>UK Trade Tariff</x:v>
      </x:c>
      <x:c r="F92" s="110" t="str">
        <x:v>Live</x:v>
      </x:c>
      <x:c r="G92" s="110" t="str">
        <x:v>Commodity code, measures, duty and VAT lookup source</x:v>
      </x:c>
      <x:c r="H92" s="110" t="str">
        <x:v>https://www.gov.uk/trade-tariff</x:v>
      </x:c>
      <x:c r="I92" s="110" t="str">
        <x:v>Web/service</x:v>
      </x:c>
      <x:c r="J92" s="110" t="str">
        <x:v>Shipment-time lookup/version capture</x:v>
      </x:c>
      <x:c r="K92" s="110" t="str">
        <x:v>UK country pack</x:v>
      </x:c>
      <x:c r="L92" s="110" t="str">
        <x:v>2026-07-26</x:v>
      </x:c>
      <x:c r="M92" s="116" t="str">
        <x:v>ACTIVE</x:v>
      </x:c>
    </x:row>
    <x:row r="93" ht="54" customHeight="1">
      <x:c r="A93" s="111" t="str">
        <x:v>SRC-CAR-001</x:v>
      </x:c>
      <x:c r="B93" s="111" t="str">
        <x:v>Carrier API</x:v>
      </x:c>
      <x:c r="C93" s="111" t="str">
        <x:v>Global/service availability</x:v>
      </x:c>
      <x:c r="D93" s="111" t="str">
        <x:v>DHL Express</x:v>
      </x:c>
      <x:c r="E93" s="111" t="str">
        <x:v>MyDHL API</x:v>
      </x:c>
      <x:c r="F93" s="111" t="str">
        <x:v>Current</x:v>
      </x:c>
      <x:c r="G93" s="111" t="str">
        <x:v>Rates, capabilities, shipment, pickup, tracking and customs-document integration contract</x:v>
      </x:c>
      <x:c r="H93" s="111" t="str">
        <x:v>https://developer.dhl.com/api-reference/dhl-express-mydhl-api</x:v>
      </x:c>
      <x:c r="I93" s="111" t="str">
        <x:v>API docs</x:v>
      </x:c>
      <x:c r="J93" s="111" t="str">
        <x:v>Version/change notice monitoring</x:v>
      </x:c>
      <x:c r="K93" s="111" t="str">
        <x:v>Carrier integrations</x:v>
      </x:c>
      <x:c r="L93" s="111" t="str">
        <x:v>2026-08-25</x:v>
      </x:c>
      <x:c r="M93" s="116" t="str">
        <x:v>ACTIVE</x:v>
      </x:c>
    </x:row>
    <x:row r="94" ht="54" customHeight="1">
      <x:c r="A94" s="110" t="str">
        <x:v>SRC-CAR-002</x:v>
      </x:c>
      <x:c r="B94" s="110" t="str">
        <x:v>Carrier API</x:v>
      </x:c>
      <x:c r="C94" s="110" t="str">
        <x:v>Global/service availability</x:v>
      </x:c>
      <x:c r="D94" s="110" t="str">
        <x:v>DHL Express</x:v>
      </x:c>
      <x:c r="E94" s="110" t="str">
        <x:v>MyDHL API Reference Data Guide</x:v>
      </x:c>
      <x:c r="F94" s="110" t="str">
        <x:v>v2.11.0 reference</x:v>
      </x:c>
      <x:c r="G94" s="110" t="str">
        <x:v>Code-list and reference-data mapping; current version must be rechecked at implementation</x:v>
      </x:c>
      <x:c r="H94" s="110" t="str">
        <x:v>https://developer.dhl.com/sites/default/files/2024-03/MyDHL%20API%20Reference%20data%20guide%20%282.11.0%29.pdf</x:v>
      </x:c>
      <x:c r="I94" s="110" t="str">
        <x:v>PDF</x:v>
      </x:c>
      <x:c r="J94" s="110" t="str">
        <x:v>Version review</x:v>
      </x:c>
      <x:c r="K94" s="110" t="str">
        <x:v>Carrier integrations</x:v>
      </x:c>
      <x:c r="L94" s="110" t="str">
        <x:v>2026-08-25</x:v>
      </x:c>
      <x:c r="M94" s="116" t="str">
        <x:v>ACTIVE</x:v>
      </x:c>
    </x:row>
    <x:row r="95" ht="54" customHeight="1">
      <x:c r="A95" s="111" t="str">
        <x:v>SRC-CAR-003</x:v>
      </x:c>
      <x:c r="B95" s="111" t="str">
        <x:v>Carrier API</x:v>
      </x:c>
      <x:c r="C95" s="111" t="str">
        <x:v>Global/service availability</x:v>
      </x:c>
      <x:c r="D95" s="111" t="str">
        <x:v>UPS</x:v>
      </x:c>
      <x:c r="E95" s="111" t="str">
        <x:v>UPS Developer Portal</x:v>
      </x:c>
      <x:c r="F95" s="111" t="str">
        <x:v>Current</x:v>
      </x:c>
      <x:c r="G95" s="111" t="str">
        <x:v>OAuth and catalog discovery for rating, address, shipping, pickup, tracking and trade APIs</x:v>
      </x:c>
      <x:c r="H95" s="111" t="str">
        <x:v>https://developer.ups.com/</x:v>
      </x:c>
      <x:c r="I95" s="111" t="str">
        <x:v>API docs</x:v>
      </x:c>
      <x:c r="J95" s="111" t="str">
        <x:v>Version/change notice monitoring</x:v>
      </x:c>
      <x:c r="K95" s="111" t="str">
        <x:v>Carrier integrations</x:v>
      </x:c>
      <x:c r="L95" s="111" t="str">
        <x:v>2026-08-25</x:v>
      </x:c>
      <x:c r="M95" s="116" t="str">
        <x:v>ACTIVE</x:v>
      </x:c>
    </x:row>
    <x:row r="96" ht="54" customHeight="1">
      <x:c r="A96" s="110" t="str">
        <x:v>SRC-CAR-004</x:v>
      </x:c>
      <x:c r="B96" s="110" t="str">
        <x:v>Carrier API</x:v>
      </x:c>
      <x:c r="C96" s="110" t="str">
        <x:v>Service/contract specific</x:v>
      </x:c>
      <x:c r="D96" s="110" t="str">
        <x:v>UPS</x:v>
      </x:c>
      <x:c r="E96" s="110" t="str">
        <x:v>Dangerous Goods developer resources</x:v>
      </x:c>
      <x:c r="F96" s="110" t="str">
        <x:v>Current</x:v>
      </x:c>
      <x:c r="G96" s="110" t="str">
        <x:v>UPS DG contract, service and data requirements; never infer acceptance from ICAO alone</x:v>
      </x:c>
      <x:c r="H96" s="110" t="str">
        <x:v>https://developer.ups.com/tag/Dangerous-Goods?loc=en_US</x:v>
      </x:c>
      <x:c r="I96" s="110" t="str">
        <x:v>API docs</x:v>
      </x:c>
      <x:c r="J96" s="110" t="str">
        <x:v>Version/change notice monitoring</x:v>
      </x:c>
      <x:c r="K96" s="110" t="str">
        <x:v>Carrier integrations</x:v>
      </x:c>
      <x:c r="L96" s="110" t="str">
        <x:v>2026-08-25</x:v>
      </x:c>
      <x:c r="M96" s="116" t="str">
        <x:v>ACTIVE</x:v>
      </x:c>
    </x:row>
    <x:row r="97" ht="54" customHeight="1">
      <x:c r="A97" s="111" t="str">
        <x:v>SRC-CAR-005</x:v>
      </x:c>
      <x:c r="B97" s="111" t="str">
        <x:v>Carrier API</x:v>
      </x:c>
      <x:c r="C97" s="111" t="str">
        <x:v>Global/service availability</x:v>
      </x:c>
      <x:c r="D97" s="111" t="str">
        <x:v>FedEx</x:v>
      </x:c>
      <x:c r="E97" s="111" t="str">
        <x:v>FedEx Developer Portal and API Catalog</x:v>
      </x:c>
      <x:c r="F97" s="111" t="str">
        <x:v>Current</x:v>
      </x:c>
      <x:c r="G97" s="111" t="str">
        <x:v>OAuth, address, rate/transit, ship, pickup, return, tracking and webhook integration</x:v>
      </x:c>
      <x:c r="H97" s="111" t="str">
        <x:v>https://developer.fedex.com/api/en-sc/home.html</x:v>
      </x:c>
      <x:c r="I97" s="111" t="str">
        <x:v>API docs</x:v>
      </x:c>
      <x:c r="J97" s="111" t="str">
        <x:v>Version/change notice monitoring</x:v>
      </x:c>
      <x:c r="K97" s="111" t="str">
        <x:v>Carrier integrations</x:v>
      </x:c>
      <x:c r="L97" s="111" t="str">
        <x:v>2026-08-25</x:v>
      </x:c>
      <x:c r="M97" s="116" t="str">
        <x:v>ACTIVE</x:v>
      </x:c>
    </x:row>
    <x:row r="98" ht="54" customHeight="1">
      <x:c r="A98" s="110" t="str">
        <x:v>SRC-CAR-006</x:v>
      </x:c>
      <x:c r="B98" s="110" t="str">
        <x:v>Carrier API</x:v>
      </x:c>
      <x:c r="C98" s="110" t="str">
        <x:v>Global/service availability</x:v>
      </x:c>
      <x:c r="D98" s="110" t="str">
        <x:v>FedEx</x:v>
      </x:c>
      <x:c r="E98" s="110" t="str">
        <x:v>Ship API</x:v>
      </x:c>
      <x:c r="F98" s="110" t="str">
        <x:v>Current</x:v>
      </x:c>
      <x:c r="G98" s="110" t="str">
        <x:v>Shipment creation, labels, customs data, returns, special services and error mapping</x:v>
      </x:c>
      <x:c r="H98" s="110" t="str">
        <x:v>https://developer.fedex.com/api/en-in/catalog/ship.html</x:v>
      </x:c>
      <x:c r="I98" s="110" t="str">
        <x:v>API docs</x:v>
      </x:c>
      <x:c r="J98" s="110" t="str">
        <x:v>Version/change notice monitoring</x:v>
      </x:c>
      <x:c r="K98" s="110" t="str">
        <x:v>Carrier integrations</x:v>
      </x:c>
      <x:c r="L98" s="110" t="str">
        <x:v>2026-08-25</x:v>
      </x:c>
      <x:c r="M98" s="116" t="str">
        <x:v>ACTIVE</x:v>
      </x:c>
    </x:row>
  </x:sheetData>
  <x:mergeCells>
    <x:mergeCell ref="A1:M1"/>
    <x:mergeCell ref="A2:M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70" hidden="0" customWidth="1"/>
    <x:col min="4" max="4" width="32" hidden="0" customWidth="1"/>
    <x:col min="5" max="5" width="30" hidden="0" customWidth="1"/>
    <x:col min="6" max="6" width="18" hidden="0" customWidth="1"/>
    <x:col min="7" max="7" width="34" hidden="0" customWidth="1"/>
  </x:cols>
  <x:sheetData>
    <x:row r="1" ht="32" customHeight="1">
      <x:c r="A1" s="87" t="str">
        <x:v>Production release checklist</x:v>
      </x:c>
      <x:c r="B1" s="87"/>
      <x:c r="C1" s="87"/>
      <x:c r="D1" s="87"/>
      <x:c r="E1" s="87"/>
      <x:c r="F1" s="87"/>
      <x:c r="G1" s="87"/>
    </x:row>
    <x:row r="2" ht="34" customHeight="1">
      <x:c r="A2" s="88" t="str">
        <x:v>All items relevant to the claimed tenant/region/country/mode/commodity/carrier scope must be PASS with linked evidence.</x:v>
      </x:c>
      <x:c r="B2" s="88"/>
      <x:c r="C2" s="88"/>
      <x:c r="D2" s="88"/>
      <x:c r="E2" s="88"/>
      <x:c r="F2" s="88"/>
      <x:c r="G2" s="88"/>
    </x:row>
    <x:row r="4" ht="34" customHeight="1">
      <x:c r="A4" s="89" t="str">
        <x:v>Gate ID</x:v>
      </x:c>
      <x:c r="B4" s="89" t="str">
        <x:v>Area</x:v>
      </x:c>
      <x:c r="C4" s="89" t="str">
        <x:v>Acceptance criterion</x:v>
      </x:c>
      <x:c r="D4" s="89" t="str">
        <x:v>Scope</x:v>
      </x:c>
      <x:c r="E4" s="89" t="str">
        <x:v>Accountable owner</x:v>
      </x:c>
      <x:c r="F4" s="89" t="str">
        <x:v>Status</x:v>
      </x:c>
      <x:c r="G4" s="89" t="str">
        <x:v>Failure consequence</x:v>
      </x:c>
    </x:row>
    <x:row r="5" ht="52" customHeight="1">
      <x:c r="A5" s="111" t="str">
        <x:v>REL-001</x:v>
      </x:c>
      <x:c r="B5" s="111" t="str">
        <x:v>Legal role</x:v>
      </x:c>
      <x:c r="C5" s="111" t="str">
        <x:v>Tenant/site warehouse-operator role and prohibited-role language approved</x:v>
      </x:c>
      <x:c r="D5" s="111" t="str">
        <x:v>Global and tenant</x:v>
      </x:c>
      <x:c r="E5" s="111" t="str">
        <x:v>Legal</x:v>
      </x:c>
      <x:c r="F5" s="114" t="str">
        <x:v>NOT_STARTED</x:v>
      </x:c>
      <x:c r="G5" s="111" t="str">
        <x:v>No production</x:v>
      </x:c>
    </x:row>
    <x:row r="6" ht="52" customHeight="1">
      <x:c r="A6" s="110" t="str">
        <x:v>REL-002</x:v>
      </x:c>
      <x:c r="B6" s="110" t="str">
        <x:v>Country inventory</x:v>
      </x:c>
      <x:c r="C6" s="110" t="str">
        <x:v>249 officially assigned ISO 3166-1 entries loaded plus explicit operational overrides</x:v>
      </x:c>
      <x:c r="D6" s="110" t="str">
        <x:v>Platform</x:v>
      </x:c>
      <x:c r="E6" s="110" t="str">
        <x:v>Data governance</x:v>
      </x:c>
      <x:c r="F6" s="114" t="str">
        <x:v>PASS</x:v>
      </x:c>
      <x:c r="G6" s="110" t="str">
        <x:v>Refresh on ISO/UN notice</x:v>
      </x:c>
    </x:row>
    <x:row r="7" ht="52" customHeight="1">
      <x:c r="A7" s="111" t="str">
        <x:v>REL-003</x:v>
      </x:c>
      <x:c r="B7" s="111" t="str">
        <x:v>Country pack</x:v>
      </x:c>
      <x:c r="C7" s="111" t="str">
        <x:v>National customs authority and tariff source validated</x:v>
      </x:c>
      <x:c r="D7" s="111" t="str">
        <x:v>Each inbound/outbound pack</x:v>
      </x:c>
      <x:c r="E7" s="111" t="str">
        <x:v>Country-pack owner</x:v>
      </x:c>
      <x:c r="F7" s="114" t="str">
        <x:v>NOT_STARTED</x:v>
      </x:c>
      <x:c r="G7" s="111" t="str">
        <x:v>Capability blocked</x:v>
      </x:c>
    </x:row>
    <x:row r="8" ht="52" customHeight="1">
      <x:c r="A8" s="110" t="str">
        <x:v>REL-004</x:v>
      </x:c>
      <x:c r="B8" s="110" t="str">
        <x:v>Country pack</x:v>
      </x:c>
      <x:c r="C8" s="110" t="str">
        <x:v>Customs territory, fiscal exceptions and postal/air service territories mapped</x:v>
      </x:c>
      <x:c r="D8" s="110" t="str">
        <x:v>Each pack/override</x:v>
      </x:c>
      <x:c r="E8" s="110" t="str">
        <x:v>Country-pack owner</x:v>
      </x:c>
      <x:c r="F8" s="114" t="str">
        <x:v>NOT_STARTED</x:v>
      </x:c>
      <x:c r="G8" s="110" t="str">
        <x:v>Capability blocked</x:v>
      </x:c>
    </x:row>
    <x:row r="9" ht="52" customHeight="1">
      <x:c r="A9" s="111" t="str">
        <x:v>REL-005</x:v>
      </x:c>
      <x:c r="B9" s="111" t="str">
        <x:v>Country pack</x:v>
      </x:c>
      <x:c r="C9" s="111" t="str">
        <x:v>Import/export procedures, low-value, VAT/GST/excise and trade remedies validated with effective dates</x:v>
      </x:c>
      <x:c r="D9" s="111" t="str">
        <x:v>Each flow</x:v>
      </x:c>
      <x:c r="E9" s="111" t="str">
        <x:v>Customs/tax reviewer</x:v>
      </x:c>
      <x:c r="F9" s="114" t="str">
        <x:v>NOT_STARTED</x:v>
      </x:c>
      <x:c r="G9" s="111" t="str">
        <x:v>Capability blocked</x:v>
      </x:c>
    </x:row>
    <x:row r="10" ht="52" customHeight="1">
      <x:c r="A10" s="110" t="str">
        <x:v>REL-006</x:v>
      </x:c>
      <x:c r="B10" s="110" t="str">
        <x:v>Country pack</x:v>
      </x:c>
      <x:c r="C10" s="110" t="str">
        <x:v>Prohibitions, licences, permits and other-government-agency requirements validated by commodity</x:v>
      </x:c>
      <x:c r="D10" s="110" t="str">
        <x:v>Each commodity family</x:v>
      </x:c>
      <x:c r="E10" s="110" t="str">
        <x:v>Commodity specialists</x:v>
      </x:c>
      <x:c r="F10" s="114" t="str">
        <x:v>NOT_STARTED</x:v>
      </x:c>
      <x:c r="G10" s="110" t="str">
        <x:v>Commodity blocked</x:v>
      </x:c>
    </x:row>
    <x:row r="11" ht="52" customHeight="1">
      <x:c r="A11" s="111" t="str">
        <x:v>REL-007</x:v>
      </x:c>
      <x:c r="B11" s="111" t="str">
        <x:v>Country pack</x:v>
      </x:c>
      <x:c r="C11" s="111" t="str">
        <x:v>Privacy, transfer, retention and breach obligations approved for tenant/customer/data flows</x:v>
      </x:c>
      <x:c r="D11" s="111" t="str">
        <x:v>Each hosting/operating market</x:v>
      </x:c>
      <x:c r="E11" s="111" t="str">
        <x:v>Privacy/legal</x:v>
      </x:c>
      <x:c r="F11" s="114" t="str">
        <x:v>NOT_STARTED</x:v>
      </x:c>
      <x:c r="G11" s="111" t="str">
        <x:v>Tenant/region blocked</x:v>
      </x:c>
    </x:row>
    <x:row r="12" ht="52" customHeight="1">
      <x:c r="A12" s="110" t="str">
        <x:v>REL-008</x:v>
      </x:c>
      <x:c r="B12" s="110" t="str">
        <x:v>Sanctions</x:v>
      </x:c>
      <x:c r="C12" s="110" t="str">
        <x:v>UN and all applicable nexus feeds ingest, alert and fail closed</x:v>
      </x:c>
      <x:c r="D12" s="110" t="str">
        <x:v>Global + nexuses</x:v>
      </x:c>
      <x:c r="E12" s="110" t="str">
        <x:v>Screening operations</x:v>
      </x:c>
      <x:c r="F12" s="114" t="str">
        <x:v>NOT_STARTED</x:v>
      </x:c>
      <x:c r="G12" s="110" t="str">
        <x:v>All release blocked</x:v>
      </x:c>
    </x:row>
    <x:row r="13" ht="52" customHeight="1">
      <x:c r="A13" s="111" t="str">
        <x:v>REL-009</x:v>
      </x:c>
      <x:c r="B13" s="111" t="str">
        <x:v>Export controls</x:v>
      </x:c>
      <x:c r="C13" s="111" t="str">
        <x:v>Classification/end-use/licensing workflow and external approval path certified</x:v>
      </x:c>
      <x:c r="D13" s="111" t="str">
        <x:v>Controlled goods</x:v>
      </x:c>
      <x:c r="E13" s="111" t="str">
        <x:v>Export controls</x:v>
      </x:c>
      <x:c r="F13" s="114" t="str">
        <x:v>NOT_STARTED</x:v>
      </x:c>
      <x:c r="G13" s="111" t="str">
        <x:v>Controlled goods blocked</x:v>
      </x:c>
    </x:row>
    <x:row r="14" ht="52" customHeight="1">
      <x:c r="A14" s="110" t="str">
        <x:v>REL-010</x:v>
      </x:c>
      <x:c r="B14" s="110" t="str">
        <x:v>DG</x:v>
      </x:c>
      <x:c r="C14" s="110" t="str">
        <x:v>Current ICAO/IATA/UN editions and licensed state/operator variations loaded</x:v>
      </x:c>
      <x:c r="D14" s="110" t="str">
        <x:v>Air DG</x:v>
      </x:c>
      <x:c r="E14" s="110" t="str">
        <x:v>DG governance</x:v>
      </x:c>
      <x:c r="F14" s="114" t="str">
        <x:v>NOT_STARTED</x:v>
      </x:c>
      <x:c r="G14" s="110" t="str">
        <x:v>DG blocked</x:v>
      </x:c>
    </x:row>
    <x:row r="15" ht="52" customHeight="1">
      <x:c r="A15" s="111" t="str">
        <x:v>REL-011</x:v>
      </x:c>
      <x:c r="B15" s="111" t="str">
        <x:v>DG</x:v>
      </x:c>
      <x:c r="C15" s="111" t="str">
        <x:v>Certified reviewer registry, packaging, labels/docs and carrier acceptance tested</x:v>
      </x:c>
      <x:c r="D15" s="111" t="str">
        <x:v>Each site/carrier/service</x:v>
      </x:c>
      <x:c r="E15" s="111" t="str">
        <x:v>DG governance</x:v>
      </x:c>
      <x:c r="F15" s="114" t="str">
        <x:v>NOT_STARTED</x:v>
      </x:c>
      <x:c r="G15" s="111" t="str">
        <x:v>DG blocked</x:v>
      </x:c>
    </x:row>
    <x:row r="16" ht="52" customHeight="1">
      <x:c r="A16" s="110" t="str">
        <x:v>REL-012</x:v>
      </x:c>
      <x:c r="B16" s="110" t="str">
        <x:v>Postal</x:v>
      </x:c>
      <x:c r="C16" s="110" t="str">
        <x:v>Origin operator contract, UPU versions, S10 range and message conformance approved</x:v>
      </x:c>
      <x:c r="D16" s="110" t="str">
        <x:v>Each postal origin</x:v>
      </x:c>
      <x:c r="E16" s="110" t="str">
        <x:v>Postal owner</x:v>
      </x:c>
      <x:c r="F16" s="114" t="str">
        <x:v>NOT_STARTED</x:v>
      </x:c>
      <x:c r="G16" s="110" t="str">
        <x:v>Postal blocked</x:v>
      </x:c>
    </x:row>
    <x:row r="17" ht="52" customHeight="1">
      <x:c r="A17" s="111" t="str">
        <x:v>REL-013</x:v>
      </x:c>
      <x:c r="B17" s="111" t="str">
        <x:v>Air</x:v>
      </x:c>
      <x:c r="C17" s="111" t="str">
        <x:v>Forwarder/carrier role, security status, PLACI/referral and AWB flows certified</x:v>
      </x:c>
      <x:c r="D17" s="111" t="str">
        <x:v>Each air origin/partner</x:v>
      </x:c>
      <x:c r="E17" s="111" t="str">
        <x:v>Air compliance</x:v>
      </x:c>
      <x:c r="F17" s="114" t="str">
        <x:v>NOT_STARTED</x:v>
      </x:c>
      <x:c r="G17" s="111" t="str">
        <x:v>Air blocked</x:v>
      </x:c>
    </x:row>
    <x:row r="18" ht="52" customHeight="1">
      <x:c r="A18" s="110" t="str">
        <x:v>REL-014</x:v>
      </x:c>
      <x:c r="B18" s="110" t="str">
        <x:v>Carrier</x:v>
      </x:c>
      <x:c r="C18" s="110" t="str">
        <x:v>DHL production certification/account capabilities completed</x:v>
      </x:c>
      <x:c r="D18" s="110" t="str">
        <x:v>Each account/market</x:v>
      </x:c>
      <x:c r="E18" s="110" t="str">
        <x:v>DHL integration</x:v>
      </x:c>
      <x:c r="F18" s="114" t="str">
        <x:v>NOT_STARTED</x:v>
      </x:c>
      <x:c r="G18" s="110" t="str">
        <x:v>DHL disabled</x:v>
      </x:c>
    </x:row>
    <x:row r="19" ht="52" customHeight="1">
      <x:c r="A19" s="111" t="str">
        <x:v>REL-015</x:v>
      </x:c>
      <x:c r="B19" s="111" t="str">
        <x:v>Carrier</x:v>
      </x:c>
      <x:c r="C19" s="111" t="str">
        <x:v>UPS production certification/account capabilities including DG where relevant completed</x:v>
      </x:c>
      <x:c r="D19" s="111" t="str">
        <x:v>Each account/market</x:v>
      </x:c>
      <x:c r="E19" s="111" t="str">
        <x:v>UPS integration</x:v>
      </x:c>
      <x:c r="F19" s="114" t="str">
        <x:v>NOT_STARTED</x:v>
      </x:c>
      <x:c r="G19" s="111" t="str">
        <x:v>UPS disabled</x:v>
      </x:c>
    </x:row>
    <x:row r="20" ht="52" customHeight="1">
      <x:c r="A20" s="110" t="str">
        <x:v>REL-016</x:v>
      </x:c>
      <x:c r="B20" s="110" t="str">
        <x:v>Carrier</x:v>
      </x:c>
      <x:c r="C20" s="110" t="str">
        <x:v>FedEx integrator/certification/account capabilities completed</x:v>
      </x:c>
      <x:c r="D20" s="110" t="str">
        <x:v>Each account/market</x:v>
      </x:c>
      <x:c r="E20" s="110" t="str">
        <x:v>FedEx integration</x:v>
      </x:c>
      <x:c r="F20" s="114" t="str">
        <x:v>NOT_STARTED</x:v>
      </x:c>
      <x:c r="G20" s="110" t="str">
        <x:v>FedEx disabled</x:v>
      </x:c>
    </x:row>
    <x:row r="21" ht="52" customHeight="1">
      <x:c r="A21" s="111" t="str">
        <x:v>REL-017</x:v>
      </x:c>
      <x:c r="B21" s="111" t="str">
        <x:v>Adapters</x:v>
      </x:c>
      <x:c r="C21" s="111" t="str">
        <x:v>Regional, postal and air adapters pass canonical contract/security/idempotency suite</x:v>
      </x:c>
      <x:c r="D21" s="111" t="str">
        <x:v>Each adapter/version</x:v>
      </x:c>
      <x:c r="E21" s="111" t="str">
        <x:v>Integration QA</x:v>
      </x:c>
      <x:c r="F21" s="114" t="str">
        <x:v>NOT_STARTED</x:v>
      </x:c>
      <x:c r="G21" s="111" t="str">
        <x:v>Adapter disabled</x:v>
      </x:c>
    </x:row>
    <x:row r="22" ht="52" customHeight="1">
      <x:c r="A22" s="110" t="str">
        <x:v>REL-018</x:v>
      </x:c>
      <x:c r="B22" s="110" t="str">
        <x:v>Warehouse</x:v>
      </x:c>
      <x:c r="C22" s="110" t="str">
        <x:v>Site zones, calibrated devices, quarantine, pack/release and custody SOPs tested</x:v>
      </x:c>
      <x:c r="D22" s="110" t="str">
        <x:v>Each site/commodity</x:v>
      </x:c>
      <x:c r="E22" s="110" t="str">
        <x:v>Operations/quality</x:v>
      </x:c>
      <x:c r="F22" s="114" t="str">
        <x:v>NOT_STARTED</x:v>
      </x:c>
      <x:c r="G22" s="110" t="str">
        <x:v>Site capability blocked</x:v>
      </x:c>
    </x:row>
    <x:row r="23" ht="52" customHeight="1">
      <x:c r="A23" s="111" t="str">
        <x:v>REL-019</x:v>
      </x:c>
      <x:c r="B23" s="111" t="str">
        <x:v>Security</x:v>
      </x:c>
      <x:c r="C23" s="111" t="str">
        <x:v>Threat model, penetration test, SBOM/dependency, secrets and audit controls approved</x:v>
      </x:c>
      <x:c r="D23" s="111" t="str">
        <x:v>Each release</x:v>
      </x:c>
      <x:c r="E23" s="111" t="str">
        <x:v>Security</x:v>
      </x:c>
      <x:c r="F23" s="114" t="str">
        <x:v>NOT_STARTED</x:v>
      </x:c>
      <x:c r="G23" s="111" t="str">
        <x:v>No production</x:v>
      </x:c>
    </x:row>
    <x:row r="24" ht="52" customHeight="1">
      <x:c r="A24" s="110" t="str">
        <x:v>REL-020</x:v>
      </x:c>
      <x:c r="B24" s="110" t="str">
        <x:v>Residency</x:v>
      </x:c>
      <x:c r="C24" s="110" t="str">
        <x:v>Regional topology, backups/DR, keys, support and subprocessors approved</x:v>
      </x:c>
      <x:c r="D24" s="110" t="str">
        <x:v>Each hosting region</x:v>
      </x:c>
      <x:c r="E24" s="110" t="str">
        <x:v>Privacy/security</x:v>
      </x:c>
      <x:c r="F24" s="114" t="str">
        <x:v>NOT_STARTED</x:v>
      </x:c>
      <x:c r="G24" s="110" t="str">
        <x:v>Region unavailable</x:v>
      </x:c>
    </x:row>
    <x:row r="25" ht="52" customHeight="1">
      <x:c r="A25" s="111" t="str">
        <x:v>REL-021</x:v>
      </x:c>
      <x:c r="B25" s="111" t="str">
        <x:v>Data</x:v>
      </x:c>
      <x:c r="C25" s="111" t="str">
        <x:v>Canonical model, code lists, migration and field-purpose inventory approved</x:v>
      </x:c>
      <x:c r="D25" s="111" t="str">
        <x:v>Platform</x:v>
      </x:c>
      <x:c r="E25" s="111" t="str">
        <x:v>Architecture/privacy</x:v>
      </x:c>
      <x:c r="F25" s="114" t="str">
        <x:v>NOT_STARTED</x:v>
      </x:c>
      <x:c r="G25" s="111" t="str">
        <x:v>No production</x:v>
      </x:c>
    </x:row>
    <x:row r="26" ht="52" customHeight="1">
      <x:c r="A26" s="110" t="str">
        <x:v>REL-022</x:v>
      </x:c>
      <x:c r="B26" s="110" t="str">
        <x:v>Testing</x:v>
      </x:c>
      <x:c r="C26" s="110" t="str">
        <x:v>Every MUST requirement maps to passing automated/manual evidence</x:v>
      </x:c>
      <x:c r="D26" s="110" t="str">
        <x:v>Release</x:v>
      </x:c>
      <x:c r="E26" s="110" t="str">
        <x:v>QA/compliance</x:v>
      </x:c>
      <x:c r="F26" s="114" t="str">
        <x:v>NOT_STARTED</x:v>
      </x:c>
      <x:c r="G26" s="110" t="str">
        <x:v>No production</x:v>
      </x:c>
    </x:row>
    <x:row r="27" ht="52" customHeight="1">
      <x:c r="A27" s="111" t="str">
        <x:v>REL-023</x:v>
      </x:c>
      <x:c r="B27" s="111" t="str">
        <x:v>Testing</x:v>
      </x:c>
      <x:c r="C27" s="111" t="str">
        <x:v>Golden lanes include positive, negative, boundary and future-effective cases</x:v>
      </x:c>
      <x:c r="D27" s="111" t="str">
        <x:v>Each country/mode/commodity</x:v>
      </x:c>
      <x:c r="E27" s="111" t="str">
        <x:v>Country-pack QA</x:v>
      </x:c>
      <x:c r="F27" s="114" t="str">
        <x:v>NOT_STARTED</x:v>
      </x:c>
      <x:c r="G27" s="111" t="str">
        <x:v>Pack blocked</x:v>
      </x:c>
    </x:row>
    <x:row r="28" ht="52" customHeight="1">
      <x:c r="A28" s="110" t="str">
        <x:v>REL-024</x:v>
      </x:c>
      <x:c r="B28" s="110" t="str">
        <x:v>Operations</x:v>
      </x:c>
      <x:c r="C28" s="110" t="str">
        <x:v>Monitoring, feed/source expiry, outage, incident, intercept and escalation runbooks exercised</x:v>
      </x:c>
      <x:c r="D28" s="110" t="str">
        <x:v>Platform/region</x:v>
      </x:c>
      <x:c r="E28" s="110" t="str">
        <x:v>Operations/compliance</x:v>
      </x:c>
      <x:c r="F28" s="114" t="str">
        <x:v>NOT_STARTED</x:v>
      </x:c>
      <x:c r="G28" s="110" t="str">
        <x:v>No production</x:v>
      </x:c>
    </x:row>
    <x:row r="29" ht="52" customHeight="1">
      <x:c r="A29" s="111" t="str">
        <x:v>REL-025</x:v>
      </x:c>
      <x:c r="B29" s="111" t="str">
        <x:v>Records</x:v>
      </x:c>
      <x:c r="C29" s="111" t="str">
        <x:v>Retention, legal hold, evidence export and deletion verified</x:v>
      </x:c>
      <x:c r="D29" s="111" t="str">
        <x:v>Each country/data class</x:v>
      </x:c>
      <x:c r="E29" s="111" t="str">
        <x:v>Records/privacy</x:v>
      </x:c>
      <x:c r="F29" s="114" t="str">
        <x:v>NOT_STARTED</x:v>
      </x:c>
      <x:c r="G29" s="111" t="str">
        <x:v>No production</x:v>
      </x:c>
    </x:row>
    <x:row r="30" ht="52" customHeight="1">
      <x:c r="A30" s="110" t="str">
        <x:v>REL-026</x:v>
      </x:c>
      <x:c r="B30" s="110" t="str">
        <x:v>Commercial</x:v>
      </x:c>
      <x:c r="C30" s="110" t="str">
        <x:v>Carrier/API/data-source terms, resale rights and licensed rule content approved</x:v>
      </x:c>
      <x:c r="D30" s="110" t="str">
        <x:v>Each provider/source</x:v>
      </x:c>
      <x:c r="E30" s="110" t="str">
        <x:v>Legal/procurement</x:v>
      </x:c>
      <x:c r="F30" s="114" t="str">
        <x:v>NOT_STARTED</x:v>
      </x:c>
      <x:c r="G30" s="110" t="str">
        <x:v>Provider/rules disabled</x:v>
      </x:c>
    </x:row>
    <x:row r="31" ht="52" customHeight="1">
      <x:c r="A31" s="111" t="str">
        <x:v>REL-027</x:v>
      </x:c>
      <x:c r="B31" s="111" t="str">
        <x:v>Tenant UAT</x:v>
      </x:c>
      <x:c r="C31" s="111" t="str">
        <x:v>Tenant admins accept roles, commodity permissions, DDP/DAP, approvals and site SOPs</x:v>
      </x:c>
      <x:c r="D31" s="111" t="str">
        <x:v>Each tenant</x:v>
      </x:c>
      <x:c r="E31" s="111" t="str">
        <x:v>Tenant accountable owner</x:v>
      </x:c>
      <x:c r="F31" s="114" t="str">
        <x:v>NOT_STARTED</x:v>
      </x:c>
      <x:c r="G31" s="111" t="str">
        <x:v>Tenant inactive</x:v>
      </x:c>
    </x:row>
    <x:row r="32" ht="52" customHeight="1">
      <x:c r="A32" s="110" t="str">
        <x:v>REL-028</x:v>
      </x:c>
      <x:c r="B32" s="110" t="str">
        <x:v>Go-live</x:v>
      </x:c>
      <x:c r="C32" s="110" t="str">
        <x:v>Named legal, compliance, privacy, security, product, integrations and operations owners sign go/no-go</x:v>
      </x:c>
      <x:c r="D32" s="110" t="str">
        <x:v>Release</x:v>
      </x:c>
      <x:c r="E32" s="110" t="str">
        <x:v>Executive release board</x:v>
      </x:c>
      <x:c r="F32" s="114" t="str">
        <x:v>NOT_STARTED</x:v>
      </x:c>
      <x:c r="G32" s="110" t="str">
        <x:v>No-go</x:v>
      </x:c>
    </x:row>
  </x:sheetData>
  <x:mergeCells>
    <x:mergeCell ref="A1:G1"/>
    <x:mergeCell ref="A2:G2"/>
  </x:mergeCells>
  <x:dataValidations count="1">
    <x:dataValidation type="list" sqref="F5:F32">
      <x:formula1>"NOT_STARTED,IN_PROGRESS,PASS,FAIL,NOT_APPLICABLE_WITH_APPROVAL"</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34" hidden="0" customWidth="1"/>
    <x:col min="5" max="5" width="55" hidden="0" customWidth="1"/>
    <x:col min="6" max="6" width="40" hidden="0" customWidth="1"/>
    <x:col min="7" max="7" width="24" hidden="0" customWidth="1"/>
    <x:col min="8" max="8" width="24" hidden="0" customWidth="1"/>
    <x:col min="9" max="9" width="30" hidden="0" customWidth="1"/>
    <x:col min="10" max="10" width="30" hidden="0" customWidth="1"/>
    <x:col min="11" max="11" width="18" hidden="0" customWidth="1"/>
  </x:cols>
  <x:sheetData>
    <x:row r="1" ht="32" customHeight="1">
      <x:c r="A1" s="87" t="str">
        <x:v>Register change log</x:v>
      </x:c>
      <x:c r="B1" s="87"/>
      <x:c r="C1" s="87"/>
      <x:c r="D1" s="87"/>
      <x:c r="E1" s="87"/>
      <x:c r="F1" s="87"/>
      <x:c r="G1" s="87"/>
      <x:c r="H1" s="87"/>
      <x:c r="I1" s="87"/>
      <x:c r="J1" s="87"/>
      <x:c r="K1" s="87"/>
    </x:row>
    <x:row r="2" ht="34" customHeight="1">
      <x:c r="A2" s="88" t="str">
        <x:v>Every production update must identify the source change, impacted scope, approvers, test evidence and effective time.</x:v>
      </x:c>
      <x:c r="B2" s="88"/>
      <x:c r="C2" s="88"/>
      <x:c r="D2" s="88"/>
      <x:c r="E2" s="88"/>
      <x:c r="F2" s="88"/>
      <x:c r="G2" s="88"/>
      <x:c r="H2" s="88"/>
      <x:c r="I2" s="88"/>
      <x:c r="J2" s="88"/>
      <x:c r="K2" s="88"/>
    </x:row>
    <x:row r="4" ht="34" customHeight="1">
      <x:c r="A4" s="89" t="str">
        <x:v>Change ID</x:v>
      </x:c>
      <x:c r="B4" s="89" t="str">
        <x:v>Recorded at</x:v>
      </x:c>
      <x:c r="C4" s="89" t="str">
        <x:v>Effective at</x:v>
      </x:c>
      <x:c r="D4" s="89" t="str">
        <x:v>Source / trigger</x:v>
      </x:c>
      <x:c r="E4" s="89" t="str">
        <x:v>Summary</x:v>
      </x:c>
      <x:c r="F4" s="89" t="str">
        <x:v>Impacted packs / rules</x:v>
      </x:c>
      <x:c r="G4" s="89" t="str">
        <x:v>Author</x:v>
      </x:c>
      <x:c r="H4" s="89" t="str">
        <x:v>Independent approver</x:v>
      </x:c>
      <x:c r="I4" s="89" t="str">
        <x:v>Test evidence</x:v>
      </x:c>
      <x:c r="J4" s="89" t="str">
        <x:v>Deployment / rollback</x:v>
      </x:c>
      <x:c r="K4" s="89" t="str">
        <x:v>Status</x:v>
      </x:c>
    </x:row>
    <x:row r="5" ht="54" customHeight="1">
      <x:c r="A5" s="111" t="str">
        <x:v>CHG-0001</x:v>
      </x:c>
      <x:c r="B5" s="111" t="str">
        <x:v>2026-07-25</x:v>
      </x:c>
      <x:c r="C5" s="111" t="str">
        <x:v>2026-07-25</x:v>
      </x:c>
      <x:c r="D5" s="111" t="str">
        <x:v>Initial baseline</x:v>
      </x:c>
      <x:c r="E5" s="111" t="str">
        <x:v>Created worldwide register, canonical requirements, country inventory and source baseline</x:v>
      </x:c>
      <x:c r="F5" s="111" t="str">
        <x:v>All</x:v>
      </x:c>
      <x:c r="G5" s="111" t="str">
        <x:v>Specification team</x:v>
      </x:c>
      <x:c r="H5" s="111" t="str">
        <x:v>Pending</x:v>
      </x:c>
      <x:c r="I5" s="111" t="str">
        <x:v>Initial QA pending</x:v>
      </x:c>
      <x:c r="J5" s="111" t="str">
        <x:v>Not deployed</x:v>
      </x:c>
      <x:c r="K5" s="111" t="str">
        <x:v>DRAFT</x:v>
      </x:c>
    </x:row>
  </x:sheetData>
  <x:mergeCells>
    <x:mergeCell ref="A1:K1"/>
    <x:mergeCell ref="A2:K2"/>
  </x:mergeCells>
  <x:pageMargins left="0.7" right="0.7" top="0.75" bottom="0.75" header="0.3" footer="0.3"/>
</x:worksheet>
</file>