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Failures &amp; Defects" sheetId="2" state="visible" r:id="rId4"/>
    <sheet name="Deep Div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<sst xmlns="http://schemas.openxmlformats.org/spreadsheetml/2006/main" count="147" uniqueCount="134">
  <si>
    <t xml:space="preserve">multiship — Combined Shipment-Validation Report</t>
  </si>
  <si>
    <t xml:space="preserve">Client MKL246 · 4 test runs (UPS &amp; FedEx, domestic &amp; international) · validate-only · 26–27 September 2026</t>
  </si>
  <si>
    <t xml:space="preserve">BOTTOM LINE: Domestic shipping is solid on both carriers. International is split — FedEx international works, but UPS international is a TOTAL BLOCKER (every lane fails). One critical bug (UPS ShipmentContentsValue) and one high-severity export-filing failure (FedEx→China) remain open. See the Failures &amp; Defects register.</t>
  </si>
  <si>
    <t xml:space="preserve">Test scorecard</t>
  </si>
  <si>
    <t xml:space="preserve">Test run</t>
  </si>
  <si>
    <t xml:space="preserve">Date</t>
  </si>
  <si>
    <t xml:space="preserve">Runs</t>
  </si>
  <si>
    <t xml:space="preserve">Clean pass</t>
  </si>
  <si>
    <t xml:space="preserve">Pass w/ warning</t>
  </si>
  <si>
    <t xml:space="preserve">Outright fail</t>
  </si>
  <si>
    <t xml:space="preserve">Verdict</t>
  </si>
  <si>
    <t xml:space="preserve">UPS — Domestic</t>
  </si>
  <si>
    <t xml:space="preserve">26 Sep</t>
  </si>
  <si>
    <t xml:space="preserve">PASS (config gap)</t>
  </si>
  <si>
    <t xml:space="preserve">FedEx — Domestic</t>
  </si>
  <si>
    <t xml:space="preserve">PASS</t>
  </si>
  <si>
    <t xml:space="preserve">UPS — International</t>
  </si>
  <si>
    <t xml:space="preserve">27 Sep</t>
  </si>
  <si>
    <t xml:space="preserve">BLOCKED — all fail</t>
  </si>
  <si>
    <t xml:space="preserve">FedEx — International</t>
  </si>
  <si>
    <t xml:space="preserve">WORKS (2 issues)</t>
  </si>
  <si>
    <t xml:space="preserve">TOTAL</t>
  </si>
  <si>
    <t xml:space="preserve">118 runs · 33 failures</t>
  </si>
  <si>
    <t xml:space="preserve">The two open issues that block shipping</t>
  </si>
  <si>
    <t xml:space="preserve">① UPS International — invalid ShipmentContentsValue  [P1 CRITICAL, OPEN]</t>
  </si>
  <si>
    <t xml:space="preserve">Every US→international UPS shipment fails at the live carrier (Time-in-Transit) check: 'invalid ShipmentContentsValue'. All other checks pass. Independent of country, service and packaging → blocks 100% of UPS international. Fix: build the TNT ShipmentContentsValue as MonetaryValue + CurrencyCode from the commercial-invoice total.</t>
  </si>
  <si>
    <t xml:space="preserve">② FedEx International → China — AES/EEI export filing  [P2 HIGH, OPEN]</t>
  </si>
  <si>
    <t xml:space="preserve">US→CN fails on BOTH FedEx international services: 'The FTR Exemption or AES Citation you provided is not valid for EEI.' Other destinations (CA/GB/AU/BR/IN) pass at the same value → China-specific export-control rule. Fix: capture an AES ITN, or set the correct FTR exemption, for controlled destinations.</t>
  </si>
  <si>
    <t xml:space="preserve">Context: all runs are validate-only (no labels bought), client MKL246, ship-from 3PL-EAST (Zeeland, MI). Sandbox carrier accounts UPS 746W05 / FedEx 740561111. Full per-test detail on the Deep Dive tab; every failure and defect (open and resolved) is itemised on the Failures &amp; Defects tab. Source: the four standalone report workbooks.</t>
  </si>
  <si>
    <t xml:space="preserve">Failures &amp; Defects Register — all 4 test runs</t>
  </si>
  <si>
    <t xml:space="preserve">Ranked by severity. Covers outright failures and backend defects (open and resolved).</t>
  </si>
  <si>
    <t xml:space="preserve">ID</t>
  </si>
  <si>
    <t xml:space="preserve">Severity</t>
  </si>
  <si>
    <t xml:space="preserve">Test</t>
  </si>
  <si>
    <t xml:space="preserve">Category</t>
  </si>
  <si>
    <t xml:space="preserve">What happened / error</t>
  </si>
  <si>
    <t xml:space="preserve">Root cause</t>
  </si>
  <si>
    <t xml:space="preserve">Scope / blast radius</t>
  </si>
  <si>
    <t xml:space="preserve">Status</t>
  </si>
  <si>
    <t xml:space="preserve">Fix / action</t>
  </si>
  <si>
    <t xml:space="preserve">F1</t>
  </si>
  <si>
    <t xml:space="preserve">P1 Critical</t>
  </si>
  <si>
    <t xml:space="preserve">UPS International</t>
  </si>
  <si>
    <t xml:space="preserve">Backend / carrier</t>
  </si>
  <si>
    <t xml:space="preserve">Carrier check fails on EVERY lane: 'UPS Time-in-Transit rejected the request: invalid ShipmentContentsValue'. All 4 prior checks pass.</t>
  </si>
  <si>
    <t xml:space="preserve">TNT request sends ShipmentContentsValue in a shape UPS rejects (needs a monetary value + currency from the invoice total).</t>
  </si>
  <si>
    <t xml:space="preserve">ALL UPS international shipments. Independent of country / service (Saver 65, Expedited 08, Express 07) / packaging. 21/21 runs failed.</t>
  </si>
  <si>
    <t xml:space="preserve">OPEN</t>
  </si>
  <si>
    <t xml:space="preserve">Build ShipmentContentsValue as MonetaryValue + CurrencyCode from the Items total; add a US→intl regression test.</t>
  </si>
  <si>
    <t xml:space="preserve">F2</t>
  </si>
  <si>
    <t xml:space="preserve">P2 High</t>
  </si>
  <si>
    <t xml:space="preserve">UPS Domestic</t>
  </si>
  <si>
    <t xml:space="preserve">Configuration</t>
  </si>
  <si>
    <t xml:space="preserve">UPS Ground rejects all 6 UPS carrier packagings: 'Service UPS 03 has no linked packages yet.' Only THB-PACKAGE + Custom pass.</t>
  </si>
  <si>
    <t xml:space="preserve">No packagings are linked to UPS Ground in Settings → Shipping Catalog (a data/config gap, not code).</t>
  </si>
  <si>
    <t xml:space="preserve">UPS Ground with any carrier packaging (Letter, Express Pak, Tube, Small/Medium/Large Express Box). 6/26 runs failed.</t>
  </si>
  <si>
    <t xml:space="preserve">OPEN (config)</t>
  </si>
  <si>
    <t xml:space="preserve">Link the intended packaging presets to UPS Ground in the Shipping Catalog.</t>
  </si>
  <si>
    <t xml:space="preserve">F3</t>
  </si>
  <si>
    <t xml:space="preserve">FedEx International</t>
  </si>
  <si>
    <t xml:space="preserve">Export compliance</t>
  </si>
  <si>
    <t xml:space="preserve">US→China fails on BOTH services: 'The FTR Exemption or AES Citation you provided is not valid for EEI.'</t>
  </si>
  <si>
    <t xml:space="preserve">China requires an AES/EEI export filing (ITN); the default FTR exemption '-- None (using AES) --' with no ITN does not satisfy it.</t>
  </si>
  <si>
    <t xml:space="preserve">FedEx international to China (both Economy &amp; Priority). Not seen on CA/GB/AU/BR/IN at the same USD 100 value → destination-specific.</t>
  </si>
  <si>
    <t xml:space="preserve">Capture an AES ITN, or set the correct FTR exemption, for export-controlled destinations before validating.</t>
  </si>
  <si>
    <t xml:space="preserve">F4</t>
  </si>
  <si>
    <t xml:space="preserve">P3 Medium</t>
  </si>
  <si>
    <t xml:space="preserve">Validation / UX</t>
  </si>
  <si>
    <t xml:space="preserve">FedEx 10kg &amp; 25kg Boxes are REJECTED for International Economy ('Packaging type is not allowed'); allowed for Priority.</t>
  </si>
  <si>
    <t xml:space="preserve">Those boxes are Priority-only FedEx packaging, but the Economy packaging dropdown still offers them, so they fail at the carrier.</t>
  </si>
  <si>
    <t xml:space="preserve">FedEx International Economy + 10kg/25kg Box. Lane-independent (same on Canada &amp; UK). 4 of the 6 FedEx-intl failures.</t>
  </si>
  <si>
    <t xml:space="preserve">OPEN (UX)</t>
  </si>
  <si>
    <t xml:space="preserve">Hide the intl boxes from the Economy dropdown (as the form already filters packagings elsewhere).</t>
  </si>
  <si>
    <t xml:space="preserve">F5</t>
  </si>
  <si>
    <t xml:space="preserve">Backend (RESOLVED)</t>
  </si>
  <si>
    <t xml:space="preserve">Any package preset returned HTTP 500 — NoClassDefFoundError: com/multiship/backend/util/PackagingValidator$Severity — blocking all preset validation.</t>
  </si>
  <si>
    <t xml:space="preserve">Stale backend build missing the PackagingValidator$Severity inner enum; the packaging-compatibility check crashed.</t>
  </si>
  <si>
    <t xml:space="preserve">All preset validations (custom packages unaffected) until ~12:10 PM IST, 26 Sep.</t>
  </si>
  <si>
    <t xml:space="preserve">RESOLVED</t>
  </si>
  <si>
    <t xml:space="preserve">Fixed in-session by a full rebuild + restart. Add a regression test that validates a shipment with a package preset.</t>
  </si>
  <si>
    <t xml:space="preserve">F6</t>
  </si>
  <si>
    <t xml:space="preserve">UI consistency</t>
  </si>
  <si>
    <t xml:space="preserve">UPS Ground's dropdown still offers the 6 unlinked carrier packagings (which then fail), while 3 Day Select hides its unlinked presets.</t>
  </si>
  <si>
    <t xml:space="preserve">Inconsistent per-service packaging filtering; FedEx filters correctly, UPS Ground does not.</t>
  </si>
  <si>
    <t xml:space="preserve">UPS Ground packaging dropdown only (cosmetic + leads to avoidable failures).</t>
  </si>
  <si>
    <t xml:space="preserve">Hide unlinked/unsupported packagings for UPS Ground, matching 3 Day Select and the FedEx behaviour.</t>
  </si>
  <si>
    <t xml:space="preserve">F7</t>
  </si>
  <si>
    <t xml:space="preserve">P4 Low</t>
  </si>
  <si>
    <t xml:space="preserve">FedEx Domestic</t>
  </si>
  <si>
    <t xml:space="preserve">Backend (transient)</t>
  </si>
  <si>
    <t xml:space="preserve">Two brief backend outages returned HTTP 502 on the validate call (~12:29 PM and ~12:59–1:01 PM); both cleared on retry.</t>
  </si>
  <si>
    <t xml:space="preserve">Transient backend unavailability during testing; the toast shows the raw 'HTTP error! status: 502'.</t>
  </si>
  <si>
    <t xml:space="preserve">Momentary — affected runs succeeded on retry; no lasting impact.</t>
  </si>
  <si>
    <t xml:space="preserve">RESOLVED (transient)</t>
  </si>
  <si>
    <t xml:space="preserve">Show a friendlier 'backend unavailable, retrying' message instead of the raw HTTP status.</t>
  </si>
  <si>
    <t xml:space="preserve">Severity: P1 Critical = blocks a whole shipping path · P2 High = blocks specific services/lanes · P3 Medium = avoidable failures / UX · P4 Low = transient. 5 of 7 are open; 2 are resolved (both backend).</t>
  </si>
  <si>
    <t xml:space="preserve">Per-test deep dive</t>
  </si>
  <si>
    <t xml:space="preserve">1 · UPS Domestic — 26 runs · 20 pass / 6 fail · 26 Sep 2026</t>
  </si>
  <si>
    <t xml:space="preserve">US→US, 4 services (Ground 03, 3 Day Select 12, 2nd Day Air 02, Next Day Air 01) × every packaging the form offered. Route MI → Los Angeles CA.</t>
  </si>
  <si>
    <t xml:space="preserve">Result</t>
  </si>
  <si>
    <t xml:space="preserve">2nd Day Air &amp; Next Day Air: all 8 packagings PASS. 3 Day Select: only THB + Custom offered, both PASS. Ground: only THB + Custom PASS.</t>
  </si>
  <si>
    <t xml:space="preserve">Failures</t>
  </si>
  <si>
    <t xml:space="preserve">UPS Ground rejects all 6 UPS carrier packagings — 'Service UPS 03 has no linked packages yet' (config gap F2). 6/26 runs.</t>
  </si>
  <si>
    <t xml:space="preserve">Resolved defect</t>
  </si>
  <si>
    <t xml:space="preserve">PackagingValidator$Severity HTTP 500 crashed all preset validation until a rebuild+restart ~12:10 PM (F5).</t>
  </si>
  <si>
    <t xml:space="preserve">Notes</t>
  </si>
  <si>
    <t xml:space="preserve">UI: Ground offers unlinked packagings that then fail, unlike 3 Day Select which hides them (F6). Sandbox quotes were weight-only (no rate amount).</t>
  </si>
  <si>
    <t xml:space="preserve">2 · FedEx Domestic — 40 runs · 34 clean + 6 warn / 0 fail · 26 Sep 2026</t>
  </si>
  <si>
    <t xml:space="preserve">US→US, 6 services (Ground, Home Delivery, Express Saver, 2Day, Standard &amp; Priority Overnight) × every packaging offered per service.</t>
  </si>
  <si>
    <t xml:space="preserve">40/40 validated — no failures. Packaging correctly filtered per service (Ground &amp; Home Delivery are custom-only).</t>
  </si>
  <si>
    <t xml:space="preserve">Warnings (6)</t>
  </si>
  <si>
    <t xml:space="preserve">'Account, service &amp; price — 1 to review': FedEx sandbox didn't quote the exact service for the lane and listed alternatives with real USD rates. Still ships.</t>
  </si>
  <si>
    <t xml:space="preserve">Nice behaviours</t>
  </si>
  <si>
    <t xml:space="preserve">Home Delivery auto-ticks 'Residential'; dimensional weight applied (Tube billed 9.84 lb); FedEx sandbox returns real rate amounts.</t>
  </si>
  <si>
    <t xml:space="preserve">Transient</t>
  </si>
  <si>
    <t xml:space="preserve">Two HTTP 502 outages cleared on retry (F7); raw error toast could be friendlier.</t>
  </si>
  <si>
    <t xml:space="preserve">3 · UPS International — 21 runs · 0 pass / 21 FAIL · 27 Sep 2026  ← TOTAL BLOCKER</t>
  </si>
  <si>
    <t xml:space="preserve">US→intl, 3 UPS Worldwide services, 6 countries (AU, BR, CA, CN, FR, DE) + custom &amp; preset packaging. Sample commercial invoice USD 100.</t>
  </si>
  <si>
    <t xml:space="preserve">Every single run FAILS at the live UPS carrier (Time-in-Transit) check. No UPS international label can be produced.</t>
  </si>
  <si>
    <t xml:space="preserve">The defect (F1)</t>
  </si>
  <si>
    <t xml:space="preserve">'UPS Time-in-Transit rejected the request: invalid ShipmentContentsValue'. The 4 prior checks all pass; failure is identical on every country/service/package.</t>
  </si>
  <si>
    <t xml:space="preserve">What worked</t>
  </si>
  <si>
    <t xml:space="preserve">Intl mode (customs + commercial-invoice steps), incoterms, per-country postal validation, auto declared value, graceful error handling — everything up to the carrier call.</t>
  </si>
  <si>
    <t xml:space="preserve">4 · FedEx International — 31 runs · 13 clean + 12 warn / 6 fail · 27 Sep 2026</t>
  </si>
  <si>
    <t xml:space="preserve">US→intl, 2 services (Economy, Priority), 7 packagings. Canada fully swept; UK/AU/BR/CN/IN lane-tested. Sample commercial invoice USD 100.</t>
  </si>
  <si>
    <t xml:space="preserve">Works end-to-end on most lanes — validates and would print a label with the commercial invoice auto-included.</t>
  </si>
  <si>
    <t xml:space="preserve">Packaging rule (F4)</t>
  </si>
  <si>
    <t xml:space="preserve">Intl 10kg &amp; 25kg Boxes REJECTED for Economy ('Packaging type is not allowed'); allowed for Priority. Lane-independent.</t>
  </si>
  <si>
    <t xml:space="preserve">China fails (F3)</t>
  </si>
  <si>
    <t xml:space="preserve">US→CN fails both services on AES/EEI export filing. Other lanes pass at the same value → China-specific.</t>
  </si>
  <si>
    <t xml:space="preserve">Priority warnings</t>
  </si>
  <si>
    <t xml:space="preserve">Most lanes' Priority passes with the same sandbox 'did not quote this service' rate warning; carrier still confirms valid.</t>
  </si>
  <si>
    <t xml:space="preserve">Validation strength</t>
  </si>
  <si>
    <t xml:space="preserve">App enforces valid state/province codes, per-country phone-digit counts (China 11 digits) and postal formats before validating.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</si>
</sst>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5"/>
      <color rgb="FF9C000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C7CE"/>
        <bgColor rgb="FFD9E2F3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D9E2F3"/>
      </patternFill>
    </fill>
    <fill>
      <patternFill patternType="solid">
        <fgColor rgb="FFC00000"/>
        <bgColor rgb="FF9C0006"/>
      </patternFill>
    </fill>
    <fill>
      <patternFill patternType="solid">
        <fgColor rgb="FFFFEB9C"/>
        <bgColor rgb="FFFFF2CC"/>
      </patternFill>
    </fill>
    <fill>
      <patternFill patternType="solid">
        <fgColor rgb="FFD9E2F3"/>
        <bgColor rgb="FFC6EFCE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3"/>
    <col collapsed="false" customWidth="true" hidden="false" outlineLevel="0" max="7" min="7" style="0" width="20"/>
    <col collapsed="false" customWidth="true" hidden="false" outlineLevel="0" max="8" min="8" style="0" width="8"/>
  </cols>
  <sheetData>
    <row r="1" customFormat="false" ht="20.9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6" customFormat="false" ht="15" hidden="false" customHeight="false" outlineLevel="0" collapsed="false">
      <c r="A6" s="4" t="s">
        <v>3</v>
      </c>
    </row>
    <row r="7" customFormat="false" ht="23.85" hidden="false" customHeight="false" outlineLevel="0" collapsed="false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</row>
    <row r="8" customFormat="false" ht="15" hidden="false" customHeight="false" outlineLevel="0" collapsed="false">
      <c r="A8" s="6" t="s">
        <v>11</v>
      </c>
      <c r="B8" s="7" t="s">
        <v>12</v>
      </c>
      <c r="C8" s="7" t="n">
        <v>26</v>
      </c>
      <c r="D8" s="7" t="n">
        <v>20</v>
      </c>
      <c r="E8" s="7" t="n">
        <v>0</v>
      </c>
      <c r="F8" s="8" t="n">
        <v>6</v>
      </c>
      <c r="G8" s="9" t="s">
        <v>13</v>
      </c>
    </row>
    <row r="9" customFormat="false" ht="15" hidden="false" customHeight="false" outlineLevel="0" collapsed="false">
      <c r="A9" s="6" t="s">
        <v>14</v>
      </c>
      <c r="B9" s="7" t="s">
        <v>12</v>
      </c>
      <c r="C9" s="7" t="n">
        <v>40</v>
      </c>
      <c r="D9" s="7" t="n">
        <v>34</v>
      </c>
      <c r="E9" s="7" t="n">
        <v>6</v>
      </c>
      <c r="F9" s="10" t="n">
        <v>0</v>
      </c>
      <c r="G9" s="9" t="s">
        <v>15</v>
      </c>
    </row>
    <row r="10" customFormat="false" ht="15" hidden="false" customHeight="false" outlineLevel="0" collapsed="false">
      <c r="A10" s="6" t="s">
        <v>16</v>
      </c>
      <c r="B10" s="7" t="s">
        <v>17</v>
      </c>
      <c r="C10" s="7" t="n">
        <v>21</v>
      </c>
      <c r="D10" s="7" t="n">
        <v>0</v>
      </c>
      <c r="E10" s="7" t="n">
        <v>0</v>
      </c>
      <c r="F10" s="8" t="n">
        <v>21</v>
      </c>
      <c r="G10" s="11" t="s">
        <v>18</v>
      </c>
    </row>
    <row r="11" customFormat="false" ht="15" hidden="false" customHeight="false" outlineLevel="0" collapsed="false">
      <c r="A11" s="6" t="s">
        <v>19</v>
      </c>
      <c r="B11" s="7" t="s">
        <v>17</v>
      </c>
      <c r="C11" s="7" t="n">
        <v>31</v>
      </c>
      <c r="D11" s="7" t="n">
        <v>13</v>
      </c>
      <c r="E11" s="7" t="n">
        <v>12</v>
      </c>
      <c r="F11" s="8" t="n">
        <v>6</v>
      </c>
      <c r="G11" s="12" t="s">
        <v>20</v>
      </c>
    </row>
    <row r="12" customFormat="false" ht="15" hidden="false" customHeight="false" outlineLevel="0" collapsed="false">
      <c r="A12" s="13" t="s">
        <v>21</v>
      </c>
      <c r="B12" s="14"/>
      <c r="C12" s="15" t="n">
        <f aca="false">SUM(C8:C11)</f>
        <v>118</v>
      </c>
      <c r="D12" s="15" t="n">
        <f aca="false">SUM(D8:D11)</f>
        <v>67</v>
      </c>
      <c r="E12" s="15" t="n">
        <f aca="false">SUM(E8:E11)</f>
        <v>18</v>
      </c>
      <c r="F12" s="15" t="n">
        <f aca="false">SUM(F8:F11)</f>
        <v>33</v>
      </c>
      <c r="G12" s="16" t="s">
        <v>22</v>
      </c>
    </row>
    <row r="14" customFormat="false" ht="15" hidden="false" customHeight="false" outlineLevel="0" collapsed="false">
      <c r="A14" s="4" t="s">
        <v>23</v>
      </c>
    </row>
    <row r="15" customFormat="false" ht="15" hidden="false" customHeight="true" outlineLevel="0" collapsed="false">
      <c r="A15" s="17" t="s">
        <v>24</v>
      </c>
      <c r="B15" s="17"/>
      <c r="C15" s="17"/>
      <c r="D15" s="17"/>
      <c r="E15" s="17"/>
      <c r="F15" s="17"/>
      <c r="G15" s="17"/>
      <c r="H15" s="17"/>
    </row>
    <row r="16" customFormat="false" ht="43.5" hidden="false" customHeight="true" outlineLevel="0" collapsed="false">
      <c r="A16" s="18" t="s">
        <v>25</v>
      </c>
      <c r="B16" s="18"/>
      <c r="C16" s="18"/>
      <c r="D16" s="18"/>
      <c r="E16" s="18"/>
      <c r="F16" s="18"/>
      <c r="G16" s="18"/>
      <c r="H16" s="18"/>
    </row>
    <row r="17" customFormat="false" ht="15" hidden="false" customHeight="true" outlineLevel="0" collapsed="false">
      <c r="A17" s="19" t="s">
        <v>26</v>
      </c>
      <c r="B17" s="19"/>
      <c r="C17" s="19"/>
      <c r="D17" s="19"/>
      <c r="E17" s="19"/>
      <c r="F17" s="19"/>
      <c r="G17" s="19"/>
      <c r="H17" s="19"/>
    </row>
    <row r="18" customFormat="false" ht="43.5" hidden="false" customHeight="true" outlineLevel="0" collapsed="false">
      <c r="A18" s="18" t="s">
        <v>27</v>
      </c>
      <c r="B18" s="18"/>
      <c r="C18" s="18"/>
      <c r="D18" s="18"/>
      <c r="E18" s="18"/>
      <c r="F18" s="18"/>
      <c r="G18" s="18"/>
      <c r="H18" s="18"/>
    </row>
    <row r="20" customFormat="false" ht="39.75" hidden="false" customHeight="true" outlineLevel="0" collapsed="false">
      <c r="A20" s="20" t="s">
        <v>28</v>
      </c>
      <c r="B20" s="20"/>
      <c r="C20" s="20"/>
      <c r="D20" s="20"/>
      <c r="E20" s="20"/>
      <c r="F20" s="20"/>
      <c r="G20" s="20"/>
      <c r="H20" s="20"/>
    </row>
  </sheetData>
  <mergeCells count="6">
    <mergeCell ref="A4:H4"/>
    <mergeCell ref="A15:H15"/>
    <mergeCell ref="A16:H16"/>
    <mergeCell ref="A17:H17"/>
    <mergeCell ref="A18:H18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34"/>
  </cols>
  <sheetData>
    <row r="1" customFormat="false" ht="18.55" hidden="false" customHeight="false" outlineLevel="0" collapsed="false">
      <c r="A1" s="21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</row>
    <row r="5" customFormat="false" ht="63.75" hidden="false" customHeight="true" outlineLevel="0" collapsed="false">
      <c r="A5" s="22" t="s">
        <v>40</v>
      </c>
      <c r="B5" s="23" t="s">
        <v>41</v>
      </c>
      <c r="C5" s="24" t="s">
        <v>42</v>
      </c>
      <c r="D5" s="24" t="s">
        <v>43</v>
      </c>
      <c r="E5" s="24" t="s">
        <v>44</v>
      </c>
      <c r="F5" s="24" t="s">
        <v>45</v>
      </c>
      <c r="G5" s="24" t="s">
        <v>46</v>
      </c>
      <c r="H5" s="25" t="s">
        <v>47</v>
      </c>
      <c r="I5" s="24" t="s">
        <v>48</v>
      </c>
    </row>
    <row r="6" customFormat="false" ht="63.75" hidden="false" customHeight="true" outlineLevel="0" collapsed="false">
      <c r="A6" s="22" t="s">
        <v>49</v>
      </c>
      <c r="B6" s="26" t="s">
        <v>50</v>
      </c>
      <c r="C6" s="24" t="s">
        <v>51</v>
      </c>
      <c r="D6" s="24" t="s">
        <v>52</v>
      </c>
      <c r="E6" s="24" t="s">
        <v>53</v>
      </c>
      <c r="F6" s="24" t="s">
        <v>54</v>
      </c>
      <c r="G6" s="24" t="s">
        <v>55</v>
      </c>
      <c r="H6" s="25" t="s">
        <v>56</v>
      </c>
      <c r="I6" s="24" t="s">
        <v>57</v>
      </c>
    </row>
    <row r="7" customFormat="false" ht="63.75" hidden="false" customHeight="true" outlineLevel="0" collapsed="false">
      <c r="A7" s="22" t="s">
        <v>58</v>
      </c>
      <c r="B7" s="26" t="s">
        <v>50</v>
      </c>
      <c r="C7" s="24" t="s">
        <v>59</v>
      </c>
      <c r="D7" s="24" t="s">
        <v>60</v>
      </c>
      <c r="E7" s="24" t="s">
        <v>61</v>
      </c>
      <c r="F7" s="24" t="s">
        <v>62</v>
      </c>
      <c r="G7" s="24" t="s">
        <v>63</v>
      </c>
      <c r="H7" s="25" t="s">
        <v>47</v>
      </c>
      <c r="I7" s="24" t="s">
        <v>64</v>
      </c>
    </row>
    <row r="8" customFormat="false" ht="63.75" hidden="false" customHeight="true" outlineLevel="0" collapsed="false">
      <c r="A8" s="22" t="s">
        <v>65</v>
      </c>
      <c r="B8" s="27" t="s">
        <v>66</v>
      </c>
      <c r="C8" s="24" t="s">
        <v>59</v>
      </c>
      <c r="D8" s="24" t="s">
        <v>67</v>
      </c>
      <c r="E8" s="24" t="s">
        <v>68</v>
      </c>
      <c r="F8" s="24" t="s">
        <v>69</v>
      </c>
      <c r="G8" s="24" t="s">
        <v>70</v>
      </c>
      <c r="H8" s="25" t="s">
        <v>71</v>
      </c>
      <c r="I8" s="24" t="s">
        <v>72</v>
      </c>
    </row>
    <row r="9" customFormat="false" ht="63.75" hidden="false" customHeight="true" outlineLevel="0" collapsed="false">
      <c r="A9" s="22" t="s">
        <v>73</v>
      </c>
      <c r="B9" s="26" t="s">
        <v>50</v>
      </c>
      <c r="C9" s="24" t="s">
        <v>51</v>
      </c>
      <c r="D9" s="24" t="s">
        <v>74</v>
      </c>
      <c r="E9" s="24" t="s">
        <v>75</v>
      </c>
      <c r="F9" s="24" t="s">
        <v>76</v>
      </c>
      <c r="G9" s="24" t="s">
        <v>77</v>
      </c>
      <c r="H9" s="28" t="s">
        <v>78</v>
      </c>
      <c r="I9" s="24" t="s">
        <v>79</v>
      </c>
    </row>
    <row r="10" customFormat="false" ht="63.75" hidden="false" customHeight="true" outlineLevel="0" collapsed="false">
      <c r="A10" s="22" t="s">
        <v>80</v>
      </c>
      <c r="B10" s="27" t="s">
        <v>66</v>
      </c>
      <c r="C10" s="24" t="s">
        <v>51</v>
      </c>
      <c r="D10" s="24" t="s">
        <v>81</v>
      </c>
      <c r="E10" s="24" t="s">
        <v>82</v>
      </c>
      <c r="F10" s="24" t="s">
        <v>83</v>
      </c>
      <c r="G10" s="24" t="s">
        <v>84</v>
      </c>
      <c r="H10" s="25" t="s">
        <v>71</v>
      </c>
      <c r="I10" s="24" t="s">
        <v>85</v>
      </c>
    </row>
    <row r="11" customFormat="false" ht="63.75" hidden="false" customHeight="true" outlineLevel="0" collapsed="false">
      <c r="A11" s="22" t="s">
        <v>86</v>
      </c>
      <c r="B11" s="29" t="s">
        <v>87</v>
      </c>
      <c r="C11" s="24" t="s">
        <v>88</v>
      </c>
      <c r="D11" s="24" t="s">
        <v>89</v>
      </c>
      <c r="E11" s="24" t="s">
        <v>90</v>
      </c>
      <c r="F11" s="24" t="s">
        <v>91</v>
      </c>
      <c r="G11" s="24" t="s">
        <v>92</v>
      </c>
      <c r="H11" s="28" t="s">
        <v>93</v>
      </c>
      <c r="I11" s="24" t="s">
        <v>94</v>
      </c>
    </row>
    <row r="13" customFormat="false" ht="15" hidden="false" customHeight="false" outlineLevel="0" collapsed="false">
      <c r="A13" s="30" t="s">
        <v>95</v>
      </c>
      <c r="B13" s="30"/>
      <c r="C13" s="30"/>
      <c r="D13" s="30"/>
      <c r="E13" s="30"/>
      <c r="F13" s="30"/>
      <c r="G13" s="30"/>
      <c r="H13" s="30"/>
      <c r="I13" s="30"/>
    </row>
  </sheetData>
  <mergeCells count="1"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7"/>
  </cols>
  <sheetData>
    <row r="1" customFormat="false" ht="18.55" hidden="false" customHeight="false" outlineLevel="0" collapsed="false">
      <c r="A1" s="31" t="s">
        <v>96</v>
      </c>
    </row>
    <row r="3" customFormat="false" ht="16.15" hidden="false" customHeight="false" outlineLevel="0" collapsed="false">
      <c r="A3" s="32" t="s">
        <v>97</v>
      </c>
      <c r="B3" s="32"/>
      <c r="C3" s="32"/>
      <c r="D3" s="32"/>
      <c r="E3" s="32"/>
      <c r="F3" s="32"/>
      <c r="G3" s="32"/>
    </row>
    <row r="4" customFormat="false" ht="15" hidden="false" customHeight="true" outlineLevel="0" collapsed="false">
      <c r="A4" s="20" t="s">
        <v>98</v>
      </c>
      <c r="B4" s="20"/>
      <c r="C4" s="20"/>
      <c r="D4" s="20"/>
      <c r="E4" s="20"/>
      <c r="F4" s="20"/>
      <c r="G4" s="20"/>
    </row>
    <row r="5" customFormat="false" ht="23.85" hidden="false" customHeight="true" outlineLevel="0" collapsed="false">
      <c r="A5" s="33" t="s">
        <v>99</v>
      </c>
      <c r="B5" s="34" t="s">
        <v>100</v>
      </c>
      <c r="C5" s="34"/>
      <c r="D5" s="34"/>
      <c r="E5" s="34"/>
      <c r="F5" s="34"/>
      <c r="G5" s="34"/>
    </row>
    <row r="6" customFormat="false" ht="42" hidden="false" customHeight="true" outlineLevel="0" collapsed="false">
      <c r="A6" s="33" t="s">
        <v>101</v>
      </c>
      <c r="B6" s="35" t="s">
        <v>102</v>
      </c>
      <c r="C6" s="35"/>
      <c r="D6" s="35"/>
      <c r="E6" s="35"/>
      <c r="F6" s="35"/>
      <c r="G6" s="35"/>
    </row>
    <row r="7" customFormat="false" ht="30" hidden="false" customHeight="true" outlineLevel="0" collapsed="false">
      <c r="A7" s="33" t="s">
        <v>103</v>
      </c>
      <c r="B7" s="36" t="s">
        <v>104</v>
      </c>
      <c r="C7" s="36"/>
      <c r="D7" s="36"/>
      <c r="E7" s="36"/>
      <c r="F7" s="36"/>
      <c r="G7" s="36"/>
    </row>
    <row r="8" customFormat="false" ht="23.85" hidden="false" customHeight="true" outlineLevel="0" collapsed="false">
      <c r="A8" s="33" t="s">
        <v>105</v>
      </c>
      <c r="B8" s="34" t="s">
        <v>106</v>
      </c>
      <c r="C8" s="34"/>
      <c r="D8" s="34"/>
      <c r="E8" s="34"/>
      <c r="F8" s="34"/>
      <c r="G8" s="34"/>
    </row>
    <row r="10" customFormat="false" ht="16.15" hidden="false" customHeight="false" outlineLevel="0" collapsed="false">
      <c r="A10" s="32" t="s">
        <v>107</v>
      </c>
      <c r="B10" s="32"/>
      <c r="C10" s="32"/>
      <c r="D10" s="32"/>
      <c r="E10" s="32"/>
      <c r="F10" s="32"/>
      <c r="G10" s="32"/>
    </row>
    <row r="11" customFormat="false" ht="15" hidden="false" customHeight="true" outlineLevel="0" collapsed="false">
      <c r="A11" s="20" t="s">
        <v>108</v>
      </c>
      <c r="B11" s="20"/>
      <c r="C11" s="20"/>
      <c r="D11" s="20"/>
      <c r="E11" s="20"/>
      <c r="F11" s="20"/>
      <c r="G11" s="20"/>
    </row>
    <row r="12" customFormat="false" ht="27.75" hidden="false" customHeight="true" outlineLevel="0" collapsed="false">
      <c r="A12" s="33" t="s">
        <v>99</v>
      </c>
      <c r="B12" s="36" t="s">
        <v>109</v>
      </c>
      <c r="C12" s="36"/>
      <c r="D12" s="36"/>
      <c r="E12" s="36"/>
      <c r="F12" s="36"/>
      <c r="G12" s="36"/>
    </row>
    <row r="13" customFormat="false" ht="42" hidden="false" customHeight="true" outlineLevel="0" collapsed="false">
      <c r="A13" s="33" t="s">
        <v>110</v>
      </c>
      <c r="B13" s="37" t="s">
        <v>111</v>
      </c>
      <c r="C13" s="37"/>
      <c r="D13" s="37"/>
      <c r="E13" s="37"/>
      <c r="F13" s="37"/>
      <c r="G13" s="37"/>
    </row>
    <row r="14" customFormat="false" ht="23.85" hidden="false" customHeight="true" outlineLevel="0" collapsed="false">
      <c r="A14" s="33" t="s">
        <v>112</v>
      </c>
      <c r="B14" s="34" t="s">
        <v>113</v>
      </c>
      <c r="C14" s="34"/>
      <c r="D14" s="34"/>
      <c r="E14" s="34"/>
      <c r="F14" s="34"/>
      <c r="G14" s="34"/>
    </row>
    <row r="15" customFormat="false" ht="27.75" hidden="false" customHeight="true" outlineLevel="0" collapsed="false">
      <c r="A15" s="33" t="s">
        <v>114</v>
      </c>
      <c r="B15" s="38" t="s">
        <v>115</v>
      </c>
      <c r="C15" s="38"/>
      <c r="D15" s="38"/>
      <c r="E15" s="38"/>
      <c r="F15" s="38"/>
      <c r="G15" s="38"/>
    </row>
    <row r="17" customFormat="false" ht="16.15" hidden="false" customHeight="false" outlineLevel="0" collapsed="false">
      <c r="A17" s="32" t="s">
        <v>116</v>
      </c>
      <c r="B17" s="32"/>
      <c r="C17" s="32"/>
      <c r="D17" s="32"/>
      <c r="E17" s="32"/>
      <c r="F17" s="32"/>
      <c r="G17" s="32"/>
    </row>
    <row r="18" customFormat="false" ht="15" hidden="false" customHeight="true" outlineLevel="0" collapsed="false">
      <c r="A18" s="20" t="s">
        <v>117</v>
      </c>
      <c r="B18" s="20"/>
      <c r="C18" s="20"/>
      <c r="D18" s="20"/>
      <c r="E18" s="20"/>
      <c r="F18" s="20"/>
      <c r="G18" s="20"/>
    </row>
    <row r="19" customFormat="false" ht="27.75" hidden="false" customHeight="true" outlineLevel="0" collapsed="false">
      <c r="A19" s="33" t="s">
        <v>99</v>
      </c>
      <c r="B19" s="35" t="s">
        <v>118</v>
      </c>
      <c r="C19" s="35"/>
      <c r="D19" s="35"/>
      <c r="E19" s="35"/>
      <c r="F19" s="35"/>
      <c r="G19" s="35"/>
    </row>
    <row r="20" customFormat="false" ht="42" hidden="false" customHeight="true" outlineLevel="0" collapsed="false">
      <c r="A20" s="33" t="s">
        <v>119</v>
      </c>
      <c r="B20" s="39" t="s">
        <v>120</v>
      </c>
      <c r="C20" s="39"/>
      <c r="D20" s="39"/>
      <c r="E20" s="39"/>
      <c r="F20" s="39"/>
      <c r="G20" s="39"/>
    </row>
    <row r="21" customFormat="false" ht="23.85" hidden="false" customHeight="true" outlineLevel="0" collapsed="false">
      <c r="A21" s="33" t="s">
        <v>121</v>
      </c>
      <c r="B21" s="34" t="s">
        <v>122</v>
      </c>
      <c r="C21" s="34"/>
      <c r="D21" s="34"/>
      <c r="E21" s="34"/>
      <c r="F21" s="34"/>
      <c r="G21" s="34"/>
    </row>
    <row r="23" customFormat="false" ht="16.15" hidden="false" customHeight="false" outlineLevel="0" collapsed="false">
      <c r="A23" s="32" t="s">
        <v>123</v>
      </c>
      <c r="B23" s="32"/>
      <c r="C23" s="32"/>
      <c r="D23" s="32"/>
      <c r="E23" s="32"/>
      <c r="F23" s="32"/>
      <c r="G23" s="32"/>
    </row>
    <row r="24" customFormat="false" ht="15" hidden="false" customHeight="true" outlineLevel="0" collapsed="false">
      <c r="A24" s="20" t="s">
        <v>124</v>
      </c>
      <c r="B24" s="20"/>
      <c r="C24" s="20"/>
      <c r="D24" s="20"/>
      <c r="E24" s="20"/>
      <c r="F24" s="20"/>
      <c r="G24" s="20"/>
    </row>
    <row r="25" customFormat="false" ht="25.5" hidden="false" customHeight="true" outlineLevel="0" collapsed="false">
      <c r="A25" s="33" t="s">
        <v>99</v>
      </c>
      <c r="B25" s="36" t="s">
        <v>125</v>
      </c>
      <c r="C25" s="36"/>
      <c r="D25" s="36"/>
      <c r="E25" s="36"/>
      <c r="F25" s="36"/>
      <c r="G25" s="36"/>
    </row>
    <row r="26" customFormat="false" ht="30" hidden="false" customHeight="true" outlineLevel="0" collapsed="false">
      <c r="A26" s="33" t="s">
        <v>126</v>
      </c>
      <c r="B26" s="37" t="s">
        <v>127</v>
      </c>
      <c r="C26" s="37"/>
      <c r="D26" s="37"/>
      <c r="E26" s="37"/>
      <c r="F26" s="37"/>
      <c r="G26" s="37"/>
    </row>
    <row r="27" customFormat="false" ht="27.75" hidden="false" customHeight="true" outlineLevel="0" collapsed="false">
      <c r="A27" s="33" t="s">
        <v>128</v>
      </c>
      <c r="B27" s="35" t="s">
        <v>129</v>
      </c>
      <c r="C27" s="35"/>
      <c r="D27" s="35"/>
      <c r="E27" s="35"/>
      <c r="F27" s="35"/>
      <c r="G27" s="35"/>
    </row>
    <row r="28" customFormat="false" ht="15" hidden="false" customHeight="true" outlineLevel="0" collapsed="false">
      <c r="A28" s="33" t="s">
        <v>130</v>
      </c>
      <c r="B28" s="34" t="s">
        <v>131</v>
      </c>
      <c r="C28" s="34"/>
      <c r="D28" s="34"/>
      <c r="E28" s="34"/>
      <c r="F28" s="34"/>
      <c r="G28" s="34"/>
    </row>
    <row r="29" customFormat="false" ht="15" hidden="false" customHeight="true" outlineLevel="0" collapsed="false">
      <c r="A29" s="33" t="s">
        <v>132</v>
      </c>
      <c r="B29" s="34" t="s">
        <v>133</v>
      </c>
      <c r="C29" s="34"/>
      <c r="D29" s="34"/>
      <c r="E29" s="34"/>
      <c r="F29" s="34"/>
      <c r="G29" s="34"/>
    </row>
  </sheetData>
  <mergeCells count="24">
    <mergeCell ref="A3:G3"/>
    <mergeCell ref="A4:G4"/>
    <mergeCell ref="B5:G5"/>
    <mergeCell ref="B6:G6"/>
    <mergeCell ref="B7:G7"/>
    <mergeCell ref="B8:G8"/>
    <mergeCell ref="A10:G10"/>
    <mergeCell ref="A11:G11"/>
    <mergeCell ref="B12:G12"/>
    <mergeCell ref="B13:G13"/>
    <mergeCell ref="B14:G14"/>
    <mergeCell ref="B15:G15"/>
    <mergeCell ref="A17:G17"/>
    <mergeCell ref="A18:G18"/>
    <mergeCell ref="B19:G19"/>
    <mergeCell ref="B20:G20"/>
    <mergeCell ref="B21:G21"/>
    <mergeCell ref="A23:G23"/>
    <mergeCell ref="A24:G24"/>
    <mergeCell ref="B25:G25"/>
    <mergeCell ref="B26:G26"/>
    <mergeCell ref="B27:G27"/>
    <mergeCell ref="B28:G28"/>
    <mergeCell ref="B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2026-09-27T03:19:36Z</dcterms:created>
  <dc:creator>openpyxl</dc:creator>
  <dc:description/>
  <dc:language>en-US</dc:language>
  <cp:lastModifiedBy/>
  <dcterms:modified xsi:type="dcterms:W3CDTF">2026-09-27T03:19:36Z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