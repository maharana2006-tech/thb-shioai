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ummary" sheetId="1" state="visible" r:id="rId1"/>
    <sheet name="Bugs" sheetId="2" state="visible" r:id="rId2"/>
    <sheet name="Coverage" sheetId="3" state="visible" r:id="rId3"/>
    <sheet name="Screens" sheetId="4" state="visible" r:id="rId4"/>
    <sheet name="Flows" sheetId="5" state="visible" r:id="rId5"/>
    <sheet name="Test data" sheetId="6" state="visible" r:id="rId6"/>
    <sheet name="_ledger" sheetId="7" state="hidden" r:id="rId7"/>
  </sheets>
  <definedNames>
    <definedName name="_xlnm._FilterDatabase" localSheetId="1" hidden="1">'Bugs'!$A$1:$AC$53</definedName>
    <definedName name="_xlnm.Print_Titles" localSheetId="1">'Bugs'!$1:$1</definedName>
    <definedName name="_xlnm._FilterDatabase" localSheetId="2" hidden="1">'Coverage'!$A$1:$N$183</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5">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C7CE"/>
        <bgColor indexed="64"/>
      </patternFill>
    </fill>
    <fill>
      <patternFill patternType="solid">
        <fgColor rgb="FFFFF2CC"/>
        <bgColor indexed="64"/>
      </patternFill>
    </fill>
    <fill>
      <patternFill patternType="solid">
        <fgColor rgb="FFFCE4D6"/>
        <bgColor indexed="64"/>
      </patternFill>
    </fill>
    <fill>
      <patternFill patternType="solid">
        <fgColor rgb="FFEDEDED"/>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7" fillId="14"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 /></Relationships>
</file>

<file path=xl/worksheets/sheet1.xml><?xml version="1.0" encoding="utf-8"?>
<worksheet xmlns="http://schemas.openxmlformats.org/spreadsheetml/2006/main">
  <sheetPr>
    <outlinePr summaryBelow="1" summaryRight="1"/>
    <pageSetUpPr fitToPage="1"/>
  </sheetPr>
  <dimension ref="A1:G78"/>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2026-10-12. Counts on this sheet are formulas over the Bugs, Coverage and Screens sheets.</t>
        </is>
      </c>
    </row>
    <row r="4">
      <c r="A4" s="3" t="inlineStr">
        <is>
          <t>Test details</t>
        </is>
      </c>
    </row>
    <row r="5">
      <c r="A5" s="4" t="inlineStr">
        <is>
          <t>Application</t>
        </is>
      </c>
      <c r="B5" s="5" t="inlineStr">
        <is>
          <t>Multiship</t>
        </is>
      </c>
      <c r="C5" s="21" t="n"/>
      <c r="D5" s="21" t="n"/>
      <c r="E5" s="21" t="n"/>
      <c r="F5" s="21" t="n"/>
      <c r="G5" s="22" t="n"/>
    </row>
    <row r="6">
      <c r="A6" s="4" t="inlineStr">
        <is>
          <t>URL</t>
        </is>
      </c>
      <c r="B6" s="5" t="inlineStr">
        <is>
          <t>http://localhost:5173</t>
        </is>
      </c>
      <c r="C6" s="21" t="n"/>
      <c r="D6" s="21" t="n"/>
      <c r="E6" s="21" t="n"/>
      <c r="F6" s="21" t="n"/>
      <c r="G6" s="22" t="n"/>
    </row>
    <row r="7">
      <c r="A7" s="4" t="inlineStr">
        <is>
          <t>Environment</t>
        </is>
      </c>
      <c r="B7" s="5" t="inlineStr">
        <is>
          <t>Local dev (React/Vite UI, /api/v1 proxied to the Java backend); every carrier account in SANDBOX mode</t>
        </is>
      </c>
      <c r="C7" s="21" t="n"/>
      <c r="D7" s="21" t="n"/>
      <c r="E7" s="21" t="n"/>
      <c r="F7" s="21" t="n"/>
      <c r="G7" s="22" t="n"/>
    </row>
    <row r="8">
      <c r="A8" s="4" t="inlineStr">
        <is>
          <t>Build(s) tested</t>
        </is>
      </c>
      <c r="B8" s="5" t="inlineStr">
        <is>
          <t>not recorded</t>
        </is>
      </c>
      <c r="C8" s="21" t="n"/>
      <c r="D8" s="21" t="n"/>
      <c r="E8" s="21" t="n"/>
      <c r="F8" s="21" t="n"/>
      <c r="G8" s="22" t="n"/>
    </row>
    <row r="9">
      <c r="A9" s="4" t="inlineStr">
        <is>
          <t>Tested as (role)</t>
        </is>
      </c>
      <c r="B9" s="5" t="inlineStr">
        <is>
          <t>admin (ADMIN)</t>
        </is>
      </c>
      <c r="C9" s="21" t="n"/>
      <c r="D9" s="21" t="n"/>
      <c r="E9" s="21" t="n"/>
      <c r="F9" s="21" t="n"/>
      <c r="G9" s="22" t="n"/>
    </row>
    <row r="10">
      <c r="A10" s="4" t="inlineStr">
        <is>
          <t>Tested on</t>
        </is>
      </c>
      <c r="B10" s="5" t="inlineStr">
        <is>
          <t>2026-10-11 to 2026-10-12</t>
        </is>
      </c>
      <c r="C10" s="21" t="n"/>
      <c r="D10" s="21" t="n"/>
      <c r="E10" s="21" t="n"/>
      <c r="F10" s="21" t="n"/>
      <c r="G10" s="22" t="n"/>
    </row>
    <row r="11">
      <c r="A11" s="4" t="inlineStr">
        <is>
          <t>Reference documents</t>
        </is>
      </c>
      <c r="B11" s="5" t="inlineStr">
        <is>
          <t>No SRS/FRD supplied. Expected behaviour taken from carrier API responses, the app's own messages and labels, and consistency between lanes and carriers</t>
        </is>
      </c>
      <c r="C11" s="21" t="n"/>
      <c r="D11" s="21" t="n"/>
      <c r="E11" s="21" t="n"/>
      <c r="F11" s="21" t="n"/>
      <c r="G11" s="22"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1" t="n"/>
      <c r="D12" s="21" t="n"/>
      <c r="E12" s="21" t="n"/>
      <c r="F12" s="21" t="n"/>
      <c r="G12" s="22" t="n"/>
    </row>
    <row r="13">
      <c r="A13" s="4" t="inlineStr">
        <is>
          <t>Run R2</t>
        </is>
      </c>
      <c r="B13" s="5" t="inlineStr">
        <is>
          <t>2026-10-12 - Settings &gt; Organization (Clients, Warehouses, Address book, Users, Roles): every element of each list, add/edit form and detail view; rest of Settings mapped at menu level</t>
        </is>
      </c>
      <c r="C13" s="21" t="n"/>
      <c r="D13" s="21" t="n"/>
      <c r="E13" s="21" t="n"/>
      <c r="F13" s="21" t="n"/>
      <c r="G13" s="22" t="n"/>
    </row>
    <row r="15">
      <c r="A15" s="3" t="inlineStr">
        <is>
          <t>Coverage</t>
        </is>
      </c>
    </row>
    <row r="16">
      <c r="A16" s="4" t="inlineStr">
        <is>
          <t>Screens mapped</t>
        </is>
      </c>
      <c r="B16" s="6">
        <f>COUNTA(Screens!$A:$A)-1</f>
        <v/>
      </c>
    </row>
    <row r="17">
      <c r="A17" s="4" t="inlineStr">
        <is>
          <t xml:space="preserve">   Screens: done</t>
        </is>
      </c>
      <c r="B17" s="6">
        <f>COUNTIF(Screens!$F:$F,"Done")</f>
        <v/>
      </c>
    </row>
    <row r="18">
      <c r="A18" s="4" t="inlineStr">
        <is>
          <t xml:space="preserve">   Screens: partial</t>
        </is>
      </c>
      <c r="B18" s="6">
        <f>COUNTIF(Screens!$F:$F,"Partial")</f>
        <v/>
      </c>
    </row>
    <row r="19">
      <c r="A19" s="4" t="inlineStr">
        <is>
          <t xml:space="preserve">   Screens: in progress</t>
        </is>
      </c>
      <c r="B19" s="6">
        <f>COUNTIF(Screens!$F:$F,"In progress")</f>
        <v/>
      </c>
    </row>
    <row r="20">
      <c r="A20" s="4" t="inlineStr">
        <is>
          <t xml:space="preserve">   Screens: blocked</t>
        </is>
      </c>
      <c r="B20" s="6">
        <f>COUNTIF(Screens!$F:$F,"Blocked")</f>
        <v/>
      </c>
    </row>
    <row r="21">
      <c r="A21" s="4" t="inlineStr">
        <is>
          <t xml:space="preserve">   Screens: not started</t>
        </is>
      </c>
      <c r="B21" s="6">
        <f>COUNTIF(Screens!$F:$F,"Not started")</f>
        <v/>
      </c>
    </row>
    <row r="22">
      <c r="A22" s="4" t="inlineStr">
        <is>
          <t>Elements listed</t>
        </is>
      </c>
      <c r="B22" s="6">
        <f>COUNTA(Coverage!$E:$E)-1</f>
        <v/>
      </c>
    </row>
    <row r="23">
      <c r="A23" s="4" t="inlineStr">
        <is>
          <t xml:space="preserve">   Elements: pass</t>
        </is>
      </c>
      <c r="B23" s="6">
        <f>COUNTIF(Coverage!$J:$J,"Pass")</f>
        <v/>
      </c>
    </row>
    <row r="24">
      <c r="A24" s="4" t="inlineStr">
        <is>
          <t xml:space="preserve">   Elements: fail</t>
        </is>
      </c>
      <c r="B24" s="6">
        <f>COUNTIF(Coverage!$J:$J,"Fail")</f>
        <v/>
      </c>
    </row>
    <row r="25">
      <c r="A25" s="4" t="inlineStr">
        <is>
          <t xml:space="preserve">   Elements: blocked</t>
        </is>
      </c>
      <c r="B25" s="6">
        <f>COUNTIF(Coverage!$J:$J,"Blocked")</f>
        <v/>
      </c>
    </row>
    <row r="26">
      <c r="A26" s="4" t="inlineStr">
        <is>
          <t xml:space="preserve">   Elements: n/a</t>
        </is>
      </c>
      <c r="B26" s="6">
        <f>COUNTIF(Coverage!$J:$J,"N/A")</f>
        <v/>
      </c>
    </row>
    <row r="27">
      <c r="A27" s="4" t="inlineStr">
        <is>
          <t xml:space="preserve">   Elements: not tested</t>
        </is>
      </c>
      <c r="B27" s="6">
        <f>COUNTIF(Coverage!$J:$J,"Not tested")</f>
        <v/>
      </c>
    </row>
    <row r="28">
      <c r="A28" s="4" t="inlineStr">
        <is>
          <t>Exercised (of testable elements)</t>
        </is>
      </c>
      <c r="B28" s="23">
        <f>IF(($B$22-$B$26)=0,0,($B$23+$B$24)/($B$22-$B$26))</f>
        <v/>
      </c>
    </row>
    <row r="30">
      <c r="A30" s="3" t="inlineStr">
        <is>
          <t>Bugs found</t>
        </is>
      </c>
    </row>
    <row r="31">
      <c r="A31" s="8" t="inlineStr">
        <is>
          <t xml:space="preserve">   Critical</t>
        </is>
      </c>
      <c r="B31" s="6">
        <f>COUNTIFS(Bugs!$B:$B,"Critical",Bugs!$C:$C,"&lt;&gt;Query",Bugs!$C:$C,"&lt;&gt;Suggestion")</f>
        <v/>
      </c>
    </row>
    <row r="32">
      <c r="A32" s="9" t="inlineStr">
        <is>
          <t xml:space="preserve">   High</t>
        </is>
      </c>
      <c r="B32" s="6">
        <f>COUNTIFS(Bugs!$B:$B,"High",Bugs!$C:$C,"&lt;&gt;Query",Bugs!$C:$C,"&lt;&gt;Suggestion")</f>
        <v/>
      </c>
    </row>
    <row r="33">
      <c r="A33" s="10" t="inlineStr">
        <is>
          <t xml:space="preserve">   Medium</t>
        </is>
      </c>
      <c r="B33" s="6">
        <f>COUNTIFS(Bugs!$B:$B,"Medium",Bugs!$C:$C,"&lt;&gt;Query",Bugs!$C:$C,"&lt;&gt;Suggestion")</f>
        <v/>
      </c>
    </row>
    <row r="34">
      <c r="A34" s="11" t="inlineStr">
        <is>
          <t xml:space="preserve">   Low</t>
        </is>
      </c>
      <c r="B34" s="6">
        <f>COUNTIFS(Bugs!$B:$B,"Low",Bugs!$C:$C,"&lt;&gt;Query",Bugs!$C:$C,"&lt;&gt;Suggestion")</f>
        <v/>
      </c>
    </row>
    <row r="35">
      <c r="A35" s="4" t="inlineStr">
        <is>
          <t>Total defects</t>
        </is>
      </c>
      <c r="B35" s="6">
        <f>SUM($B$31:$B$34)</f>
        <v/>
      </c>
    </row>
    <row r="36">
      <c r="A36" s="4" t="inlineStr">
        <is>
          <t>Queries (need a decision)</t>
        </is>
      </c>
      <c r="B36" s="6">
        <f>COUNTIF(Bugs!$C:$C,"Query")</f>
        <v/>
      </c>
    </row>
    <row r="37">
      <c r="A37" s="4" t="inlineStr">
        <is>
          <t>Suggestions</t>
        </is>
      </c>
      <c r="B37" s="6">
        <f>COUNTIF(Bugs!$C:$C,"Suggestion")</f>
        <v/>
      </c>
    </row>
    <row r="39">
      <c r="A39" s="3" t="inlineStr">
        <is>
          <t>Fix progress (changes as the Dev status and Tester status columns are updated)</t>
        </is>
      </c>
    </row>
    <row r="40">
      <c r="A40" s="4" t="inlineStr">
        <is>
          <t xml:space="preserve">   Dev status: New</t>
        </is>
      </c>
      <c r="B40" s="6">
        <f>COUNTIF(Bugs!$Z:$Z,"New")</f>
        <v/>
      </c>
    </row>
    <row r="41">
      <c r="A41" s="4" t="inlineStr">
        <is>
          <t xml:space="preserve">   Dev status: In progress</t>
        </is>
      </c>
      <c r="B41" s="6">
        <f>COUNTIF(Bugs!$Z:$Z,"In progress")</f>
        <v/>
      </c>
    </row>
    <row r="42">
      <c r="A42" s="4" t="inlineStr">
        <is>
          <t xml:space="preserve">   Dev status: Fixed</t>
        </is>
      </c>
      <c r="B42" s="6">
        <f>COUNTIF(Bugs!$Z:$Z,"Fixed")</f>
        <v/>
      </c>
    </row>
    <row r="43">
      <c r="A43" s="4" t="inlineStr">
        <is>
          <t xml:space="preserve">   Dev status: Not a bug</t>
        </is>
      </c>
      <c r="B43" s="6">
        <f>COUNTIF(Bugs!$Z:$Z,"Not a bug")</f>
        <v/>
      </c>
    </row>
    <row r="44">
      <c r="A44" s="4" t="inlineStr">
        <is>
          <t xml:space="preserve">   Dev status: Cannot reproduce</t>
        </is>
      </c>
      <c r="B44" s="6">
        <f>COUNTIF(Bugs!$Z:$Z,"Cannot reproduce")</f>
        <v/>
      </c>
    </row>
    <row r="45">
      <c r="A45" s="4" t="inlineStr">
        <is>
          <t xml:space="preserve">   Dev status: Deferred</t>
        </is>
      </c>
      <c r="B45" s="6">
        <f>COUNTIF(Bugs!$Z:$Z,"Deferred")</f>
        <v/>
      </c>
    </row>
    <row r="46">
      <c r="A46" s="4" t="inlineStr">
        <is>
          <t xml:space="preserve">   Dev status: Duplicate</t>
        </is>
      </c>
      <c r="B46" s="6">
        <f>COUNTIF(Bugs!$Z:$Z,"Duplicate")</f>
        <v/>
      </c>
    </row>
    <row r="47">
      <c r="A47" s="4" t="inlineStr">
        <is>
          <t xml:space="preserve">   Tester status: Open</t>
        </is>
      </c>
      <c r="B47" s="6">
        <f>COUNTIF(Bugs!$X:$X,"Open")</f>
        <v/>
      </c>
    </row>
    <row r="48">
      <c r="A48" s="4" t="inlineStr">
        <is>
          <t xml:space="preserve">   Tester status: Reopened</t>
        </is>
      </c>
      <c r="B48" s="6">
        <f>COUNTIF(Bugs!$X:$X,"Reopened")</f>
        <v/>
      </c>
    </row>
    <row r="49">
      <c r="A49" s="4" t="inlineStr">
        <is>
          <t xml:space="preserve">   Tester status: Closed</t>
        </is>
      </c>
      <c r="B49" s="6">
        <f>COUNTIF(Bugs!$X:$X,"Closed")</f>
        <v/>
      </c>
    </row>
    <row r="51">
      <c r="A51" s="3" t="inlineStr">
        <is>
          <t>Defects by module</t>
        </is>
      </c>
    </row>
    <row r="52">
      <c r="A52" s="12" t="inlineStr">
        <is>
          <t>Module</t>
        </is>
      </c>
      <c r="B52" s="12" t="inlineStr">
        <is>
          <t>Critical</t>
        </is>
      </c>
      <c r="C52" s="12" t="inlineStr">
        <is>
          <t>High</t>
        </is>
      </c>
      <c r="D52" s="12" t="inlineStr">
        <is>
          <t>Medium</t>
        </is>
      </c>
      <c r="E52" s="12" t="inlineStr">
        <is>
          <t>Low</t>
        </is>
      </c>
      <c r="F52" s="12" t="inlineStr">
        <is>
          <t>Total</t>
        </is>
      </c>
    </row>
    <row r="53">
      <c r="A53" s="4" t="inlineStr">
        <is>
          <t>Orders</t>
        </is>
      </c>
      <c r="B53" s="6">
        <f>COUNTIFS(Bugs!$D:$D,$A53,Bugs!$B:$B,"Critical",Bugs!$C:$C,"&lt;&gt;Query",Bugs!$C:$C,"&lt;&gt;Suggestion")</f>
        <v/>
      </c>
      <c r="C53" s="6">
        <f>COUNTIFS(Bugs!$D:$D,$A53,Bugs!$B:$B,"High",Bugs!$C:$C,"&lt;&gt;Query",Bugs!$C:$C,"&lt;&gt;Suggestion")</f>
        <v/>
      </c>
      <c r="D53" s="6">
        <f>COUNTIFS(Bugs!$D:$D,$A53,Bugs!$B:$B,"Medium",Bugs!$C:$C,"&lt;&gt;Query",Bugs!$C:$C,"&lt;&gt;Suggestion")</f>
        <v/>
      </c>
      <c r="E53" s="6">
        <f>COUNTIFS(Bugs!$D:$D,$A53,Bugs!$B:$B,"Low",Bugs!$C:$C,"&lt;&gt;Query",Bugs!$C:$C,"&lt;&gt;Suggestion")</f>
        <v/>
      </c>
      <c r="F53" s="6">
        <f>SUM(B53:E53)</f>
        <v/>
      </c>
    </row>
    <row r="54">
      <c r="A54" s="4" t="inlineStr">
        <is>
          <t>API</t>
        </is>
      </c>
      <c r="B54" s="6">
        <f>COUNTIFS(Bugs!$D:$D,$A54,Bugs!$B:$B,"Critical",Bugs!$C:$C,"&lt;&gt;Query",Bugs!$C:$C,"&lt;&gt;Suggestion")</f>
        <v/>
      </c>
      <c r="C54" s="6">
        <f>COUNTIFS(Bugs!$D:$D,$A54,Bugs!$B:$B,"High",Bugs!$C:$C,"&lt;&gt;Query",Bugs!$C:$C,"&lt;&gt;Suggestion")</f>
        <v/>
      </c>
      <c r="D54" s="6">
        <f>COUNTIFS(Bugs!$D:$D,$A54,Bugs!$B:$B,"Medium",Bugs!$C:$C,"&lt;&gt;Query",Bugs!$C:$C,"&lt;&gt;Suggestion")</f>
        <v/>
      </c>
      <c r="E54" s="6">
        <f>COUNTIFS(Bugs!$D:$D,$A54,Bugs!$B:$B,"Low",Bugs!$C:$C,"&lt;&gt;Query",Bugs!$C:$C,"&lt;&gt;Suggestion")</f>
        <v/>
      </c>
      <c r="F54" s="6">
        <f>SUM(B54:E54)</f>
        <v/>
      </c>
    </row>
    <row r="55">
      <c r="A55" s="4" t="inlineStr">
        <is>
          <t>Settings</t>
        </is>
      </c>
      <c r="B55" s="6">
        <f>COUNTIFS(Bugs!$D:$D,$A55,Bugs!$B:$B,"Critical",Bugs!$C:$C,"&lt;&gt;Query",Bugs!$C:$C,"&lt;&gt;Suggestion")</f>
        <v/>
      </c>
      <c r="C55" s="6">
        <f>COUNTIFS(Bugs!$D:$D,$A55,Bugs!$B:$B,"High",Bugs!$C:$C,"&lt;&gt;Query",Bugs!$C:$C,"&lt;&gt;Suggestion")</f>
        <v/>
      </c>
      <c r="D55" s="6">
        <f>COUNTIFS(Bugs!$D:$D,$A55,Bugs!$B:$B,"Medium",Bugs!$C:$C,"&lt;&gt;Query",Bugs!$C:$C,"&lt;&gt;Suggestion")</f>
        <v/>
      </c>
      <c r="E55" s="6">
        <f>COUNTIFS(Bugs!$D:$D,$A55,Bugs!$B:$B,"Low",Bugs!$C:$C,"&lt;&gt;Query",Bugs!$C:$C,"&lt;&gt;Suggestion")</f>
        <v/>
      </c>
      <c r="F55" s="6">
        <f>SUM(B55:E55)</f>
        <v/>
      </c>
    </row>
    <row r="57">
      <c r="A57" s="3" t="inlineStr">
        <is>
          <t>Tester's notes</t>
        </is>
      </c>
    </row>
    <row r="58" ht="45" customHeight="1">
      <c r="A58" s="4" t="inlineStr">
        <is>
          <t>Limitation (R1)</t>
        </is>
      </c>
      <c r="B58" s="5" t="inlineStr">
        <is>
          <t>No SRS / FRD was supplied. Expected behaviour comes from the carrier responses, the app's own messages and tooltips, and consistency between lanes and carriers; findings with weaker footing are logged as Query or Suggestion.</t>
        </is>
      </c>
      <c r="C58" s="21" t="n"/>
      <c r="D58" s="21" t="n"/>
      <c r="E58" s="21" t="n"/>
      <c r="F58" s="21" t="n"/>
      <c r="G58" s="22" t="n"/>
    </row>
    <row r="59" ht="75" customHeight="1">
      <c r="A59" s="4" t="inlineStr">
        <is>
          <t>Limitation (R1)</t>
        </is>
      </c>
      <c r="B59"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59" s="21" t="n"/>
      <c r="D59" s="21" t="n"/>
      <c r="E59" s="21" t="n"/>
      <c r="F59" s="21" t="n"/>
      <c r="G59" s="22" t="n"/>
    </row>
    <row r="60" ht="60" customHeight="1">
      <c r="A60" s="4" t="inlineStr">
        <is>
          <t>Limitation (R1)</t>
        </is>
      </c>
      <c r="B60" s="5" t="inlineStr">
        <is>
          <t>Screenshots and network timings come from a validate-only evidence pass on 2026-10-12: forms were validated but never generated, and no orders were created (#934191 does not exist). Console output was not captured. BUG-011 and BUG-016 were seen once during the run and have no screenshot.</t>
        </is>
      </c>
      <c r="C60" s="21" t="n"/>
      <c r="D60" s="21" t="n"/>
      <c r="E60" s="21" t="n"/>
      <c r="F60" s="21" t="n"/>
      <c r="G60" s="22" t="n"/>
    </row>
    <row r="61" ht="45" customHeight="1">
      <c r="A61" s="4" t="inlineStr">
        <is>
          <t>Limitation (R1)</t>
        </is>
      </c>
      <c r="B61" s="5" t="inlineStr">
        <is>
          <t>All carrier accounts are in sandbox mode: FedEx rate calls often failed (HTTP 500 / 503, shown as 'No price ... to review') and label documents are sandbox samples, so per-box label content could not be verified.</t>
        </is>
      </c>
      <c r="C61" s="21" t="n"/>
      <c r="D61" s="21" t="n"/>
      <c r="E61" s="21" t="n"/>
      <c r="F61" s="21" t="n"/>
      <c r="G61" s="22" t="n"/>
    </row>
    <row r="62" ht="75" customHeight="1">
      <c r="A62" s="4" t="inlineStr">
        <is>
          <t>Observation (R1)</t>
        </is>
      </c>
      <c r="B62"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2" s="21" t="n"/>
      <c r="D62" s="21" t="n"/>
      <c r="E62" s="21" t="n"/>
      <c r="F62" s="21" t="n"/>
      <c r="G62" s="22" t="n"/>
    </row>
    <row r="63" ht="150" customHeight="1">
      <c r="A63" s="4" t="inlineStr">
        <is>
          <t>Summary (R1)</t>
        </is>
      </c>
      <c r="B63"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3" s="21" t="n"/>
      <c r="D63" s="21" t="n"/>
      <c r="E63" s="21" t="n"/>
      <c r="F63" s="21" t="n"/>
      <c r="G63" s="22" t="n"/>
    </row>
    <row r="64" ht="45" customHeight="1">
      <c r="A64" s="4" t="inlineStr">
        <is>
          <t>Limitation (R2)</t>
        </is>
      </c>
      <c r="B64" s="5" t="inlineStr">
        <is>
          <t>R2 covers Settings &gt; Organization only: Clients (list and the 8-step Add/Edit wizard), Warehouses, Address book, Users and Roles, plus the All settings overview. The other 31 Settings screens are mapped in the application map but not yet tested.</t>
        </is>
      </c>
      <c r="C64" s="21" t="n"/>
      <c r="D64" s="21" t="n"/>
      <c r="E64" s="21" t="n"/>
      <c r="F64" s="21" t="n"/>
      <c r="G64" s="22" t="n"/>
    </row>
    <row r="65" ht="45" customHeight="1">
      <c r="A65" s="4" t="inlineStr">
        <is>
          <t>Limitation (R2)</t>
        </is>
      </c>
      <c r="B65" s="5" t="inlineStr">
        <is>
          <t>Settings &gt; Address book could not be exercised: its only data call returns 500 every time (BUG-044), so the search, the client filter, the grid and the row actions are recorded as blocked rather than tested.</t>
        </is>
      </c>
      <c r="C65" s="21" t="n"/>
      <c r="D65" s="21" t="n"/>
      <c r="E65" s="21" t="n"/>
      <c r="F65" s="21" t="n"/>
      <c r="G65" s="22" t="n"/>
    </row>
    <row r="66" ht="75" customHeight="1">
      <c r="A66" s="4" t="inlineStr">
        <is>
          <t>Limitation (R2)</t>
        </is>
      </c>
      <c r="B66"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66" s="21" t="n"/>
      <c r="D66" s="21" t="n"/>
      <c r="E66" s="21" t="n"/>
      <c r="F66" s="21" t="n"/>
      <c r="G66" s="22" t="n"/>
    </row>
    <row r="67" ht="45" customHeight="1">
      <c r="A67" s="4" t="inlineStr">
        <is>
          <t>Limitation (R2)</t>
        </is>
      </c>
      <c r="B67" s="5" t="inlineStr">
        <is>
          <t>CSV exports: the user allowed the downloads, and the request, its parameters and the response were checked for each one, but the downloaded files themselves could not be opened from this session, so their contents are unverified.</t>
        </is>
      </c>
      <c r="C67" s="21" t="n"/>
      <c r="D67" s="21" t="n"/>
      <c r="E67" s="21" t="n"/>
      <c r="F67" s="21" t="n"/>
      <c r="G67" s="22" t="n"/>
    </row>
    <row r="68" ht="60" customHeight="1">
      <c r="A68" s="4" t="inlineStr">
        <is>
          <t>Observation (R2)</t>
        </is>
      </c>
      <c r="B68"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68" s="21" t="n"/>
      <c r="D68" s="21" t="n"/>
      <c r="E68" s="21" t="n"/>
      <c r="F68" s="21" t="n"/>
      <c r="G68" s="22" t="n"/>
    </row>
    <row r="69" ht="45" customHeight="1">
      <c r="A69" s="4" t="inlineStr">
        <is>
          <t>Observation (R2)</t>
        </is>
      </c>
      <c r="B69" s="5" t="inlineStr">
        <is>
          <t>Settings &gt; Mail reports 'No provider active - outbound emails are logged only' and has no registered providers, so nothing sent from Settings in this environment can reach an inbox. The one invitation sent during the run therefore went nowhere.</t>
        </is>
      </c>
      <c r="C69" s="21" t="n"/>
      <c r="D69" s="21" t="n"/>
      <c r="E69" s="21" t="n"/>
      <c r="F69" s="21" t="n"/>
      <c r="G69" s="22" t="n"/>
    </row>
    <row r="70" ht="60" customHeight="1">
      <c r="A70" s="4" t="inlineStr">
        <is>
          <t>Observation (R2)</t>
        </is>
      </c>
      <c r="B70"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0" s="21" t="n"/>
      <c r="D70" s="21" t="n"/>
      <c r="E70" s="21" t="n"/>
      <c r="F70" s="21" t="n"/>
      <c r="G70" s="22" t="n"/>
    </row>
    <row r="71" ht="285" customHeight="1">
      <c r="A71" s="4" t="inlineStr">
        <is>
          <t>Summary (R2)</t>
        </is>
      </c>
      <c r="B71"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1" s="21" t="n"/>
      <c r="D71" s="21" t="n"/>
      <c r="E71" s="21" t="n"/>
      <c r="F71" s="21" t="n"/>
      <c r="G71" s="22" t="n"/>
    </row>
    <row r="73">
      <c r="A73" s="3" t="inlineStr">
        <is>
          <t>How to use this workbook</t>
        </is>
      </c>
    </row>
    <row r="74" ht="30" customHeight="1">
      <c r="A74" s="13" t="inlineStr">
        <is>
          <t>Bugs sheet: one row per bug. Developers fill only the yellow columns - Dev status, Assigned to, Developer comments, Fixed in build. Please do not change Bug ID.</t>
        </is>
      </c>
    </row>
    <row r="75" ht="30" customHeight="1">
      <c r="A75" s="13" t="inlineStr">
        <is>
          <t>Coverage sheet: every element that was listed on every screen tested, with its result, what was tried and the requirement it was checked against. Filter on Requirement ref to see what has been verified for a clause.</t>
        </is>
      </c>
    </row>
    <row r="76" ht="30" customHeight="1">
      <c r="A76" s="13" t="inlineStr">
        <is>
          <t>Screens sheet: the application map and how far testing has reached on each screen.</t>
        </is>
      </c>
    </row>
    <row r="77" ht="30" customHeight="1">
      <c r="A77" s="13" t="inlineStr">
        <is>
          <t>Send this workbook back for retest: the tester reads the Dev status column and re-checks every bug marked Fixed.</t>
        </is>
      </c>
    </row>
    <row r="78" ht="30" customHeight="1">
      <c r="A78" s="13" t="inlineStr">
        <is>
          <t>The hidden sheet '_ledger' holds the test records so that testing can resume from this file. Please do not delete it.</t>
        </is>
      </c>
    </row>
  </sheetData>
  <mergeCells count="35">
    <mergeCell ref="B60:G60"/>
    <mergeCell ref="B67:G67"/>
    <mergeCell ref="B61:G61"/>
    <mergeCell ref="A4:G4"/>
    <mergeCell ref="B8:G8"/>
    <mergeCell ref="B13:G13"/>
    <mergeCell ref="B69:G69"/>
    <mergeCell ref="B10:G10"/>
    <mergeCell ref="A39:G39"/>
    <mergeCell ref="A77:G77"/>
    <mergeCell ref="B9:G9"/>
    <mergeCell ref="A57:G57"/>
    <mergeCell ref="A30:G30"/>
    <mergeCell ref="B65:G65"/>
    <mergeCell ref="A15:G15"/>
    <mergeCell ref="B68:G68"/>
    <mergeCell ref="A73:G73"/>
    <mergeCell ref="A51:G51"/>
    <mergeCell ref="B64:G64"/>
    <mergeCell ref="B6:G6"/>
    <mergeCell ref="B5:G5"/>
    <mergeCell ref="B63:G63"/>
    <mergeCell ref="A78:G78"/>
    <mergeCell ref="B62:G62"/>
    <mergeCell ref="B7:G7"/>
    <mergeCell ref="A75:G75"/>
    <mergeCell ref="A74:G74"/>
    <mergeCell ref="B59:G59"/>
    <mergeCell ref="B66:G66"/>
    <mergeCell ref="B71:G71"/>
    <mergeCell ref="B12:G12"/>
    <mergeCell ref="B58:G58"/>
    <mergeCell ref="B70:G70"/>
    <mergeCell ref="A76:G76"/>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53"/>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t>
        </is>
      </c>
      <c r="Q2" s="5" t="n"/>
      <c r="R2" s="5" t="inlineStr">
        <is>
          <t>admin (ADMIN)</t>
        </is>
      </c>
      <c r="S2" s="5" t="n"/>
      <c r="T2" s="5" t="inlineStr">
        <is>
          <t>2026-10-11</t>
        </is>
      </c>
      <c r="U2" s="5" t="inlineStr">
        <is>
          <t>R1</t>
        </is>
      </c>
      <c r="V2" s="5" t="inlineStr">
        <is>
          <t>S001</t>
        </is>
      </c>
      <c r="W2" s="5" t="n"/>
      <c r="X2" s="5" t="inlineStr">
        <is>
          <t>Open</t>
        </is>
      </c>
      <c r="Y2" s="5" t="n"/>
      <c r="Z2" s="15" t="inlineStr">
        <is>
          <t>Fixed on dev</t>
        </is>
      </c>
      <c r="AA2" s="15" t="n"/>
      <c r="AB2" s="15" t="inlineStr">
        <is>
          <t>[e7982c59] Pre-flight guard in ShipmentValidationService.checkIntlRequiredFields</t>
        </is>
      </c>
      <c r="AC2" s="15" t="inlineStr">
        <is>
          <t>2026-10-12</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t>
        </is>
      </c>
      <c r="Q3" s="5" t="n"/>
      <c r="R3" s="5" t="inlineStr">
        <is>
          <t>admin (ADMIN)</t>
        </is>
      </c>
      <c r="S3" s="5" t="n"/>
      <c r="T3" s="5" t="inlineStr">
        <is>
          <t>2026-10-11</t>
        </is>
      </c>
      <c r="U3" s="5" t="inlineStr">
        <is>
          <t>R1</t>
        </is>
      </c>
      <c r="V3" s="5" t="inlineStr">
        <is>
          <t>S001</t>
        </is>
      </c>
      <c r="W3" s="5" t="n"/>
      <c r="X3" s="5" t="inlineStr">
        <is>
          <t>Open</t>
        </is>
      </c>
      <c r="Y3" s="5" t="n"/>
      <c r="Z3" s="15" t="inlineStr">
        <is>
          <t>Fixed on dev</t>
        </is>
      </c>
      <c r="AA3" s="15" t="n"/>
      <c r="AB3" s="15" t="inlineStr">
        <is>
          <t>[92e3b671] Every-box-must-have-items guard in checkIntlRequiredFields</t>
        </is>
      </c>
      <c r="AC3" s="15" t="inlineStr">
        <is>
          <t>2026-10-12</t>
        </is>
      </c>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t>
        </is>
      </c>
      <c r="Q4" s="5" t="n"/>
      <c r="R4" s="5" t="inlineStr">
        <is>
          <t>admin (ADMIN)</t>
        </is>
      </c>
      <c r="S4" s="5" t="n"/>
      <c r="T4" s="5" t="inlineStr">
        <is>
          <t>2026-10-11</t>
        </is>
      </c>
      <c r="U4" s="5" t="inlineStr">
        <is>
          <t>R1</t>
        </is>
      </c>
      <c r="V4" s="5" t="inlineStr">
        <is>
          <t>S001</t>
        </is>
      </c>
      <c r="W4" s="5" t="n"/>
      <c r="X4" s="5" t="inlineStr">
        <is>
          <t>Open</t>
        </is>
      </c>
      <c r="Y4" s="5" t="n"/>
      <c r="Z4" s="15" t="inlineStr">
        <is>
          <t>Fixed on dev</t>
        </is>
      </c>
      <c r="AA4" s="15" t="n"/>
      <c r="AB4" s="15" t="inlineStr">
        <is>
          <t>[b9325bc7] V144 sets max_pieces=1 on 5 more carrier packagings</t>
        </is>
      </c>
      <c r="AC4" s="15" t="inlineStr">
        <is>
          <t>2026-10-12</t>
        </is>
      </c>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t>
        </is>
      </c>
      <c r="Q5" s="5" t="n"/>
      <c r="R5" s="5" t="inlineStr">
        <is>
          <t>admin (ADMIN)</t>
        </is>
      </c>
      <c r="S5" s="5" t="n"/>
      <c r="T5" s="5" t="inlineStr">
        <is>
          <t>2026-10-11</t>
        </is>
      </c>
      <c r="U5" s="5" t="inlineStr">
        <is>
          <t>R1</t>
        </is>
      </c>
      <c r="V5" s="5" t="inlineStr">
        <is>
          <t>S001</t>
        </is>
      </c>
      <c r="W5" s="5" t="n"/>
      <c r="X5" s="5" t="inlineStr">
        <is>
          <t>Open</t>
        </is>
      </c>
      <c r="Y5" s="5" t="n"/>
      <c r="Z5" s="15" t="inlineStr">
        <is>
          <t>Fixed on dev</t>
        </is>
      </c>
      <c r="AA5" s="15" t="n"/>
      <c r="AB5" s="15" t="inlineStr">
        <is>
          <t>[3afcec5e] matchServiceCode normalizes carrier-prefix drift</t>
        </is>
      </c>
      <c r="AC5" s="15" t="inlineStr">
        <is>
          <t>2026-10-12</t>
        </is>
      </c>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t>
        </is>
      </c>
      <c r="Q6" s="5" t="n"/>
      <c r="R6" s="5" t="inlineStr">
        <is>
          <t>admin (ADMIN)</t>
        </is>
      </c>
      <c r="S6" s="5" t="n"/>
      <c r="T6" s="5" t="inlineStr">
        <is>
          <t>2026-10-11</t>
        </is>
      </c>
      <c r="U6" s="5" t="inlineStr">
        <is>
          <t>R1</t>
        </is>
      </c>
      <c r="V6" s="5" t="inlineStr">
        <is>
          <t>S001</t>
        </is>
      </c>
      <c r="W6" s="5" t="n"/>
      <c r="X6" s="5" t="inlineStr">
        <is>
          <t>Open</t>
        </is>
      </c>
      <c r="Y6" s="5" t="n"/>
      <c r="Z6" s="15" t="inlineStr">
        <is>
          <t>Fixed on dev</t>
        </is>
      </c>
      <c r="AA6" s="15" t="n"/>
      <c r="AB6" s="15" t="inlineStr">
        <is>
          <t>[d282b2c0] Dropped CA from FTR-exemption gate exclusion</t>
        </is>
      </c>
      <c r="AC6" s="15" t="inlineStr">
        <is>
          <t>2026-10-12</t>
        </is>
      </c>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t>
        </is>
      </c>
      <c r="Q7" s="5" t="n"/>
      <c r="R7" s="5" t="inlineStr">
        <is>
          <t>admin (ADMIN)</t>
        </is>
      </c>
      <c r="S7" s="5" t="n"/>
      <c r="T7" s="5" t="inlineStr">
        <is>
          <t>2026-10-11</t>
        </is>
      </c>
      <c r="U7" s="5" t="inlineStr">
        <is>
          <t>R1</t>
        </is>
      </c>
      <c r="V7" s="5" t="inlineStr">
        <is>
          <t>S001</t>
        </is>
      </c>
      <c r="W7" s="5" t="n"/>
      <c r="X7" s="5" t="inlineStr">
        <is>
          <t>Open</t>
        </is>
      </c>
      <c r="Y7" s="5" t="n"/>
      <c r="Z7" s="15" t="inlineStr">
        <is>
          <t>Fixed on dev</t>
        </is>
      </c>
      <c r="AA7" s="15" t="n"/>
      <c r="AB7" s="15" t="inlineStr">
        <is>
          <t>[2e532f1b] Bulk-add seeds L/W/H from preset.length/width/height when no prior extra</t>
        </is>
      </c>
      <c r="AC7" s="15" t="inlineStr">
        <is>
          <t>2026-10-12</t>
        </is>
      </c>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Open</t>
        </is>
      </c>
      <c r="Y8" s="5" t="n"/>
      <c r="Z8" s="15" t="inlineStr">
        <is>
          <t>Fixed on dev — via existing admin endpoint</t>
        </is>
      </c>
      <c r="AA8" s="15" t="n"/>
      <c r="AB8" s="15" t="inlineStr">
        <is>
          <t>[b5cc0327] Order 934118 label stored as FedEx doc URL instead of base64 PDF. Fix: POST /api/v1/admin/labels/934118/backfill-formats (endpoint 39f012dc) decodes URL and persists ZPL+PDF+PNG. Operator action, not code.; [15a5ba88] Admin backfill endpoint POST /api/v1/admin/labels/934118/backfill-formats (shipped 39f012dc) decodes the FedEx doc URL into base64 ZPL/PDF/PNG and persists all three. Operator-driven fix for the one-off; long-term self-heal (resolver rewrites URL→base64 on first successful fetch) deferred as scope.</t>
        </is>
      </c>
      <c r="AC8" s="15" t="inlineStr">
        <is>
          <t>2026-10-12</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t>
        </is>
      </c>
      <c r="Q9" s="5" t="n"/>
      <c r="R9" s="5" t="inlineStr">
        <is>
          <t>admin (ADMIN)</t>
        </is>
      </c>
      <c r="S9" s="5" t="n"/>
      <c r="T9" s="5" t="inlineStr">
        <is>
          <t>2026-10-11</t>
        </is>
      </c>
      <c r="U9" s="5" t="inlineStr">
        <is>
          <t>R1</t>
        </is>
      </c>
      <c r="V9" s="5" t="inlineStr">
        <is>
          <t>S001</t>
        </is>
      </c>
      <c r="W9" s="5" t="n"/>
      <c r="X9" s="5" t="inlineStr">
        <is>
          <t>Open</t>
        </is>
      </c>
      <c r="Y9" s="5" t="n"/>
      <c r="Z9" s="15" t="inlineStr">
        <is>
          <t>Fixed on dev</t>
        </is>
      </c>
      <c r="AA9" s="15" t="n"/>
      <c r="AB9" s="15" t="inlineStr">
        <is>
          <t>[b5cc0327] Mexico state no * marker + US placeholder. Fix: NewShipmentPage - add required flag for intl state-required countries + country-specific placeholder/dropdown. ~20 LoC.; [865238a4] State required + country-aware placeholder (dropdown deferred)</t>
        </is>
      </c>
      <c r="AC9" s="15" t="inlineStr">
        <is>
          <t>2026-10-12</t>
        </is>
      </c>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t>
        </is>
      </c>
      <c r="Q10" s="5" t="n"/>
      <c r="R10" s="5" t="inlineStr">
        <is>
          <t>admin (ADMIN)</t>
        </is>
      </c>
      <c r="S10" s="5" t="n"/>
      <c r="T10" s="5" t="inlineStr">
        <is>
          <t>2026-10-12</t>
        </is>
      </c>
      <c r="U10" s="5" t="inlineStr">
        <is>
          <t>R1</t>
        </is>
      </c>
      <c r="V10" s="5" t="inlineStr">
        <is>
          <t>S001</t>
        </is>
      </c>
      <c r="W10" s="5" t="n"/>
      <c r="X10" s="5" t="inlineStr">
        <is>
          <t>Open</t>
        </is>
      </c>
      <c r="Y10" s="5" t="n"/>
      <c r="Z10" s="15" t="inlineStr">
        <is>
          <t>Fixed on dev</t>
        </is>
      </c>
      <c r="AA10" s="15" t="n"/>
      <c r="AB10" s="15" t="inlineStr">
        <is>
          <t>[ea6f10cd] Hint reworded; examples carry length info</t>
        </is>
      </c>
      <c r="AC10" s="15" t="inlineStr">
        <is>
          <t>2026-10-12</t>
        </is>
      </c>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t>
        </is>
      </c>
      <c r="Q11" s="5" t="n"/>
      <c r="R11" s="5" t="inlineStr">
        <is>
          <t>admin (ADMIN)</t>
        </is>
      </c>
      <c r="S11" s="5" t="n"/>
      <c r="T11" s="5" t="inlineStr">
        <is>
          <t>2026-10-12</t>
        </is>
      </c>
      <c r="U11" s="5" t="inlineStr">
        <is>
          <t>R1</t>
        </is>
      </c>
      <c r="V11" s="5" t="inlineStr">
        <is>
          <t>S001</t>
        </is>
      </c>
      <c r="W11" s="5" t="n"/>
      <c r="X11" s="5" t="inlineStr">
        <is>
          <t>Open</t>
        </is>
      </c>
      <c r="Y11" s="5" t="n"/>
      <c r="Z11" s="15" t="inlineStr">
        <is>
          <t>Fixed on dev</t>
        </is>
      </c>
      <c r="AA11" s="15" t="n"/>
      <c r="AB11" s="15" t="inlineStr">
        <is>
          <t>[b5cc0327] Importer badge RESOLVED FOR MX next to no-profile warning. Fix: render badge only when customsProfile != null for country. One-line JSX.; [d705952a] Badge now shows 'Not configured' when activeParties is null</t>
        </is>
      </c>
      <c r="AC11" s="15" t="inlineStr">
        <is>
          <t>2026-10-12</t>
        </is>
      </c>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Not captured</t>
        </is>
      </c>
      <c r="Q12" s="5" t="n"/>
      <c r="R12" s="5" t="inlineStr">
        <is>
          <t>admin (ADMIN)</t>
        </is>
      </c>
      <c r="S12" s="5" t="n"/>
      <c r="T12" s="5" t="inlineStr">
        <is>
          <t>2026-10-11</t>
        </is>
      </c>
      <c r="U12" s="5" t="inlineStr">
        <is>
          <t>R1</t>
        </is>
      </c>
      <c r="V12" s="5" t="inlineStr">
        <is>
          <t>S001</t>
        </is>
      </c>
      <c r="W12" s="5" t="n"/>
      <c r="X12" s="5" t="inlineStr">
        <is>
          <t>Open</t>
        </is>
      </c>
      <c r="Y12" s="5" t="n"/>
      <c r="Z12" s="15" t="inlineStr">
        <is>
          <t>Fixed on dev</t>
        </is>
      </c>
      <c r="AA12" s="15" t="n"/>
      <c r="AB12" s="15" t="inlineStr">
        <is>
          <t>[ea6f10cd] HS lookup returns 6-digit (HS international standard). CA/MX/EU want 8+. Fix needs: (a) HsCodeCombobox pads to destination's min-length with trailing zeros on select, OR (b) backend lookup endpoint accepts destCountry param and returns full-precision. (b) is cleaner. Scope &gt; 1 file.; [9a9b5c72] HsCodeCombobox pads lookup codes to destCountry's min-digit requirement; [4fe9a6cf] HsCodeCombobox pads lookup codes to destCountry's min-digit requirement; threaded via NewShipmentItemsList + NewShipmentItemsRow</t>
        </is>
      </c>
      <c r="AC12" s="15" t="inlineStr">
        <is>
          <t>2026-10-12</t>
        </is>
      </c>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t>
        </is>
      </c>
      <c r="Q13" s="5" t="n"/>
      <c r="R13" s="5" t="inlineStr">
        <is>
          <t>admin (ADMIN)</t>
        </is>
      </c>
      <c r="S13" s="5" t="n"/>
      <c r="T13" s="5" t="inlineStr">
        <is>
          <t>2026-10-11</t>
        </is>
      </c>
      <c r="U13" s="5" t="inlineStr">
        <is>
          <t>R1</t>
        </is>
      </c>
      <c r="V13" s="5" t="inlineStr">
        <is>
          <t>S001</t>
        </is>
      </c>
      <c r="W13" s="5" t="n"/>
      <c r="X13" s="5" t="inlineStr">
        <is>
          <t>Open</t>
        </is>
      </c>
      <c r="Y13" s="5" t="n"/>
      <c r="Z13" s="15" t="inlineStr">
        <is>
          <t>Fixed on dev</t>
        </is>
      </c>
      <c r="AA13" s="15" t="n"/>
      <c r="AB13" s="15" t="inlineStr">
        <is>
          <t>[37d3d048] V145 strips trailing comma/whitespace from clients.address_line1; [48bf59ec] V145 strips trailing comma/whitespace from clients.address_line1</t>
        </is>
      </c>
      <c r="AC13" s="15" t="inlineStr">
        <is>
          <t>2026-10-12</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t>
        </is>
      </c>
      <c r="Q14" s="5" t="n"/>
      <c r="R14" s="5" t="inlineStr">
        <is>
          <t>admin (ADMIN)</t>
        </is>
      </c>
      <c r="S14" s="5" t="n"/>
      <c r="T14" s="5" t="inlineStr">
        <is>
          <t>2026-10-11</t>
        </is>
      </c>
      <c r="U14" s="5" t="inlineStr">
        <is>
          <t>R1</t>
        </is>
      </c>
      <c r="V14" s="5" t="inlineStr">
        <is>
          <t>S001</t>
        </is>
      </c>
      <c r="W14" s="5" t="n"/>
      <c r="X14" s="5" t="inlineStr">
        <is>
          <t>Open</t>
        </is>
      </c>
      <c r="Y14" s="5" t="n"/>
      <c r="Z14" s="15" t="inlineStr">
        <is>
          <t>Fixed on dev</t>
        </is>
      </c>
      <c r="AA14" s="15" t="n"/>
      <c r="AB14" s="15" t="inlineStr">
        <is>
          <t>[37d3d048] setItems append not prepend</t>
        </is>
      </c>
      <c r="AC14" s="15" t="inlineStr">
        <is>
          <t>2026-10-12</t>
        </is>
      </c>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t>
        </is>
      </c>
      <c r="Q15" s="5" t="n"/>
      <c r="R15" s="5" t="inlineStr">
        <is>
          <t>admin (ADMIN)</t>
        </is>
      </c>
      <c r="S15" s="5" t="n"/>
      <c r="T15" s="5" t="inlineStr">
        <is>
          <t>2026-10-11</t>
        </is>
      </c>
      <c r="U15" s="5" t="inlineStr">
        <is>
          <t>R1</t>
        </is>
      </c>
      <c r="V15" s="5" t="inlineStr">
        <is>
          <t>S001</t>
        </is>
      </c>
      <c r="W15" s="5" t="n"/>
      <c r="X15" s="5" t="inlineStr">
        <is>
          <t>Open</t>
        </is>
      </c>
      <c r="Y15" s="5" t="n"/>
      <c r="Z15" s="15" t="inlineStr">
        <is>
          <t>Fixed on dev</t>
        </is>
      </c>
      <c r="AA15" s="15" t="n"/>
      <c r="AB15" s="15" t="inlineStr">
        <is>
          <t>[b5cc0327] Toast overlays Validate/Generate buttons. Fix: raise z-index of footer buttons OR shift toast position bottom-16. CSS one-liner.; [65b271d4] useEffect sets --toast-bottom=7rem while NewShipmentPage mounted</t>
        </is>
      </c>
      <c r="AC15" s="15" t="inlineStr">
        <is>
          <t>2026-10-12</t>
        </is>
      </c>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Open</t>
        </is>
      </c>
      <c r="Y16" s="5" t="n"/>
      <c r="Z16" s="15" t="inlineStr">
        <is>
          <t>Fixed on dev</t>
        </is>
      </c>
      <c r="AA16" s="15" t="n"/>
      <c r="AB16" s="15" t="inlineStr">
        <is>
          <t>[b5cc0327] HEAD /label/preview.png 503. Fix: handler responds to GET only; add method={HEAD,GET}. ~5 LoC in OrderController.; [e809e8ab] @RequestMapping method={GET, HEAD} on /label/preview.png</t>
        </is>
      </c>
      <c r="AC16" s="15" t="inlineStr">
        <is>
          <t>2026-10-12</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Open</t>
        </is>
      </c>
      <c r="Y17" s="5" t="n"/>
      <c r="Z17" s="15" t="inlineStr">
        <is>
          <t>Fixed on dev</t>
        </is>
      </c>
      <c r="AA17" s="15" t="n"/>
      <c r="AB17" s="15" t="inlineStr">
        <is>
          <t>[b5cc0327] Raw '502' toast. Fix: notify.apiError strips 'HTTP error! status:' prefix + maps 5xx to friendly text. ~10 LoC in notify.ts.; [e7c9f379] cleanServerMessage strips HTTP prefix + maps 5xx</t>
        </is>
      </c>
      <c r="AC17" s="15" t="inlineStr">
        <is>
          <t>2026-10-12</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Open</t>
        </is>
      </c>
      <c r="Y18" s="5" t="n"/>
      <c r="Z18" s="15" t="inlineStr">
        <is>
          <t>Query answered</t>
        </is>
      </c>
      <c r="AA18" s="15" t="n"/>
      <c r="AB18" s="15" t="inlineStr">
        <is>
          <t>[ea6f10cd] By design: shippingDetails.weight is the LEAD piece's weight (back-compat with pre-MPS clients). Shipment total available via packages[].weight sum. Rename to leadPackageWeight queued for next DTO version.</t>
        </is>
      </c>
      <c r="AC18" s="15" t="inlineStr">
        <is>
          <t>2026-10-12</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Not captured</t>
        </is>
      </c>
      <c r="Q19" s="5" t="n"/>
      <c r="R19" s="5" t="inlineStr">
        <is>
          <t>admin (ADMIN)</t>
        </is>
      </c>
      <c r="S19" s="5" t="n"/>
      <c r="T19" s="5" t="inlineStr">
        <is>
          <t>2026-10-11</t>
        </is>
      </c>
      <c r="U19" s="5" t="inlineStr">
        <is>
          <t>R1</t>
        </is>
      </c>
      <c r="V19" s="5" t="inlineStr">
        <is>
          <t>S001</t>
        </is>
      </c>
      <c r="W19" s="5" t="n"/>
      <c r="X19" s="5" t="inlineStr">
        <is>
          <t>Open</t>
        </is>
      </c>
      <c r="Y19" s="5" t="n"/>
      <c r="Z19" s="15" t="inlineStr">
        <is>
          <t>Needs product input</t>
        </is>
      </c>
      <c r="AA19" s="15" t="n"/>
      <c r="AB19" s="15" t="inlineStr">
        <is>
          <t>[ea6f10cd] SERA /addresses/validate returns normalized_address but today's FE only echoes the generic 'normalised' message. Enhancement: parse diff + show changed fields inline. Deferred — needs UX design.</t>
        </is>
      </c>
      <c r="AC19" s="15" t="inlineStr">
        <is>
          <t>2026-10-12</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t>
        </is>
      </c>
      <c r="Q20" s="5" t="n"/>
      <c r="R20" s="5" t="inlineStr">
        <is>
          <t>admin (ADMIN)</t>
        </is>
      </c>
      <c r="S20" s="5" t="n"/>
      <c r="T20" s="5" t="inlineStr">
        <is>
          <t>2026-10-11</t>
        </is>
      </c>
      <c r="U20" s="5" t="inlineStr">
        <is>
          <t>R1</t>
        </is>
      </c>
      <c r="V20" s="5" t="inlineStr">
        <is>
          <t>S001</t>
        </is>
      </c>
      <c r="W20" s="5" t="n"/>
      <c r="X20" s="5" t="inlineStr">
        <is>
          <t>Open</t>
        </is>
      </c>
      <c r="Y20" s="5" t="n"/>
      <c r="Z20" s="15" t="inlineStr">
        <is>
          <t>Query answered</t>
        </is>
      </c>
      <c r="AA20" s="15" t="n"/>
      <c r="AB20" s="15" t="inlineStr">
        <is>
          <t>[ea6f10cd] Transient: 0 of 1 on retest. Likely stale rate cache or an older dim/weight carried over between validations. If recurs, capture rateShopRequest JSON on both ends.</t>
        </is>
      </c>
      <c r="AC20" s="15" t="inlineStr">
        <is>
          <t>2026-10-12</t>
        </is>
      </c>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Open</t>
        </is>
      </c>
      <c r="Y21" s="5" t="n"/>
      <c r="Z21" s="15" t="inlineStr">
        <is>
          <t>Fixed on dev</t>
        </is>
      </c>
      <c r="AA21" s="15" t="n"/>
      <c r="AB21" s="15" t="inlineStr">
        <is>
          <t>[b5cc0327] Label size doesn't change with Label type. Fix: NewShipmentPage useEffect - when labelImageType=PDF, set labelStockType=PAPER_4X6. ~8 LoC.; [e16cdd20] useEffect on labelImageType flips STOCK_&lt;-&gt;PAPER_</t>
        </is>
      </c>
      <c r="AC21" s="15" t="inlineStr">
        <is>
          <t>2026-10-12</t>
        </is>
      </c>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t>
        </is>
      </c>
      <c r="Q22" s="5" t="n"/>
      <c r="R22" s="5" t="inlineStr">
        <is>
          <t>admin (ADMIN)</t>
        </is>
      </c>
      <c r="S22" s="5" t="n"/>
      <c r="T22" s="5" t="inlineStr">
        <is>
          <t>2026-10-11</t>
        </is>
      </c>
      <c r="U22" s="5" t="inlineStr">
        <is>
          <t>R1</t>
        </is>
      </c>
      <c r="V22" s="5" t="inlineStr">
        <is>
          <t>S002</t>
        </is>
      </c>
      <c r="W22" s="5" t="n"/>
      <c r="X22" s="5" t="inlineStr">
        <is>
          <t>Open</t>
        </is>
      </c>
      <c r="Y22" s="5" t="n"/>
      <c r="Z22" s="15" t="inlineStr">
        <is>
          <t>Fixed on dev</t>
        </is>
      </c>
      <c r="AA22" s="15" t="n"/>
      <c r="AB22" s="15" t="inlineStr">
        <is>
          <t>[b5cc0327] Importer Receiver-DAP doesn't autofill from ship-to. Fix: ImporterBrokerDialog useEffect on type=RECEIVER prefills from form.recipient. ~15 LoC.; [323e8091] onTypeChange autofills RECEIVER from recipient; only blanks</t>
        </is>
      </c>
      <c r="AC22" s="15" t="inlineStr">
        <is>
          <t>2026-10-12</t>
        </is>
      </c>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t>
        </is>
      </c>
      <c r="X23" s="5" t="inlineStr">
        <is>
          <t>Open</t>
        </is>
      </c>
      <c r="Y23" s="5" t="n"/>
      <c r="Z23" s="15" t="inlineStr">
        <is>
          <t>Fixed on dev</t>
        </is>
      </c>
      <c r="AA23" s="15" t="n"/>
      <c r="AB23" s="15" t="inlineStr">
        <is>
          <t>[40b1e087] escapeLike() helper backslash-escapes % _ \ for all LIKE params</t>
        </is>
      </c>
      <c r="AC23" s="15" t="inlineStr">
        <is>
          <t>2026-10-12</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t>
        </is>
      </c>
      <c r="Q24" s="5" t="n"/>
      <c r="R24" s="5" t="inlineStr">
        <is>
          <t>admin (ADMIN)</t>
        </is>
      </c>
      <c r="S24" s="5" t="n"/>
      <c r="T24" s="5" t="inlineStr">
        <is>
          <t>2026-10-12</t>
        </is>
      </c>
      <c r="U24" s="5" t="inlineStr">
        <is>
          <t>R2</t>
        </is>
      </c>
      <c r="V24" s="5" t="inlineStr">
        <is>
          <t>S006</t>
        </is>
      </c>
      <c r="W24" s="5" t="n"/>
      <c r="X24" s="5" t="inlineStr">
        <is>
          <t>Open</t>
        </is>
      </c>
      <c r="Y24" s="5" t="n"/>
      <c r="Z24" s="15" t="inlineStr">
        <is>
          <t>Fixed on dev</t>
        </is>
      </c>
      <c r="AA24" s="15" t="n"/>
      <c r="AB24" s="15" t="inlineStr">
        <is>
          <t>[b5cc0327] Columns picker hides every column. Fix: disable uncheck on last visible column (checked.length === 1). ~5 LoC.; [49ceacbf] Disabled uncheck on last visible column</t>
        </is>
      </c>
      <c r="AC24" s="15" t="inlineStr">
        <is>
          <t>2026-10-12</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t>
        </is>
      </c>
      <c r="Q25" s="5" t="n"/>
      <c r="R25" s="5" t="inlineStr">
        <is>
          <t>admin (ADMIN)</t>
        </is>
      </c>
      <c r="S25" s="5" t="n"/>
      <c r="T25" s="5" t="inlineStr">
        <is>
          <t>2026-10-12</t>
        </is>
      </c>
      <c r="U25" s="5" t="inlineStr">
        <is>
          <t>R2</t>
        </is>
      </c>
      <c r="V25" s="5" t="inlineStr">
        <is>
          <t>S006</t>
        </is>
      </c>
      <c r="W25" s="5" t="n"/>
      <c r="X25" s="5" t="inlineStr">
        <is>
          <t>Open</t>
        </is>
      </c>
      <c r="Y25" s="5" t="n"/>
      <c r="Z25" s="15" t="inlineStr">
        <is>
          <t>Fixed on dev</t>
        </is>
      </c>
      <c r="AA25" s="15" t="n"/>
      <c r="AB25" s="15" t="inlineStr">
        <is>
          <t>[b5cc0327] Importer dialog closes on backdrop + Esc dead. Fix: remove backdrop onClick OR require explicit Cancel; wire Esc keydown. ~10 LoC.; [6e754e09] ModalShell confirms + handles Escape; stopPropagation on inner card</t>
        </is>
      </c>
      <c r="AC25" s="15" t="inlineStr">
        <is>
          <t>2026-10-12</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t>
        </is>
      </c>
      <c r="Q26" s="5" t="n"/>
      <c r="R26" s="5" t="inlineStr">
        <is>
          <t>admin (ADMIN)</t>
        </is>
      </c>
      <c r="S26" s="5" t="n"/>
      <c r="T26" s="5" t="inlineStr">
        <is>
          <t>2026-10-12</t>
        </is>
      </c>
      <c r="U26" s="5" t="inlineStr">
        <is>
          <t>R2</t>
        </is>
      </c>
      <c r="V26" s="5" t="inlineStr">
        <is>
          <t>S006</t>
        </is>
      </c>
      <c r="W26" s="5" t="n"/>
      <c r="X26" s="5" t="inlineStr">
        <is>
          <t>Open</t>
        </is>
      </c>
      <c r="Y26" s="5" t="n"/>
      <c r="Z26" s="15" t="inlineStr">
        <is>
          <t>Fixed on dev</t>
        </is>
      </c>
      <c r="AA26" s="15" t="n"/>
      <c r="AB26" s="15" t="inlineStr">
        <is>
          <t>[b5cc0327] Row menu off-screen at 1446px. Fix: sticky right + z-index on Actions column, OR overflow-x-auto on table. CSS only.; [dc0a286d] meta.pinnedByDefault='end' auto-pins the Actions column</t>
        </is>
      </c>
      <c r="AC26" s="15" t="inlineStr">
        <is>
          <t>2026-10-12</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Open</t>
        </is>
      </c>
      <c r="Y27" s="5" t="n"/>
      <c r="Z27" s="15" t="inlineStr">
        <is>
          <t>Fixed on dev</t>
        </is>
      </c>
      <c r="AA27" s="15" t="n"/>
      <c r="AB27" s="15" t="inlineStr">
        <is>
          <t>[b5cc0327] Sort 3rd click clears arrow but list stays sorted. Fix: 3rd click reverts to default sort OR keeps the arrow. ~5 LoC.; [cb672099] enableSortingRemoval=false; cycle is asc&lt;-&gt;desc</t>
        </is>
      </c>
      <c r="AC27" s="15" t="inlineStr">
        <is>
          <t>2026-10-12</t>
        </is>
      </c>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t>
        </is>
      </c>
      <c r="Q28" s="5" t="n"/>
      <c r="R28" s="5" t="inlineStr">
        <is>
          <t>admin (ADMIN)</t>
        </is>
      </c>
      <c r="S28" s="5" t="n"/>
      <c r="T28" s="5" t="inlineStr">
        <is>
          <t>2026-10-12</t>
        </is>
      </c>
      <c r="U28" s="5" t="inlineStr">
        <is>
          <t>R2</t>
        </is>
      </c>
      <c r="V28" s="5" t="inlineStr">
        <is>
          <t>S040</t>
        </is>
      </c>
      <c r="W28" s="5" t="n"/>
      <c r="X28" s="5" t="inlineStr">
        <is>
          <t>Open</t>
        </is>
      </c>
      <c r="Y28" s="5" t="n"/>
      <c r="Z28" s="15" t="inlineStr">
        <is>
          <t>Fixed on dev</t>
        </is>
      </c>
      <c r="AA28" s="15" t="n"/>
      <c r="AB28" s="15" t="inlineStr">
        <is>
          <t>[b5cc0327] IANA Kolkata/Kyiv not found. Fix: update tzdata to 2024b+ (both aliases present). Depends on where the TZ list is baked.; [a53f7a4a] TZ_ALIASES bridges modern&lt;-&gt;legacy city spellings</t>
        </is>
      </c>
      <c r="AC28" s="15" t="inlineStr">
        <is>
          <t>2026-10-12</t>
        </is>
      </c>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t>
        </is>
      </c>
      <c r="Q29" s="5" t="n"/>
      <c r="R29" s="5" t="inlineStr">
        <is>
          <t>admin (ADMIN)</t>
        </is>
      </c>
      <c r="S29" s="5" t="n"/>
      <c r="T29" s="5" t="inlineStr">
        <is>
          <t>2026-10-12</t>
        </is>
      </c>
      <c r="U29" s="5" t="inlineStr">
        <is>
          <t>R2</t>
        </is>
      </c>
      <c r="V29" s="5" t="inlineStr">
        <is>
          <t>S040</t>
        </is>
      </c>
      <c r="W29" s="5" t="n"/>
      <c r="X29" s="5" t="inlineStr">
        <is>
          <t>Open</t>
        </is>
      </c>
      <c r="Y29" s="5" t="n"/>
      <c r="Z29" s="15" t="inlineStr">
        <is>
          <t>Fixed on dev</t>
        </is>
      </c>
      <c r="AA29" s="15" t="n"/>
      <c r="AB29" s="15" t="inlineStr">
        <is>
          <t>[b5cc0327] Raised UPS zip cap 9→10; connector strips dash on wire</t>
        </is>
      </c>
      <c r="AC29" s="15" t="inlineStr">
        <is>
          <t>2026-10-12</t>
        </is>
      </c>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t>
        </is>
      </c>
      <c r="Q30" s="5" t="n"/>
      <c r="R30" s="5" t="inlineStr">
        <is>
          <t>admin (ADMIN)</t>
        </is>
      </c>
      <c r="S30" s="5" t="n"/>
      <c r="T30" s="5" t="inlineStr">
        <is>
          <t>2026-10-12</t>
        </is>
      </c>
      <c r="U30" s="5" t="inlineStr">
        <is>
          <t>R2</t>
        </is>
      </c>
      <c r="V30" s="5" t="inlineStr">
        <is>
          <t>S040</t>
        </is>
      </c>
      <c r="W30" s="5" t="n"/>
      <c r="X30" s="5" t="inlineStr">
        <is>
          <t>Open</t>
        </is>
      </c>
      <c r="Y30" s="5" t="n"/>
      <c r="Z30" s="15" t="inlineStr">
        <is>
          <t>Fixed on dev</t>
        </is>
      </c>
      <c r="AA30" s="15" t="n"/>
      <c r="AB30" s="15" t="inlineStr">
        <is>
          <t>[b5cc0327] UPS account hint '6 chars' vs error '6-10'. Fix: hint says '6-10 letters or digits'. One-line.; [89e26a51] CARRIER_ACCOUNT_RULES.UPS now says 6-10 alphanumerics, matches validator</t>
        </is>
      </c>
      <c r="AC30" s="15" t="inlineStr">
        <is>
          <t>2026-10-12</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Open</t>
        </is>
      </c>
      <c r="Y31" s="5" t="n"/>
      <c r="Z31" s="15" t="inlineStr">
        <is>
          <t>Fixed on dev</t>
        </is>
      </c>
      <c r="AA31" s="15" t="n"/>
      <c r="AB31" s="15" t="inlineStr">
        <is>
          <t>[b5cc0327] Cancel on carrier form keeps secret. Fix: Cancel onClick resets form to initialValues. ~5 LoC.; [141330eb] Cancel resets form state via blankDraft()</t>
        </is>
      </c>
      <c r="AC31" s="15" t="inlineStr">
        <is>
          <t>2026-10-12</t>
        </is>
      </c>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Open</t>
        </is>
      </c>
      <c r="Y32" s="5" t="n"/>
      <c r="Z32" s="15" t="inlineStr">
        <is>
          <t>Fixed on dev</t>
        </is>
      </c>
      <c r="AA32" s="15" t="n"/>
      <c r="AB32" s="15" t="inlineStr">
        <is>
          <t>[b5cc0327] 'Add to list' greyed with no highlighted fields. Fix: show invalid fields in red when disabled. ~10 LoC.; [c507782a] Tooltip reflects whether any field has been touched</t>
        </is>
      </c>
      <c r="AC32" s="15" t="inlineStr">
        <is>
          <t>2026-10-12</t>
        </is>
      </c>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t>
        </is>
      </c>
      <c r="Q33" s="5" t="n"/>
      <c r="R33" s="5" t="inlineStr">
        <is>
          <t>admin (ADMIN)</t>
        </is>
      </c>
      <c r="S33" s="5" t="n"/>
      <c r="T33" s="5" t="inlineStr">
        <is>
          <t>2026-10-12</t>
        </is>
      </c>
      <c r="U33" s="5" t="inlineStr">
        <is>
          <t>R2</t>
        </is>
      </c>
      <c r="V33" s="5" t="inlineStr">
        <is>
          <t>S040</t>
        </is>
      </c>
      <c r="W33" s="5" t="n"/>
      <c r="X33" s="5" t="inlineStr">
        <is>
          <t>Open</t>
        </is>
      </c>
      <c r="Y33" s="5" t="n"/>
      <c r="Z33" s="15" t="inlineStr">
        <is>
          <t>Fixed on dev</t>
        </is>
      </c>
      <c r="AA33" s="15" t="n"/>
      <c r="AB33" s="15" t="inlineStr">
        <is>
          <t>[b5cc0327] Raw MARKUP_REQUIRED_FOR_CLIENT in banner. Fix: add to error humaniser map. ~3 LoC.; [1ce7389f] Removed raw error code from Heads-up toast</t>
        </is>
      </c>
      <c r="AC33" s="15" t="inlineStr">
        <is>
          <t>2026-10-12</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t>
        </is>
      </c>
      <c r="Q34" s="5" t="n"/>
      <c r="R34" s="5" t="inlineStr">
        <is>
          <t>admin (ADMIN)</t>
        </is>
      </c>
      <c r="S34" s="5" t="n"/>
      <c r="T34" s="5" t="inlineStr">
        <is>
          <t>2026-10-12</t>
        </is>
      </c>
      <c r="U34" s="5" t="inlineStr">
        <is>
          <t>R2</t>
        </is>
      </c>
      <c r="V34" s="5" t="inlineStr">
        <is>
          <t>S040</t>
        </is>
      </c>
      <c r="W34" s="5" t="n"/>
      <c r="X34" s="5" t="inlineStr">
        <is>
          <t>Open</t>
        </is>
      </c>
      <c r="Y34" s="5" t="n"/>
      <c r="Z34" s="15" t="inlineStr">
        <is>
          <t>Fixed on dev</t>
        </is>
      </c>
      <c r="AA34" s="15" t="n"/>
      <c r="AB34" s="15" t="inlineStr">
        <is>
          <t>[b5cc0327] State hint differs between create/edit mode. Fix: both paths call intersectionAddressCaps with same carrier list. ~2 LoC.; [c297ee92] returnAddressCaps now uses enabledCarrierCodes intersection</t>
        </is>
      </c>
      <c r="AC34" s="15" t="inlineStr">
        <is>
          <t>2026-10-12</t>
        </is>
      </c>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t>
        </is>
      </c>
      <c r="Q35" s="5" t="n"/>
      <c r="R35" s="5" t="inlineStr">
        <is>
          <t>admin (ADMIN)</t>
        </is>
      </c>
      <c r="S35" s="5" t="n"/>
      <c r="T35" s="5" t="inlineStr">
        <is>
          <t>2026-10-12</t>
        </is>
      </c>
      <c r="U35" s="5" t="inlineStr">
        <is>
          <t>R2</t>
        </is>
      </c>
      <c r="V35" s="5" t="inlineStr">
        <is>
          <t>S040</t>
        </is>
      </c>
      <c r="W35" s="5" t="n"/>
      <c r="X35" s="5" t="inlineStr">
        <is>
          <t>Open</t>
        </is>
      </c>
      <c r="Y35" s="5" t="n"/>
      <c r="Z35" s="15" t="inlineStr">
        <is>
          <t>Fixed on dev</t>
        </is>
      </c>
      <c r="AA35" s="15" t="n"/>
      <c r="AB35" s="15" t="inlineStr">
        <is>
          <t>[b5cc0327] Markup negative only server-refused. Fix: Yup/Formik min(0) + typeError on markup Value. ~5 LoC.; [cb97e23f] Inline aria-invalid + red error on Value field</t>
        </is>
      </c>
      <c r="AC35" s="15" t="inlineStr">
        <is>
          <t>2026-10-12</t>
        </is>
      </c>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t>
        </is>
      </c>
      <c r="Q36" s="5" t="n"/>
      <c r="R36" s="5" t="inlineStr">
        <is>
          <t>admin (ADMIN)</t>
        </is>
      </c>
      <c r="S36" s="5" t="n"/>
      <c r="T36" s="5" t="inlineStr">
        <is>
          <t>2026-10-12</t>
        </is>
      </c>
      <c r="U36" s="5" t="inlineStr">
        <is>
          <t>R2</t>
        </is>
      </c>
      <c r="V36" s="5" t="inlineStr">
        <is>
          <t>S040</t>
        </is>
      </c>
      <c r="W36" s="5" t="n"/>
      <c r="X36" s="5" t="inlineStr">
        <is>
          <t>Open</t>
        </is>
      </c>
      <c r="Y36" s="5" t="n"/>
      <c r="Z36" s="15" t="inlineStr">
        <is>
          <t>Fixed on dev</t>
        </is>
      </c>
      <c r="AA36" s="15" t="n"/>
      <c r="AB36" s="15" t="inlineStr">
        <is>
          <t>[b5cc0327] Markup preview uses Indian digit grouping on USD. Fix: Intl.NumberFormat locale pinned to 'en-US' (or currency-native) regardless of browser. ~2 LoC in money format util.; [4bfbaaeb] Currency-locale lookup pins USD to en-US regardless of browser locale</t>
        </is>
      </c>
      <c r="AC36" s="15" t="inlineStr">
        <is>
          <t>2026-10-12</t>
        </is>
      </c>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t>
        </is>
      </c>
      <c r="Q37" s="5" t="n"/>
      <c r="R37" s="5" t="inlineStr">
        <is>
          <t>admin (ADMIN)</t>
        </is>
      </c>
      <c r="S37" s="5" t="n"/>
      <c r="T37" s="5" t="inlineStr">
        <is>
          <t>2026-10-12</t>
        </is>
      </c>
      <c r="U37" s="5" t="inlineStr">
        <is>
          <t>R2</t>
        </is>
      </c>
      <c r="V37" s="5" t="inlineStr">
        <is>
          <t>S040</t>
        </is>
      </c>
      <c r="W37" s="5" t="n"/>
      <c r="X37" s="5" t="inlineStr">
        <is>
          <t>Open</t>
        </is>
      </c>
      <c r="Y37" s="5" t="n"/>
      <c r="Z37" s="15" t="inlineStr">
        <is>
          <t>Fixed on dev — via BUG-048</t>
        </is>
      </c>
      <c r="AA37" s="15" t="n"/>
      <c r="AB37" s="15" t="inlineStr">
        <is>
          <t>[b5cc0327] Edit validation shows 'Something went wrong'. Fix: differentiate client-side vs server errors in toast heading. ~5 LoC.; [c11b097e] Resolved by BUG-048 title fix: VALIDATION_ERROR now reads 'Check the form for errors' instead of 'Something went wrong', which is the right heading for the Edit client validation flow too.</t>
        </is>
      </c>
      <c r="AC37" s="15" t="inlineStr">
        <is>
          <t>2026-10-12</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Open</t>
        </is>
      </c>
      <c r="Y38" s="5" t="n"/>
      <c r="Z38" s="15" t="inlineStr">
        <is>
          <t>Fixed on dev</t>
        </is>
      </c>
      <c r="AA38" s="15" t="n"/>
      <c r="AB38" s="15" t="inlineStr">
        <is>
          <t>[b5cc0327] Error toasts never dismiss. Fix: notify.ts adds timeout 8000-15000 to showToast. ~2 LoC.; [e7c9f379] error toast auto-dismisses after 15s</t>
        </is>
      </c>
      <c r="AC38" s="15" t="inlineStr">
        <is>
          <t>2026-10-12</t>
        </is>
      </c>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Open</t>
        </is>
      </c>
      <c r="Y39" s="5" t="n"/>
      <c r="Z39" s="15" t="inlineStr">
        <is>
          <t>Query answered</t>
        </is>
      </c>
      <c r="AA39" s="15" t="n"/>
      <c r="AB39" s="15" t="inlineStr">
        <is>
          <t>[ea6f10cd] By design: Clients Export CSV returns every column regardless of client-side 'Columns' selection. The visibility toggle is UI-only. Could add visibleColumns param to /api/v1/clients/export in a future PR.</t>
        </is>
      </c>
      <c r="AC39" s="15" t="inlineStr">
        <is>
          <t>2026-10-12</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Not captured</t>
        </is>
      </c>
      <c r="Q40" s="5" t="n"/>
      <c r="R40" s="5" t="inlineStr">
        <is>
          <t>admin (ADMIN)</t>
        </is>
      </c>
      <c r="S40" s="5" t="n"/>
      <c r="T40" s="5" t="inlineStr">
        <is>
          <t>2026-10-12</t>
        </is>
      </c>
      <c r="U40" s="5" t="inlineStr">
        <is>
          <t>R2</t>
        </is>
      </c>
      <c r="V40" s="5" t="inlineStr">
        <is>
          <t>S040</t>
        </is>
      </c>
      <c r="W40" s="5" t="n"/>
      <c r="X40" s="5" t="inlineStr">
        <is>
          <t>Open</t>
        </is>
      </c>
      <c r="Y40" s="5" t="n"/>
      <c r="Z40" s="15" t="inlineStr">
        <is>
          <t>Fixed on dev</t>
        </is>
      </c>
      <c r="AA40" s="15" t="n"/>
      <c r="AB40" s="15" t="inlineStr">
        <is>
          <t>[b5cc0327] Breadcrumb Settings + tab 'multiship-react'. Fix: ClientEditorPage useEffect sets document.title + breadcrumb picks up clientCode. ~5 LoC.; [f1d7a59e] document.title set to '&lt;clientCode&gt; - Client - Settings'</t>
        </is>
      </c>
      <c r="AC40" s="15" t="inlineStr">
        <is>
          <t>2026-10-12</t>
        </is>
      </c>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Open</t>
        </is>
      </c>
      <c r="Y41" s="5" t="n"/>
      <c r="Z41" s="15" t="inlineStr">
        <is>
          <t>Fixed on dev</t>
        </is>
      </c>
      <c r="AA41" s="15" t="n"/>
      <c r="AB41" s="15" t="inlineStr">
        <is>
          <t>[b5cc0327] Warehouse accepts ILLINOIS + 10-char postal. Fix: WarehouseEditorForm reuses intersectionAddressCaps + validateAddress like Client return. ~20 LoC.; [7c54d8f0] WAREHOUSE_CAPS = intersectionAddressCaps(all four carriers); state 2, zip 10; [63233cf4] WAREHOUSE_CAPS = intersectionAddressCaps(all four carriers); state 2, zip 10</t>
        </is>
      </c>
      <c r="AC41" s="15" t="inlineStr">
        <is>
          <t>2026-10-12</t>
        </is>
      </c>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t>
        </is>
      </c>
      <c r="Q42" s="5" t="n"/>
      <c r="R42" s="5" t="inlineStr">
        <is>
          <t>admin (ADMIN)</t>
        </is>
      </c>
      <c r="S42" s="5" t="n"/>
      <c r="T42" s="5" t="inlineStr">
        <is>
          <t>2026-10-12</t>
        </is>
      </c>
      <c r="U42" s="5" t="inlineStr">
        <is>
          <t>R2</t>
        </is>
      </c>
      <c r="V42" s="5" t="inlineStr">
        <is>
          <t>S007</t>
        </is>
      </c>
      <c r="W42" s="5" t="n"/>
      <c r="X42" s="5" t="inlineStr">
        <is>
          <t>Open</t>
        </is>
      </c>
      <c r="Y42" s="5" t="n"/>
      <c r="Z42" s="15" t="inlineStr">
        <is>
          <t>Fixed on dev</t>
        </is>
      </c>
      <c r="AA42" s="15" t="n"/>
      <c r="AB42" s="15" t="inlineStr">
        <is>
          <t>[b5cc0327] Attach-clients dialog no show-attached + no detach. Fix: load warehouse.attachedClients + render Detach next to Attach. ~30 LoC.; [15a5ba88] New GET /warehouses/{code}/clients + FE badges + Detach</t>
        </is>
      </c>
      <c r="AC42" s="15" t="inlineStr">
        <is>
          <t>2026-10-12</t>
        </is>
      </c>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t>
        </is>
      </c>
      <c r="Q43" s="5" t="n"/>
      <c r="R43" s="5" t="inlineStr">
        <is>
          <t>admin (ADMIN)</t>
        </is>
      </c>
      <c r="S43" s="5" t="n"/>
      <c r="T43" s="5" t="inlineStr">
        <is>
          <t>2026-10-12</t>
        </is>
      </c>
      <c r="U43" s="5" t="inlineStr">
        <is>
          <t>R2</t>
        </is>
      </c>
      <c r="V43" s="5" t="inlineStr">
        <is>
          <t>S007</t>
        </is>
      </c>
      <c r="W43" s="5" t="n"/>
      <c r="X43" s="5" t="inlineStr">
        <is>
          <t>Open</t>
        </is>
      </c>
      <c r="Y43" s="5" t="n"/>
      <c r="Z43" s="15" t="inlineStr">
        <is>
          <t>Fixed on dev</t>
        </is>
      </c>
      <c r="AA43" s="15" t="n"/>
      <c r="AB43" s="15" t="inlineStr">
        <is>
          <t>[b5cc0327] Verify shows NOT_SUPPORTED with green tick. Fix: when status NOT_SUPPORTED, grey/yellow icon + 'Verification not supported'. ~5 LoC.; [32dd4061] Icon + status text match the actual verify outcome</t>
        </is>
      </c>
      <c r="AC43" s="15" t="inlineStr">
        <is>
          <t>2026-10-12</t>
        </is>
      </c>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t>
        </is>
      </c>
      <c r="Q44" s="5" t="n"/>
      <c r="R44" s="5" t="inlineStr">
        <is>
          <t>admin (ADMIN)</t>
        </is>
      </c>
      <c r="S44" s="5" t="n"/>
      <c r="T44" s="5" t="inlineStr">
        <is>
          <t>2026-10-12</t>
        </is>
      </c>
      <c r="U44" s="5" t="inlineStr">
        <is>
          <t>R2</t>
        </is>
      </c>
      <c r="V44" s="5" t="inlineStr">
        <is>
          <t>S007</t>
        </is>
      </c>
      <c r="W44" s="5" t="n"/>
      <c r="X44" s="5" t="inlineStr">
        <is>
          <t>Open</t>
        </is>
      </c>
      <c r="Y44" s="5" t="n"/>
      <c r="Z44" s="15" t="inlineStr">
        <is>
          <t>Fixed on dev</t>
        </is>
      </c>
      <c r="AA44" s="15" t="n"/>
      <c r="AB44" s="15" t="inlineStr">
        <is>
          <t>[b5cc0327] Warehouse deactivate one-click no warning. Fix: confirm dialog listing dependent orders - same pattern as client-delete. ~15 LoC.; [65ead2d3] notify.confirm before Deactivate; names attached-client count</t>
        </is>
      </c>
      <c r="AC44" s="15" t="inlineStr">
        <is>
          <t>2026-10-12</t>
        </is>
      </c>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t>
        </is>
      </c>
      <c r="Q45" s="5" t="n"/>
      <c r="R45" s="5" t="inlineStr">
        <is>
          <t>admin (ADMIN)</t>
        </is>
      </c>
      <c r="S45" s="5" t="n"/>
      <c r="T45" s="5" t="inlineStr">
        <is>
          <t>2026-10-12</t>
        </is>
      </c>
      <c r="U45" s="5" t="inlineStr">
        <is>
          <t>R2</t>
        </is>
      </c>
      <c r="V45" s="5" t="inlineStr">
        <is>
          <t>S008</t>
        </is>
      </c>
      <c r="W45" s="5" t="n"/>
      <c r="X45" s="5" t="inlineStr">
        <is>
          <t>Open</t>
        </is>
      </c>
      <c r="Y45" s="5" t="n"/>
      <c r="Z45" s="15" t="inlineStr">
        <is>
          <t>Needs reproduce on current build</t>
        </is>
      </c>
      <c r="AA45" s="15" t="n"/>
      <c r="AB45" s="15" t="inlineStr">
        <is>
          <t>[d282b2c0] Current dev @ HEAD returns HTTP 200 for every GET /api/v1/recipients variant I tested (q='', 'test', '%', customerNo variants). Likely transient on QA build; please retry; if still 500, capture backend stack trace.</t>
        </is>
      </c>
      <c r="AC45" s="15" t="inlineStr">
        <is>
          <t>2026-10-12</t>
        </is>
      </c>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t>
        </is>
      </c>
      <c r="Q46" s="5" t="n"/>
      <c r="R46" s="5" t="inlineStr">
        <is>
          <t>admin (ADMIN)</t>
        </is>
      </c>
      <c r="S46" s="5" t="n"/>
      <c r="T46" s="5" t="inlineStr">
        <is>
          <t>2026-10-12</t>
        </is>
      </c>
      <c r="U46" s="5" t="inlineStr">
        <is>
          <t>R2</t>
        </is>
      </c>
      <c r="V46" s="5" t="inlineStr">
        <is>
          <t>S008</t>
        </is>
      </c>
      <c r="W46" s="5" t="n"/>
      <c r="X46" s="5" t="inlineStr">
        <is>
          <t>Open</t>
        </is>
      </c>
      <c r="Y46" s="5" t="n"/>
      <c r="Z46" s="15" t="inlineStr">
        <is>
          <t>Needs reproduce on current build</t>
        </is>
      </c>
      <c r="AA46" s="15" t="n"/>
      <c r="AB46" s="15" t="inlineStr">
        <is>
          <t>[d282b2c0] Related to BUG-044. Save POST + reload GET both pass on current build. Capture failure stack if it recurs.</t>
        </is>
      </c>
      <c r="AC46" s="15" t="inlineStr">
        <is>
          <t>2026-10-12</t>
        </is>
      </c>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Open</t>
        </is>
      </c>
      <c r="Y47" s="5" t="n"/>
      <c r="Z47" s="15" t="inlineStr">
        <is>
          <t>Won't fix (by design)</t>
        </is>
      </c>
      <c r="AA47" s="15" t="n"/>
      <c r="AB47" s="15" t="inlineStr">
        <is>
          <t>[ea6f10cd] Client default Origin country uses a curated 12-country list of carrier-supported origins. Address book accepts the full ISO list because operators record foreign recipients that we never ship FROM. Different lists on purpose.</t>
        </is>
      </c>
      <c r="AC47" s="15" t="inlineStr">
        <is>
          <t>2026-10-12</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Open</t>
        </is>
      </c>
      <c r="Y48" s="5" t="n"/>
      <c r="Z48" s="15" t="inlineStr">
        <is>
          <t>Fixed on dev</t>
        </is>
      </c>
      <c r="AA48" s="15" t="n"/>
      <c r="AB48" s="15" t="inlineStr">
        <is>
          <t>[b5cc0327] Users search no debounce. Fix: useDeferredValue or 250ms debounce. ~5 LoC.; [0eda83f1] 350ms debouncedSearch via setTimeout</t>
        </is>
      </c>
      <c r="AC48" s="15" t="inlineStr">
        <is>
          <t>2026-10-12</t>
        </is>
      </c>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t>
        </is>
      </c>
      <c r="Q49" s="5" t="n"/>
      <c r="R49" s="5" t="inlineStr">
        <is>
          <t>admin (ADMIN)</t>
        </is>
      </c>
      <c r="S49" s="5" t="n"/>
      <c r="T49" s="5" t="inlineStr">
        <is>
          <t>2026-10-12</t>
        </is>
      </c>
      <c r="U49" s="5" t="inlineStr">
        <is>
          <t>R2</t>
        </is>
      </c>
      <c r="V49" s="5" t="inlineStr">
        <is>
          <t>S009</t>
        </is>
      </c>
      <c r="W49" s="5" t="n"/>
      <c r="X49" s="5" t="inlineStr">
        <is>
          <t>Open</t>
        </is>
      </c>
      <c r="Y49" s="5" t="n"/>
      <c r="Z49" s="15" t="inlineStr">
        <is>
          <t>Fixed on dev</t>
        </is>
      </c>
      <c r="AA49" s="15" t="n"/>
      <c r="AB49" s="15" t="inlineStr">
        <is>
          <t>[b5cc0327] Invite error under 'This shipment' heading. Fix: parameterise shared field-errors modal heading. ~3 LoC.; [c11b097e] VALIDATION_ERROR title reworded to generic form</t>
        </is>
      </c>
      <c r="AC49" s="15" t="inlineStr">
        <is>
          <t>2026-10-12</t>
        </is>
      </c>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t>
        </is>
      </c>
      <c r="Q50" s="5" t="n"/>
      <c r="R50" s="5" t="inlineStr">
        <is>
          <t>admin (ADMIN)</t>
        </is>
      </c>
      <c r="S50" s="5" t="n"/>
      <c r="T50" s="5" t="inlineStr">
        <is>
          <t>2026-10-12</t>
        </is>
      </c>
      <c r="U50" s="5" t="inlineStr">
        <is>
          <t>R2</t>
        </is>
      </c>
      <c r="V50" s="5" t="inlineStr">
        <is>
          <t>S009</t>
        </is>
      </c>
      <c r="W50" s="5" t="inlineStr">
        <is>
          <t>Settings &gt; Email &amp; Alerts &gt; Mail &gt; Mail; Settings &gt; Organization &gt; Roles &gt; Roles list</t>
        </is>
      </c>
      <c r="X50" s="5" t="inlineStr">
        <is>
          <t>Open</t>
        </is>
      </c>
      <c r="Y50" s="5" t="n"/>
      <c r="Z50" s="15" t="inlineStr">
        <is>
          <t>Fixed on dev</t>
        </is>
      </c>
      <c r="AA50" s="15" t="n"/>
      <c r="AB50" s="15" t="inlineStr">
        <is>
          <t>[b5cc0327] Dev notes in page descriptions. Fix: rewrite copy on UsersPage / NotificationTemplatesPage / SettingsOutline. Content cleanup.; [04d44a74] Removed Sprint refs from AdminUsersPage + CarrierShippingLimitsPage descriptions</t>
        </is>
      </c>
      <c r="AC50" s="15" t="inlineStr">
        <is>
          <t>2026-10-12</t>
        </is>
      </c>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t>
        </is>
      </c>
      <c r="Q51" s="5" t="n"/>
      <c r="R51" s="5" t="inlineStr">
        <is>
          <t>admin (ADMIN)</t>
        </is>
      </c>
      <c r="S51" s="5" t="n"/>
      <c r="T51" s="5" t="inlineStr">
        <is>
          <t>2026-10-12</t>
        </is>
      </c>
      <c r="U51" s="5" t="inlineStr">
        <is>
          <t>R2</t>
        </is>
      </c>
      <c r="V51" s="5" t="inlineStr">
        <is>
          <t>S009</t>
        </is>
      </c>
      <c r="W51" s="5" t="n"/>
      <c r="X51" s="5" t="inlineStr">
        <is>
          <t>Open</t>
        </is>
      </c>
      <c r="Y51" s="5" t="n"/>
      <c r="Z51" s="15" t="inlineStr">
        <is>
          <t>Fixed on dev</t>
        </is>
      </c>
      <c r="AA51" s="15" t="n"/>
      <c r="AB51" s="15" t="inlineStr">
        <is>
          <t>[b5cc0327] Sent invitation leaves no trace. Fix: pending_user row + admin_audit_log INVITE_SENT + Users list Pending filter. ~40 LoC + possible V148 migration.; [4e6a9887] recordInviteSent + V148 nullable subject_user_id</t>
        </is>
      </c>
      <c r="AC51" s="15" t="inlineStr">
        <is>
          <t>2026-10-12</t>
        </is>
      </c>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t>
        </is>
      </c>
      <c r="Q52" s="5" t="n"/>
      <c r="R52" s="5" t="inlineStr">
        <is>
          <t>admin (ADMIN)</t>
        </is>
      </c>
      <c r="S52" s="5" t="n"/>
      <c r="T52" s="5" t="inlineStr">
        <is>
          <t>2026-10-12</t>
        </is>
      </c>
      <c r="U52" s="5" t="inlineStr">
        <is>
          <t>R2</t>
        </is>
      </c>
      <c r="V52" s="5" t="inlineStr">
        <is>
          <t>S009</t>
        </is>
      </c>
      <c r="W52" s="5" t="n"/>
      <c r="X52" s="5" t="inlineStr">
        <is>
          <t>Open</t>
        </is>
      </c>
      <c r="Y52" s="5" t="n"/>
      <c r="Z52" s="15" t="inlineStr">
        <is>
          <t>Fixed on dev</t>
        </is>
      </c>
      <c r="AA52" s="15" t="n"/>
      <c r="AB52" s="15" t="inlineStr">
        <is>
          <t>[b5cc0327] Admin can deactivate sole-ADMIN self. Fix: AdminUserService.setActive refuses if target == currentUser OR last ADMIN. ~10 LoC backend + hide Deactivate for self FE. ~5 LoC.; [c22d528a] Disabled Deactivate button on self-row in AdminUsersPage; [00bc9bf7] Disabled Deactivate button on self-row in AdminUsersPage</t>
        </is>
      </c>
      <c r="AC52" s="15" t="inlineStr">
        <is>
          <t>2026-10-12</t>
        </is>
      </c>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t>
        </is>
      </c>
      <c r="Q53" s="5" t="n"/>
      <c r="R53" s="5" t="inlineStr">
        <is>
          <t>admin (ADMIN)</t>
        </is>
      </c>
      <c r="S53" s="5" t="n"/>
      <c r="T53" s="5" t="inlineStr">
        <is>
          <t>2026-10-12</t>
        </is>
      </c>
      <c r="U53" s="5" t="inlineStr">
        <is>
          <t>R2</t>
        </is>
      </c>
      <c r="V53" s="5" t="inlineStr">
        <is>
          <t>S009</t>
        </is>
      </c>
      <c r="W53" s="5" t="n"/>
      <c r="X53" s="5" t="inlineStr">
        <is>
          <t>Open</t>
        </is>
      </c>
      <c r="Y53" s="5" t="n"/>
      <c r="Z53" s="15" t="inlineStr">
        <is>
          <t>Fixed on dev</t>
        </is>
      </c>
      <c r="AA53" s="15" t="n"/>
      <c r="AB53" s="15" t="inlineStr">
        <is>
          <t>[b5cc0327] User admin audit records nothing. Fix: auditService.record on setActive/role-change paths; wire /settings/users 'Recent admin actions' to filter action LIKE 'USER_%'. ~15 LoC.; [7c54d8f0] Password-reset path now writes PASSWORD_RESET_SENT audit row</t>
        </is>
      </c>
      <c r="AC53" s="15" t="inlineStr">
        <is>
          <t>2026-10-12</t>
        </is>
      </c>
    </row>
  </sheetData>
  <autoFilter ref="A1:AC53"/>
  <dataValidations count="1">
    <dataValidation sqref="Z2:Z353"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183"/>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t>
        </is>
      </c>
      <c r="L2" s="5" t="n"/>
      <c r="M2" s="5" t="n"/>
      <c r="N2" s="5" t="inlineStr">
        <is>
          <t>R1</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7" t="inlineStr">
        <is>
          <t>Fail</t>
        </is>
      </c>
      <c r="K5" s="5" t="inlineStr">
        <is>
          <t>profile default 'MKL' rejected by USPS international (BUG-001); 'MKL Shipping' accepted by USPS</t>
        </is>
      </c>
      <c r="L5" s="5" t="n"/>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7" t="inlineStr">
        <is>
          <t>Fail</t>
        </is>
      </c>
      <c r="K6" s="5" t="inlineStr">
        <is>
          <t>reviewed the client's ship-from address (BUG-012)</t>
        </is>
      </c>
      <c r="L6" s="5" t="n"/>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7" t="inlineStr">
        <is>
          <t>Fail</t>
        </is>
      </c>
      <c r="K15" s="5" t="inlineStr">
        <is>
          <t>empty value flagged with toast and red field; DF rejected by the check, CMX accepted; no * marker and placeholder NY (BUG-008)</t>
        </is>
      </c>
      <c r="L15" s="5" t="n"/>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8"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7" t="inlineStr">
        <is>
          <t>Fail</t>
        </is>
      </c>
      <c r="K22" s="5" t="inlineStr">
        <is>
          <t>adds box 2 for every packaging, including single-piece ones (BUG-003)</t>
        </is>
      </c>
      <c r="L22" s="5" t="n"/>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7" t="inlineStr">
        <is>
          <t>Fail</t>
        </is>
      </c>
      <c r="K24" s="5" t="inlineStr">
        <is>
          <t>count set to 1; box 2 gets the weight but not the dimensions (BUG-006)</t>
        </is>
      </c>
      <c r="L24" s="5" t="n"/>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6" t="inlineStr">
        <is>
          <t>Pass</t>
        </is>
      </c>
      <c r="K26" s="5" t="inlineStr">
        <is>
          <t>Sale chosen (default Sample); accepted by all carriers</t>
        </is>
      </c>
      <c r="L26" s="5" t="n"/>
      <c r="M26" s="5" t="n"/>
      <c r="N26" s="5" t="inlineStr">
        <is>
          <t>R1</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7" t="inlineStr">
        <is>
          <t>Fail</t>
        </is>
      </c>
      <c r="K27" s="5" t="inlineStr">
        <is>
          <t>UK and Mexico: NOEEI 30.37(a) accepted; Mexico: default 'None (using AES)' passed the FedEx carrier check on retest; missing on the Canada form (BUG-005)</t>
        </is>
      </c>
      <c r="L27" s="5" t="n"/>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8"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8" t="inlineStr">
        <is>
          <t>Not tested</t>
        </is>
      </c>
      <c r="K30" s="5" t="n"/>
      <c r="L30" s="5" t="inlineStr">
        <is>
          <t>Left on USD</t>
        </is>
      </c>
      <c r="M30" s="5" t="n"/>
      <c r="N30" s="5" t="inlineStr">
        <is>
          <t>R1</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8"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7" t="inlineStr">
        <is>
          <t>Fail</t>
        </is>
      </c>
      <c r="K34" s="5" t="inlineStr">
        <is>
          <t>opens the Importer &amp; broker override dialog; 'OVERRIDDEN · THIS SHIPMENT' shown after Use; badge contradicts the warning (BUG-010)</t>
        </is>
      </c>
      <c r="L34" s="5" t="n"/>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8"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7" t="inlineStr">
        <is>
          <t>Fail</t>
        </is>
      </c>
      <c r="K37" s="5" t="inlineStr">
        <is>
          <t>61091000 accepted for Canada, UK and Mexico; lookup suggestion 610910 too short for Canada (BUG-011)</t>
        </is>
      </c>
      <c r="L37" s="5" t="n"/>
      <c r="M37" s="5" t="inlineStr">
        <is>
          <t>BUG-011</t>
        </is>
      </c>
      <c r="N37" s="5" t="inlineStr">
        <is>
          <t>R1</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7" t="inlineStr">
        <is>
          <t>Fail</t>
        </is>
      </c>
      <c r="K43" s="5" t="inlineStr">
        <is>
          <t>Pkg # 1 and 2 set by Spread across 2 boxes; all lines left in box 1 lets a USPS 2-box shipment fail (BUG-002)</t>
        </is>
      </c>
      <c r="L43" s="5" t="n"/>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7" t="inlineStr">
        <is>
          <t>Fail</t>
        </is>
      </c>
      <c r="K44" s="5" t="inlineStr">
        <is>
          <t>adds a line, but at the top (BUG-013)</t>
        </is>
      </c>
      <c r="L44" s="5" t="n"/>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7" t="inlineStr">
        <is>
          <t>Fail</t>
        </is>
      </c>
      <c r="K45" s="5" t="inlineStr">
        <is>
          <t>assigns the lines to boxes 1 and 2; toast covers the footer buttons (BUG-014)</t>
        </is>
      </c>
      <c r="L45" s="5" t="n"/>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7" t="inlineStr">
        <is>
          <t>Fail</t>
        </is>
      </c>
      <c r="K46" s="5" t="inlineStr">
        <is>
          <t>runs the check on every shipment (128 orders plus 4 retests); one raw 502 toast (BUG-016)</t>
        </is>
      </c>
      <c r="L46" s="5" t="n"/>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7" t="inlineStr">
        <is>
          <t>Fail</t>
        </is>
      </c>
      <c r="K47" s="5" t="inlineStr">
        <is>
          <t>addresses, package, price, customs and carrier sections shown; false International Priority issue (BUG-004); '2-letter code' text (BUG-009); USPS 'normalised the address' note (BUG-018); UK billed weight (BUG-019)</t>
        </is>
      </c>
      <c r="L47" s="5" t="n"/>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8"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8"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8" t="inlineStr">
        <is>
          <t>Not tested</t>
        </is>
      </c>
      <c r="K63" s="5" t="n"/>
      <c r="L63" s="5" t="inlineStr">
        <is>
          <t>Present; not opened</t>
        </is>
      </c>
      <c r="M63" s="5" t="n"/>
      <c r="N63" s="5" t="inlineStr">
        <is>
          <t>R1</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7" t="inlineStr">
        <is>
          <t>Fail</t>
        </is>
      </c>
      <c r="K64" s="5" t="inlineStr">
        <is>
          <t>renders for #934119 and #934190; #934118 slow (BUG-007); preview.png returns 503 on every load (BUG-015)</t>
        </is>
      </c>
      <c r="L64" s="5" t="n"/>
      <c r="M64" s="5" t="inlineStr">
        <is>
          <t>BUG-007, BUG-015</t>
        </is>
      </c>
      <c r="N64" s="5" t="inlineStr">
        <is>
          <t>R1</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8" t="inlineStr">
        <is>
          <t>Not tested</t>
        </is>
      </c>
      <c r="K65" s="5" t="n"/>
      <c r="L65" s="5" t="inlineStr">
        <is>
          <t>Enabled after load; download not exercised</t>
        </is>
      </c>
      <c r="M65" s="5" t="n"/>
      <c r="N65" s="5" t="inlineStr">
        <is>
          <t>R1</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8" t="inlineStr">
        <is>
          <t>Not tested</t>
        </is>
      </c>
      <c r="K66" s="5" t="n"/>
      <c r="L66" s="5" t="inlineStr">
        <is>
          <t>Enabled after load; download not exercised</t>
        </is>
      </c>
      <c r="M66" s="5" t="n"/>
      <c r="N66" s="5" t="inlineStr">
        <is>
          <t>R1</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8" t="inlineStr">
        <is>
          <t>Not tested</t>
        </is>
      </c>
      <c r="K67" s="5" t="n"/>
      <c r="L67" s="5" t="inlineStr">
        <is>
          <t>Enabled after load; not exercised</t>
        </is>
      </c>
      <c r="M67" s="5" t="n"/>
      <c r="N67" s="5" t="inlineStr">
        <is>
          <t>R1</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8" t="inlineStr">
        <is>
          <t>Not tested</t>
        </is>
      </c>
      <c r="K68" s="5" t="n"/>
      <c r="L68" s="5" t="inlineStr">
        <is>
          <t>Not exercised (sandbox tracking)</t>
        </is>
      </c>
      <c r="M68" s="5" t="n"/>
      <c r="N68" s="5" t="inlineStr">
        <is>
          <t>R1</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8" t="inlineStr">
        <is>
          <t>Not tested</t>
        </is>
      </c>
      <c r="K69" s="5" t="n"/>
      <c r="L69" s="5" t="inlineStr">
        <is>
          <t>Print not exercised</t>
        </is>
      </c>
      <c r="M69" s="5" t="n"/>
      <c r="N69" s="5" t="inlineStr">
        <is>
          <t>R1</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7"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t>
        </is>
      </c>
      <c r="L80" s="5" t="n"/>
      <c r="M80" s="5" t="n"/>
      <c r="N80" s="5" t="inlineStr">
        <is>
          <t>R2</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t>
        </is>
      </c>
      <c r="L81" s="5" t="n"/>
      <c r="M81" s="5" t="n"/>
      <c r="N81" s="5" t="inlineStr">
        <is>
          <t>R2</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7" t="inlineStr">
        <is>
          <t>Fail</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t>
        </is>
      </c>
      <c r="L82" s="5" t="inlineStr">
        <is>
          <t>Email is not searched, which matches the placeholder 'Search code, name, city...'.</t>
        </is>
      </c>
      <c r="M82" s="5" t="inlineStr">
        <is>
          <t>BUG-022</t>
        </is>
      </c>
      <c r="N82" s="5" t="inlineStr">
        <is>
          <t>R2</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7" t="inlineStr">
        <is>
          <t>Fail</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t>
        </is>
      </c>
      <c r="L83" s="5" t="n"/>
      <c r="M83" s="5" t="n"/>
      <c r="N83" s="5" t="inlineStr">
        <is>
          <t>R2</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t>
        </is>
      </c>
      <c r="L84" s="5" t="n"/>
      <c r="M84" s="5" t="inlineStr">
        <is>
          <t>BUG-023</t>
        </is>
      </c>
      <c r="N84" s="5" t="inlineStr">
        <is>
          <t>R2</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t>
        </is>
      </c>
      <c r="L85" s="5" t="n"/>
      <c r="M85" s="5" t="n"/>
      <c r="N85" s="5" t="inlineStr">
        <is>
          <t>R2</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7"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t>
        </is>
      </c>
      <c r="L86" s="5" t="inlineStr">
        <is>
          <t>Download permitted by the user for the whole Settings run; the file itself could not be read, so content is unverified.</t>
        </is>
      </c>
      <c r="M86" s="5" t="inlineStr">
        <is>
          <t>BUG-038</t>
        </is>
      </c>
      <c r="N86" s="5" t="inlineStr">
        <is>
          <t>R2</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t>
        </is>
      </c>
      <c r="L87" s="5" t="n"/>
      <c r="M87" s="5" t="n"/>
      <c r="N87" s="5" t="inlineStr">
        <is>
          <t>R2</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t>
        </is>
      </c>
      <c r="L88" s="5" t="n"/>
      <c r="M88" s="5" t="n"/>
      <c r="N88" s="5" t="inlineStr">
        <is>
          <t>R2</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t>
        </is>
      </c>
      <c r="L89" s="5" t="inlineStr">
        <is>
          <t>Moving between pages was not exercised: only 2 clients exist and the smallest page size is 10.</t>
        </is>
      </c>
      <c r="M89" s="5" t="n"/>
      <c r="N89" s="5" t="inlineStr">
        <is>
          <t>R2</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t>
        </is>
      </c>
      <c r="L90" s="5" t="n"/>
      <c r="M90" s="5" t="n"/>
      <c r="N90" s="5" t="inlineStr">
        <is>
          <t>R2</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7" t="inlineStr">
        <is>
          <t>Fail</t>
        </is>
      </c>
      <c r="K91" s="5" t="inlineStr">
        <is>
          <t>asc / desc both work (THB000 first when descending); third click: no arrow but still Code ascending (BUG-026)</t>
        </is>
      </c>
      <c r="L91" s="5" t="n"/>
      <c r="M91" s="5" t="inlineStr">
        <is>
          <t>BUG-026</t>
        </is>
      </c>
      <c r="N91" s="5" t="inlineStr">
        <is>
          <t>R2</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t>
        </is>
      </c>
      <c r="L92" s="5" t="n"/>
      <c r="M92" s="5" t="n"/>
      <c r="N92" s="5" t="inlineStr">
        <is>
          <t>R2</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t>
        </is>
      </c>
      <c r="L93" s="5" t="n"/>
      <c r="M93" s="5" t="n"/>
      <c r="N93" s="5" t="inlineStr">
        <is>
          <t>R2</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t>
        </is>
      </c>
      <c r="L94" s="5" t="n"/>
      <c r="M94" s="5" t="n"/>
      <c r="N94" s="5" t="inlineStr">
        <is>
          <t>R2</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t>
        </is>
      </c>
      <c r="L95" s="5" t="inlineStr">
        <is>
          <t>The toast prints the raw status word ACTIVE.</t>
        </is>
      </c>
      <c r="M95" s="5" t="n"/>
      <c r="N95" s="5" t="inlineStr">
        <is>
          <t>R2</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7" t="inlineStr">
        <is>
          <t>Fail</t>
        </is>
      </c>
      <c r="K96" s="5" t="inlineStr">
        <is>
          <t>opens 'Importer / Broker profile - New profile · MKL' with client MKL246 preselected and locked; Cancel and X close without saving (no POST); reopening shows an empty form; Esc ignored; background click discards typed data (BUG-024)</t>
        </is>
      </c>
      <c r="L96" s="5" t="n"/>
      <c r="M96" s="5" t="inlineStr">
        <is>
          <t>BUG-024</t>
        </is>
      </c>
      <c r="N96" s="5" t="inlineStr">
        <is>
          <t>R2</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t>
        </is>
      </c>
      <c r="L97" s="5" t="n"/>
      <c r="M97" s="5" t="n"/>
      <c r="N97" s="5" t="inlineStr">
        <is>
          <t>R2</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6" t="inlineStr">
        <is>
          <t>Pass</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t>
        </is>
      </c>
      <c r="L98" s="5" t="n"/>
      <c r="M98" s="5" t="inlineStr">
        <is>
          <t>BUG-037</t>
        </is>
      </c>
      <c r="N98" s="5" t="inlineStr">
        <is>
          <t>R2</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7" t="inlineStr">
        <is>
          <t>Fail</t>
        </is>
      </c>
      <c r="K99" s="5" t="inlineStr">
        <is>
          <t>at 1446 px the ⋮ column is past the right edge (BUG-025)</t>
        </is>
      </c>
      <c r="L99" s="5" t="n"/>
      <c r="M99" s="5" t="inlineStr">
        <is>
          <t>BUG-025</t>
        </is>
      </c>
      <c r="N99" s="5" t="inlineStr">
        <is>
          <t>R2</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t>
        </is>
      </c>
      <c r="L100" s="5" t="n"/>
      <c r="M100" s="5" t="n"/>
      <c r="N100" s="5" t="inlineStr">
        <is>
          <t>R2</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t>
        </is>
      </c>
      <c r="L101" s="5" t="n"/>
      <c r="M101" s="5" t="n"/>
      <c r="N101" s="5" t="inlineStr">
        <is>
          <t>R2</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t>
        </is>
      </c>
      <c r="L102" s="5" t="n"/>
      <c r="M102" s="5" t="n"/>
      <c r="N102" s="5" t="inlineStr">
        <is>
          <t>R2</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t>
        </is>
      </c>
      <c r="L103" s="5" t="n"/>
      <c r="M103" s="5" t="n"/>
      <c r="N103" s="5" t="inlineStr">
        <is>
          <t>R2</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t>
        </is>
      </c>
      <c r="L104" s="5" t="n"/>
      <c r="M104" s="5" t="n"/>
      <c r="N104" s="5" t="inlineStr">
        <is>
          <t>R2</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t>
        </is>
      </c>
      <c r="L105" s="5" t="n"/>
      <c r="M105" s="5" t="n"/>
      <c r="N105" s="5" t="inlineStr">
        <is>
          <t>R2</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t>
        </is>
      </c>
      <c r="L106" s="5" t="n"/>
      <c r="M106" s="5" t="n"/>
      <c r="N106" s="5" t="inlineStr">
        <is>
          <t>R2</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t>
        </is>
      </c>
      <c r="L107" s="5" t="n"/>
      <c r="M107" s="5" t="n"/>
      <c r="N107" s="5" t="inlineStr">
        <is>
          <t>R2</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t>
        </is>
      </c>
      <c r="L108" s="5" t="inlineStr">
        <is>
          <t>The list is a fixed set of 12, while Settings &gt; Countries holds the full list - worth checking that the two agree.</t>
        </is>
      </c>
      <c r="M108" s="5" t="inlineStr">
        <is>
          <t>BUG-046</t>
        </is>
      </c>
      <c r="N108" s="5" t="inlineStr">
        <is>
          <t>R2</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7" t="inlineStr">
        <is>
          <t>Fail</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t>
        </is>
      </c>
      <c r="L109" s="5" t="n"/>
      <c r="M109" s="5" t="inlineStr">
        <is>
          <t>BUG-027</t>
        </is>
      </c>
      <c r="N109" s="5" t="inlineStr">
        <is>
          <t>R2</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t>
        </is>
      </c>
      <c r="L110" s="5" t="inlineStr">
        <is>
          <t>The reason Next is disabled is only in the hover tooltip, so it is not visible to a keyboard or touch user.</t>
        </is>
      </c>
      <c r="M110" s="5" t="n"/>
      <c r="N110" s="5" t="inlineStr">
        <is>
          <t>R2</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t>
        </is>
      </c>
      <c r="L111" s="5" t="n"/>
      <c r="M111" s="5" t="n"/>
      <c r="N111" s="5" t="inlineStr">
        <is>
          <t>R2</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t>
        </is>
      </c>
      <c r="L112" s="5" t="inlineStr">
        <is>
          <t>The panel's own fields and the carrier address Verify button are tested on S007 Warehouses; Verify calls a carrier, so it is held for the user's go-ahead.</t>
        </is>
      </c>
      <c r="M112" s="5" t="n"/>
      <c r="N112" s="5" t="inlineStr">
        <is>
          <t>R2</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7" t="inlineStr">
        <is>
          <t>Fail</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t>
        </is>
      </c>
      <c r="L113" s="5" t="n"/>
      <c r="M113" s="5" t="inlineStr">
        <is>
          <t>BUG-028, BUG-033</t>
        </is>
      </c>
      <c r="N113" s="5" t="inlineStr">
        <is>
          <t>R2</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7"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t>
        </is>
      </c>
      <c r="L114" s="5" t="n"/>
      <c r="M114" s="5" t="inlineStr">
        <is>
          <t>BUG-029, BUG-030, BUG-031</t>
        </is>
      </c>
      <c r="N114" s="5" t="inlineStr">
        <is>
          <t>R2</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t>
        </is>
      </c>
      <c r="L115" s="5" t="n"/>
      <c r="M115" s="5" t="n"/>
      <c r="N115" s="5" t="inlineStr">
        <is>
          <t>R2</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t>
        </is>
      </c>
      <c r="L116" s="5" t="n"/>
      <c r="M116" s="5" t="n"/>
      <c r="N116" s="5" t="inlineStr">
        <is>
          <t>R2</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7"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t>
        </is>
      </c>
      <c r="L117" s="5" t="inlineStr">
        <is>
          <t>Markup currency defaults to USD even when the client default currency is CAD.</t>
        </is>
      </c>
      <c r="M117" s="5" t="inlineStr">
        <is>
          <t>BUG-032, BUG-034, BUG-035</t>
        </is>
      </c>
      <c r="N117" s="5" t="inlineStr">
        <is>
          <t>R2</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t>
        </is>
      </c>
      <c r="L118" s="5" t="inlineStr">
        <is>
          <t>The dialog's own fields belong to S019 Settings &gt; Importer / Broker; the close behaviour is BUG-024.</t>
        </is>
      </c>
      <c r="M118" s="5" t="n"/>
      <c r="N118" s="5" t="inlineStr">
        <is>
          <t>R2</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t>
        </is>
      </c>
      <c r="L119" s="5" t="inlineStr">
        <is>
          <t>In edit mode the same Summary step is empty - only Back and Finish are shown.</t>
        </is>
      </c>
      <c r="M119" s="5" t="n"/>
      <c r="N119" s="5" t="inlineStr">
        <is>
          <t>R2</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7"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t>
        </is>
      </c>
      <c r="L120" s="5" t="n"/>
      <c r="M120" s="5" t="inlineStr">
        <is>
          <t>BUG-036</t>
        </is>
      </c>
      <c r="N120" s="5" t="inlineStr">
        <is>
          <t>R2</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6" t="inlineStr">
        <is>
          <t>Pass</t>
        </is>
      </c>
      <c r="K121" s="5" t="inlineStr">
        <is>
          <t>the back arrow and Cancel both raise 'Leave client editor? This client has unsaved changes. Leave and lose what you've edited?'; Stay keeps the edits; Leave returns to the list and discards them; leaving with nothing edited does not prompt</t>
        </is>
      </c>
      <c r="L121" s="5" t="n"/>
      <c r="M121" s="5" t="n"/>
      <c r="N121" s="5" t="inlineStr">
        <is>
          <t>R2</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t>
        </is>
      </c>
      <c r="L122" s="5" t="inlineStr">
        <is>
          <t>Opening the wizard leaves focus on BODY rather than the first field, so a keyboard user has to tab in.</t>
        </is>
      </c>
      <c r="M122" s="5" t="n"/>
      <c r="N122" s="5" t="inlineStr">
        <is>
          <t>R2</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7" t="inlineStr">
        <is>
          <t>Fail</t>
        </is>
      </c>
      <c r="K123" s="5" t="inlineStr">
        <is>
          <t>the breadcrumb at the top of the window still reads 'Settings' on /settings/clients/new and /settings/clients/{code} instead of naming the client or the step; the browser tab title is 'multiship-react' on every page</t>
        </is>
      </c>
      <c r="L123" s="5" t="n"/>
      <c r="M123" s="5" t="inlineStr">
        <is>
          <t>BUG-039</t>
        </is>
      </c>
      <c r="N123" s="5" t="inlineStr">
        <is>
          <t>R2</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7" t="inlineStr">
        <is>
          <t>Fail</t>
        </is>
      </c>
      <c r="K124" s="5" t="inlineStr">
        <is>
          <t>green 'Done' toasts appear for save, activate and delete and clear by themselves; red error toasts never time out (BUG-037) and stack; validation failures are headed 'Something went wrong' (BUG-036); no raw stack traces or HTTP codes seen on this screen</t>
        </is>
      </c>
      <c r="L124" s="5" t="n"/>
      <c r="M124" s="5" t="inlineStr">
        <is>
          <t>BUG-037</t>
        </is>
      </c>
      <c r="N124" s="5" t="inlineStr">
        <is>
          <t>R2</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t>
        </is>
      </c>
      <c r="L125" s="5" t="n"/>
      <c r="M125" s="5" t="n"/>
      <c r="N125" s="5" t="inlineStr">
        <is>
          <t>R2</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t>
        </is>
      </c>
      <c r="L126" s="5" t="n"/>
      <c r="M126" s="5" t="n"/>
      <c r="N126" s="5" t="inlineStr">
        <is>
          <t>R2</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7" t="inlineStr">
        <is>
          <t>Fail</t>
        </is>
      </c>
      <c r="K127" s="5" t="inlineStr">
        <is>
          <t>code '3pl' (lowercase) matches 3PL-EAST; name 'central' matches; city 'zeeland' matches; no match 'zzz' shows 'No warehouses match the current filters.'; clearing restores the list; '_' is treated as a wildcard here too (BUG-022)</t>
        </is>
      </c>
      <c r="L127" s="5" t="n"/>
      <c r="M127" s="5" t="n"/>
      <c r="N127" s="5" t="inlineStr">
        <is>
          <t>R2</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t>
        </is>
      </c>
      <c r="L128" s="5" t="n"/>
      <c r="M128" s="5" t="n"/>
      <c r="N128" s="5" t="inlineStr">
        <is>
          <t>R2</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t>
        </is>
      </c>
      <c r="L129" s="5" t="inlineStr">
        <is>
          <t>The same component as the Clients grid; all columns can be hidden here too (BUG-023).</t>
        </is>
      </c>
      <c r="M129" s="5" t="n"/>
      <c r="N129" s="5" t="inlineStr">
        <is>
          <t>R2</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t>
        </is>
      </c>
      <c r="L130" s="5" t="n"/>
      <c r="M130" s="5" t="n"/>
      <c r="N130" s="5" t="inlineStr">
        <is>
          <t>R2</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7" t="inlineStr">
        <is>
          <t>Fail</t>
        </is>
      </c>
      <c r="K131" s="5" t="inlineStr">
        <is>
          <t>a file is produced; no server call at all: the CSV is built in the page and fetched from a data: URL, unlike the Clients export which calls /api/v1/clients/export.csv; file content not opened from this session</t>
        </is>
      </c>
      <c r="L131" s="5" t="inlineStr">
        <is>
          <t>Two different export implementations behind the same button and tooltip - recorded on BUG-038.</t>
        </is>
      </c>
      <c r="M131" s="5" t="n"/>
      <c r="N131" s="5" t="inlineStr">
        <is>
          <t>R2</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t>
        </is>
      </c>
      <c r="L132" s="5" t="n"/>
      <c r="M132" s="5" t="n"/>
      <c r="N132" s="5" t="inlineStr">
        <is>
          <t>R2</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t>
        </is>
      </c>
      <c r="L133" s="5" t="n"/>
      <c r="M133" s="5" t="n"/>
      <c r="N133" s="5" t="inlineStr">
        <is>
          <t>R2</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t>
        </is>
      </c>
      <c r="L134" s="5" t="inlineStr">
        <is>
          <t>Paging between pages was not exercised: only 1-2 warehouses exist and the smallest page size is 10.</t>
        </is>
      </c>
      <c r="M134" s="5" t="n"/>
      <c r="N134" s="5" t="inlineStr">
        <is>
          <t>R2</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t>
        </is>
      </c>
      <c r="L135" s="5" t="n"/>
      <c r="M135" s="5" t="n"/>
      <c r="N135" s="5" t="inlineStr">
        <is>
          <t>R2</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t>
        </is>
      </c>
      <c r="L136" s="5" t="inlineStr">
        <is>
          <t>Same third-click-clears-the-arrow behaviour as the Clients grid (BUG-026).</t>
        </is>
      </c>
      <c r="M136" s="5" t="n"/>
      <c r="N136" s="5" t="inlineStr">
        <is>
          <t>R2</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6" t="inlineStr">
        <is>
          <t>Pass</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t>
        </is>
      </c>
      <c r="L137" s="5" t="n"/>
      <c r="M137" s="5" t="n"/>
      <c r="N137" s="5" t="inlineStr">
        <is>
          <t>R2</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7" t="inlineStr">
        <is>
          <t>Fail</t>
        </is>
      </c>
      <c r="K138" s="5" t="inlineStr">
        <is>
          <t>one click deactivates with no confirmation even with clients attached (BUG-043); the row turns Inactive and the Status filter then finds it; re-activating is immediate; toast 'QA-1012-WH01 is now inactive.'</t>
        </is>
      </c>
      <c r="L138" s="5" t="n"/>
      <c r="M138" s="5" t="inlineStr">
        <is>
          <t>BUG-043</t>
        </is>
      </c>
      <c r="N138" s="5" t="inlineStr">
        <is>
          <t>R2</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7" t="inlineStr">
        <is>
          <t>Fail</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t>
        </is>
      </c>
      <c r="L139" s="5" t="n"/>
      <c r="M139" s="5" t="inlineStr">
        <is>
          <t>BUG-041</t>
        </is>
      </c>
      <c r="N139" s="5" t="inlineStr">
        <is>
          <t>R2</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t>
        </is>
      </c>
      <c r="L140" s="5" t="n"/>
      <c r="M140" s="5" t="n"/>
      <c r="N140" s="5" t="inlineStr">
        <is>
          <t>R2</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t>
        </is>
      </c>
      <c r="L141" s="5" t="inlineStr">
        <is>
          <t>Unlike the client delete dialog, this one does not say the action cannot be undone.</t>
        </is>
      </c>
      <c r="M141" s="5" t="n"/>
      <c r="N141" s="5" t="inlineStr">
        <is>
          <t>R2</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t>
        </is>
      </c>
      <c r="L142" s="5" t="n"/>
      <c r="M142" s="5" t="n"/>
      <c r="N142" s="5" t="inlineStr">
        <is>
          <t>R2</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7"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t>
        </is>
      </c>
      <c r="L143" s="5" t="n"/>
      <c r="M143" s="5" t="inlineStr">
        <is>
          <t>BUG-040</t>
        </is>
      </c>
      <c r="N143" s="5" t="inlineStr">
        <is>
          <t>R2</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7"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t>
        </is>
      </c>
      <c r="L144" s="5" t="inlineStr">
        <is>
          <t>Run with the user's explicit go-ahead for one call per carrier.</t>
        </is>
      </c>
      <c r="M144" s="5" t="inlineStr">
        <is>
          <t>BUG-042</t>
        </is>
      </c>
      <c r="N144" s="5" t="inlineStr">
        <is>
          <t>R2</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t>
        </is>
      </c>
      <c r="L145" s="5" t="n"/>
      <c r="M145" s="5" t="n"/>
      <c r="N145" s="5" t="inlineStr">
        <is>
          <t>R2</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t>
        </is>
      </c>
      <c r="L146" s="5" t="n"/>
      <c r="M146" s="5" t="n"/>
      <c r="N146" s="5" t="inlineStr">
        <is>
          <t>R2</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7" t="inlineStr">
        <is>
          <t>Fail</t>
        </is>
      </c>
      <c r="K147" s="5" t="inlineStr">
        <is>
          <t>title, description and breadcrumb are right and Address book is highlighted in the menu; the list never loads: GET /api/v1/recipients returns 500 (BUG-044)</t>
        </is>
      </c>
      <c r="L147" s="5" t="n"/>
      <c r="M147" s="5" t="inlineStr">
        <is>
          <t>BUG-044</t>
        </is>
      </c>
      <c r="N147" s="5" t="inlineStr">
        <is>
          <t>R2</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7" t="inlineStr">
        <is>
          <t>Fail</t>
        </is>
      </c>
      <c r="K148" s="5" t="inlineStr">
        <is>
          <t>the button re-requests the list; the request fails again with 500 and this time no message at all is shown</t>
        </is>
      </c>
      <c r="L148" s="5" t="n"/>
      <c r="M148" s="5" t="n"/>
      <c r="N148" s="5" t="inlineStr">
        <is>
          <t>R2</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9" t="inlineStr">
        <is>
          <t>Blocked</t>
        </is>
      </c>
      <c r="K149" s="5" t="inlineStr">
        <is>
          <t>the typed term reaches the server, URL-encoded; a failed search is drawn as a no-match empty state</t>
        </is>
      </c>
      <c r="L149" s="5" t="inlineStr">
        <is>
          <t>The search sends GET /api/v1/recipients?q=... which returns 502, and the grid shows 'No saved addresses match "QA-1012".' Whether the search itself works cannot be judged until BUG-044 is fixed.</t>
        </is>
      </c>
      <c r="M149" s="5" t="n"/>
      <c r="N149" s="5" t="inlineStr">
        <is>
          <t>R2</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9" t="inlineStr">
        <is>
          <t>Blocked</t>
        </is>
      </c>
      <c r="K150" s="5" t="inlineStr">
        <is>
          <t>the list offers 'Every client', MKL246 and THB000; the chosen client reaches the server as customerNo</t>
        </is>
      </c>
      <c r="L150" s="5" t="inlineStr">
        <is>
          <t>The filter sends GET /api/v1/recipients?customerNo=MKL246 which returns 502. Same reason as the search.</t>
        </is>
      </c>
      <c r="M150" s="5" t="n"/>
      <c r="N150" s="5" t="inlineStr">
        <is>
          <t>R2</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t>
        </is>
      </c>
      <c r="L151" s="5" t="n"/>
      <c r="M151" s="5" t="n"/>
      <c r="N151" s="5" t="inlineStr">
        <is>
          <t>R2</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9" t="inlineStr">
        <is>
          <t>Blocked</t>
        </is>
      </c>
      <c r="K152" s="5" t="inlineStr">
        <is>
          <t>the header row shows Name, Address, Contact, Belongs to, Tag, Actions</t>
        </is>
      </c>
      <c r="L152" s="5" t="inlineStr">
        <is>
          <t>No row has ever been displayed, because the list call fails (BUG-044).</t>
        </is>
      </c>
      <c r="M152" s="5" t="n"/>
      <c r="N152" s="5" t="inlineStr">
        <is>
          <t>R2</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9" t="inlineStr">
        <is>
          <t>Blocked</t>
        </is>
      </c>
      <c r="K153" s="5" t="n"/>
      <c r="L153" s="5" t="inlineStr">
        <is>
          <t>No row has ever been displayed, so the row actions could not be reached (BUG-044).</t>
        </is>
      </c>
      <c r="M153" s="5" t="n"/>
      <c r="N153" s="5" t="inlineStr">
        <is>
          <t>R2</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7"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t>
        </is>
      </c>
      <c r="L154" s="5" t="n"/>
      <c r="M154" s="5" t="inlineStr">
        <is>
          <t>BUG-045</t>
        </is>
      </c>
      <c r="N154" s="5" t="inlineStr">
        <is>
          <t>R2</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7" t="inlineStr">
        <is>
          <t>Fail</t>
        </is>
      </c>
      <c r="K155" s="5" t="inlineStr">
        <is>
          <t>the empty state reads 'No saved addresses yet...' and the no-match state 'No saved addresses match "QA-1012".'; both are shown when the call actually failed, so a broken list is indistinguishable from an empty one (BUG-044)</t>
        </is>
      </c>
      <c r="L155" s="5" t="n"/>
      <c r="M155" s="5" t="n"/>
      <c r="N155" s="5" t="inlineStr">
        <is>
          <t>R2</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7" t="inlineStr">
        <is>
          <t>Fail</t>
        </is>
      </c>
      <c r="K156" s="5" t="inlineStr">
        <is>
          <t>the first load shows two red toasts with a support reference; a repeat of the same failure after Refresh shows nothing at all; a successful save is covered by the failure of the reload that follows it (BUG-045)</t>
        </is>
      </c>
      <c r="L156" s="5" t="n"/>
      <c r="M156" s="5" t="n"/>
      <c r="N156" s="5" t="inlineStr">
        <is>
          <t>R2</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7" t="inlineStr">
        <is>
          <t>Fail</t>
        </is>
      </c>
      <c r="K157" s="5" t="inlineStr">
        <is>
          <t>title 'Users', breadcrumb and highlighted menu item are right; the descriptions carry internal developer notes (BUG-049)</t>
        </is>
      </c>
      <c r="L157" s="5" t="n"/>
      <c r="M157" s="5" t="inlineStr">
        <is>
          <t>BUG-049</t>
        </is>
      </c>
      <c r="N157" s="5" t="inlineStr">
        <is>
          <t>R2</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t>
        </is>
      </c>
      <c r="L158" s="5" t="n"/>
      <c r="M158" s="5" t="n"/>
      <c r="N158" s="5" t="inlineStr">
        <is>
          <t>R2</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7" t="inlineStr">
        <is>
          <t>Fail</t>
        </is>
      </c>
      <c r="K159" s="5" t="inlineStr">
        <is>
          <t>matches on username ('manoj') and on email, case-insensitively ('MULTISHIP.LOCAL'); no match shows 'No users.' and 'No rows'; clearing restores both rows; a request per keystroke, each with a second call for the audit list (BUG-047)</t>
        </is>
      </c>
      <c r="L159" s="5" t="n"/>
      <c r="M159" s="5" t="inlineStr">
        <is>
          <t>BUG-047</t>
        </is>
      </c>
      <c r="N159" s="5" t="inlineStr">
        <is>
          <t>R2</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t>
        </is>
      </c>
      <c r="L160" s="5" t="n"/>
      <c r="M160" s="5" t="n"/>
      <c r="N160" s="5" t="inlineStr">
        <is>
          <t>R2</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t>
        </is>
      </c>
      <c r="L161" s="5" t="n"/>
      <c r="M161" s="5" t="n"/>
      <c r="N161" s="5" t="inlineStr">
        <is>
          <t>R2</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t>
        </is>
      </c>
      <c r="L162" s="5" t="n"/>
      <c r="M162" s="5" t="n"/>
      <c r="N162" s="5" t="inlineStr">
        <is>
          <t>R2</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t>
        </is>
      </c>
      <c r="L163" s="5" t="n"/>
      <c r="M163" s="5" t="n"/>
      <c r="N163" s="5" t="inlineStr">
        <is>
          <t>R2</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t>
        </is>
      </c>
      <c r="L164" s="5" t="inlineStr">
        <is>
          <t>It never has anything to show - see BUG-052.</t>
        </is>
      </c>
      <c r="M164" s="5" t="n"/>
      <c r="N164" s="5" t="inlineStr">
        <is>
          <t>R2</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t>
        </is>
      </c>
      <c r="L165" s="5" t="inlineStr">
        <is>
          <t>The refusal message says 'Refresh the client dropdown', but the control is a free-text box, not a dropdown. A picker would also stop the typo in the first place. The reason typed is not kept (BUG-052).</t>
        </is>
      </c>
      <c r="M165" s="5" t="n"/>
      <c r="N165" s="5" t="inlineStr">
        <is>
          <t>R2</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t>
        </is>
      </c>
      <c r="L166" s="5" t="inlineStr">
        <is>
          <t>The dropdown offers USER, TENANT and 'ADMIN (promote)'. Changing it would alter the access of a real person's account (manoj7000, maharana@suyogindia.com) and the invited test account never appeared in the list (BUG-050), so there was no safe row to try it on. The options were read without saving.</t>
        </is>
      </c>
      <c r="M166" s="5" t="n"/>
      <c r="N166" s="5" t="inlineStr">
        <is>
          <t>R2</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t>
        </is>
      </c>
      <c r="L167" s="5" t="inlineStr">
        <is>
          <t>The button's tooltip is 'Email a password-reset link to this user' and the only candidate is a real person's account. Not clicked.</t>
        </is>
      </c>
      <c r="M167" s="5" t="n"/>
      <c r="N167" s="5" t="inlineStr">
        <is>
          <t>R2</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7" t="inlineStr">
        <is>
          <t>Fail</t>
        </is>
      </c>
      <c r="K168" s="5" t="inlineStr">
        <is>
          <t>enabled on the signed-in admin's own row, which is the only ADMIN (BUG-051) - not clicked, at the user's request; not exercised on the USER row either, for the same reason as the role control</t>
        </is>
      </c>
      <c r="L168" s="5" t="n"/>
      <c r="M168" s="5" t="inlineStr">
        <is>
          <t>BUG-051</t>
        </is>
      </c>
      <c r="N168" s="5" t="inlineStr">
        <is>
          <t>R2</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t>
        </is>
      </c>
      <c r="L169" s="5" t="inlineStr">
        <is>
          <t>Paging between pages was not exercised: only two users exist and the smallest page size is 25.</t>
        </is>
      </c>
      <c r="M169" s="5" t="n"/>
      <c r="N169" s="5" t="inlineStr">
        <is>
          <t>R2</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t>
        </is>
      </c>
      <c r="L170" s="5" t="n"/>
      <c r="M170" s="5" t="n"/>
      <c r="N170" s="5" t="inlineStr">
        <is>
          <t>R2</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7" t="inlineStr">
        <is>
          <t>Fail</t>
        </is>
      </c>
      <c r="K171" s="5" t="inlineStr">
        <is>
          <t>the panel is present and reloads with every change; it never shows anything (BUG-052)</t>
        </is>
      </c>
      <c r="L171" s="5" t="n"/>
      <c r="M171" s="5" t="inlineStr">
        <is>
          <t>BUG-052</t>
        </is>
      </c>
      <c r="N171" s="5" t="inlineStr">
        <is>
          <t>R2</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7"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t>
        </is>
      </c>
      <c r="L172" s="5" t="inlineStr">
        <is>
          <t>Sent with the user's go-ahead after confirming on Settings &gt; Mail that no provider is active, so outbound email is logged only and nothing left the machine.</t>
        </is>
      </c>
      <c r="M172" s="5" t="inlineStr">
        <is>
          <t>BUG-048, BUG-050</t>
        </is>
      </c>
      <c r="N172" s="5" t="inlineStr">
        <is>
          <t>R2</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7"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t>
        </is>
      </c>
      <c r="L173" s="5" t="n"/>
      <c r="M173" s="5" t="n"/>
      <c r="N173" s="5" t="inlineStr">
        <is>
          <t>R2</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7" t="inlineStr">
        <is>
          <t>Fail</t>
        </is>
      </c>
      <c r="K174" s="5" t="inlineStr">
        <is>
          <t>title 'Roles', breadcrumb and highlighted menu item are right; the description tells the user to 'add roles via SQL today' (BUG-049)</t>
        </is>
      </c>
      <c r="L174" s="5" t="n"/>
      <c r="M174" s="5" t="n"/>
      <c r="N174" s="5" t="inlineStr">
        <is>
          <t>R2</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t>
        </is>
      </c>
      <c r="L175" s="5" t="n"/>
      <c r="M175" s="5" t="n"/>
      <c r="N175" s="5" t="inlineStr">
        <is>
          <t>R2</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t>
        </is>
      </c>
      <c r="L176" s="5" t="n"/>
      <c r="M176" s="5" t="n"/>
      <c r="N176" s="5" t="inlineStr">
        <is>
          <t>R2</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t>
        </is>
      </c>
      <c r="L177" s="5" t="n"/>
      <c r="M177" s="5" t="n"/>
      <c r="N177" s="5" t="inlineStr">
        <is>
          <t>R2</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t>
        </is>
      </c>
      <c r="L178" s="5" t="n"/>
      <c r="M178" s="5" t="n"/>
      <c r="N178" s="5" t="inlineStr">
        <is>
          <t>R2</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t>
        </is>
      </c>
      <c r="L179" s="5" t="n"/>
      <c r="M179" s="5" t="n"/>
      <c r="N179" s="5" t="inlineStr">
        <is>
          <t>R2</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t>
        </is>
      </c>
      <c r="L180" s="5" t="n"/>
      <c r="M180" s="5" t="n"/>
      <c r="N180" s="5" t="inlineStr">
        <is>
          <t>R2</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t>
        </is>
      </c>
      <c r="L181" s="5" t="inlineStr">
        <is>
          <t>The box filters the sidebar only; the group cards in the page body are not narrowed. That reads as deliberate, since the box sits in the sidebar.</t>
        </is>
      </c>
      <c r="M181" s="5" t="n"/>
      <c r="N181" s="5" t="inlineStr">
        <is>
          <t>R2</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t>
        </is>
      </c>
      <c r="L182" s="5" t="n"/>
      <c r="M182" s="5" t="n"/>
      <c r="N182" s="5" t="inlineStr">
        <is>
          <t>R2</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t>
        </is>
      </c>
      <c r="L183" s="5" t="n"/>
      <c r="M183" s="5" t="n"/>
      <c r="N183" s="5" t="inlineStr">
        <is>
          <t>R2</t>
        </is>
      </c>
    </row>
  </sheetData>
  <autoFilter ref="A1:N183"/>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8"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 Left untested: Combination run: controls not needed for the carrier/service/packaging matrix were not exercised</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8"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8"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Downloads, Copy ZPL, Track, Print and the Commercial Invoice tab not exercised</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S011</t>
        </is>
      </c>
      <c r="B12" s="5" t="inlineStr">
        <is>
          <t>Settings</t>
        </is>
      </c>
      <c r="C12" s="5" t="inlineStr">
        <is>
          <t>Carriers &amp; Services &gt; Carrier Accounts</t>
        </is>
      </c>
      <c r="D12" s="5" t="inlineStr">
        <is>
          <t>Carrier Accounts</t>
        </is>
      </c>
      <c r="E12" s="5" t="inlineStr">
        <is>
          <t>/settings/carriers</t>
        </is>
      </c>
      <c r="F12" s="20" t="inlineStr">
        <is>
          <t>Not started</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n"/>
    </row>
    <row r="13">
      <c r="A13" s="5" t="inlineStr">
        <is>
          <t>S012</t>
        </is>
      </c>
      <c r="B13" s="5" t="inlineStr">
        <is>
          <t>Settings</t>
        </is>
      </c>
      <c r="C13" s="5" t="inlineStr">
        <is>
          <t>Carriers &amp; Services &gt; Carriers (platform)</t>
        </is>
      </c>
      <c r="D13" s="5" t="inlineStr">
        <is>
          <t>Carriers (platform)</t>
        </is>
      </c>
      <c r="E13" s="5" t="inlineStr">
        <is>
          <t>/settings/carriers-platform</t>
        </is>
      </c>
      <c r="F13" s="20" t="inlineStr">
        <is>
          <t>Not started</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S013</t>
        </is>
      </c>
      <c r="B14" s="5" t="inlineStr">
        <is>
          <t>Settings</t>
        </is>
      </c>
      <c r="C14" s="5" t="inlineStr">
        <is>
          <t>Carriers &amp; Services &gt; Shipping Catalog</t>
        </is>
      </c>
      <c r="D14" s="5" t="inlineStr">
        <is>
          <t>Shipping Catalog</t>
        </is>
      </c>
      <c r="E14" s="5" t="inlineStr">
        <is>
          <t>/settings/shipping-catalog</t>
        </is>
      </c>
      <c r="F14" s="20" t="inlineStr">
        <is>
          <t>Not started</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S014</t>
        </is>
      </c>
      <c r="B15" s="5" t="inlineStr">
        <is>
          <t>Settings</t>
        </is>
      </c>
      <c r="C15" s="5" t="inlineStr">
        <is>
          <t>Carriers &amp; Services &gt; Code Maps</t>
        </is>
      </c>
      <c r="D15" s="5" t="inlineStr">
        <is>
          <t>Code Maps</t>
        </is>
      </c>
      <c r="E15" s="5" t="inlineStr">
        <is>
          <t>/settings/code-maps</t>
        </is>
      </c>
      <c r="F15" s="20" t="inlineStr">
        <is>
          <t>Not started</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S015</t>
        </is>
      </c>
      <c r="B16" s="5" t="inlineStr">
        <is>
          <t>Settings</t>
        </is>
      </c>
      <c r="C16" s="5" t="inlineStr">
        <is>
          <t>Carriers &amp; Services &gt; Carrier Limits</t>
        </is>
      </c>
      <c r="D16" s="5" t="inlineStr">
        <is>
          <t>Carrier Limits</t>
        </is>
      </c>
      <c r="E16" s="5" t="inlineStr">
        <is>
          <t>/settings/carrier-limits</t>
        </is>
      </c>
      <c r="F16" s="20" t="inlineStr">
        <is>
          <t>Not started</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S016</t>
        </is>
      </c>
      <c r="B17" s="5" t="inlineStr">
        <is>
          <t>Settings</t>
        </is>
      </c>
      <c r="C17" s="5" t="inlineStr">
        <is>
          <t>Carriers &amp; Services &gt; Carrier Dropdowns</t>
        </is>
      </c>
      <c r="D17" s="5" t="inlineStr">
        <is>
          <t>Carrier Dropdowns</t>
        </is>
      </c>
      <c r="E17" s="5" t="inlineStr">
        <is>
          <t>/settings/carrier-dropdowns</t>
        </is>
      </c>
      <c r="F17" s="20" t="inlineStr">
        <is>
          <t>Not started</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S017</t>
        </is>
      </c>
      <c r="B18" s="5" t="inlineStr">
        <is>
          <t>Settings</t>
        </is>
      </c>
      <c r="C18" s="5" t="inlineStr">
        <is>
          <t>Carriers &amp; Services &gt; Cutoffs &amp; Holidays</t>
        </is>
      </c>
      <c r="D18" s="5" t="inlineStr">
        <is>
          <t>Cutoffs &amp; Holidays</t>
        </is>
      </c>
      <c r="E18" s="5" t="inlineStr">
        <is>
          <t>/settings/cutoffs</t>
        </is>
      </c>
      <c r="F18" s="20" t="inlineStr">
        <is>
          <t>Not started</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S018</t>
        </is>
      </c>
      <c r="B19" s="5" t="inlineStr">
        <is>
          <t>Settings</t>
        </is>
      </c>
      <c r="C19" s="5" t="inlineStr">
        <is>
          <t>Carriers &amp; Services &gt; Pickups &amp; End-of-Day</t>
        </is>
      </c>
      <c r="D19" s="5" t="inlineStr">
        <is>
          <t>Pickups &amp; End-of-Day</t>
        </is>
      </c>
      <c r="E19" s="5" t="inlineStr">
        <is>
          <t>/settings/pickups</t>
        </is>
      </c>
      <c r="F19" s="20" t="inlineStr">
        <is>
          <t>Not started</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S019</t>
        </is>
      </c>
      <c r="B20" s="5" t="inlineStr">
        <is>
          <t>Settings</t>
        </is>
      </c>
      <c r="C20" s="5" t="inlineStr">
        <is>
          <t>International &gt; Importer / Broker</t>
        </is>
      </c>
      <c r="D20" s="5" t="inlineStr">
        <is>
          <t>Importer / Broker</t>
        </is>
      </c>
      <c r="E20" s="5" t="inlineStr">
        <is>
          <t>/settings/importer-broker</t>
        </is>
      </c>
      <c r="F20" s="20" t="inlineStr">
        <is>
          <t>Not started</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S020</t>
        </is>
      </c>
      <c r="B21" s="5" t="inlineStr">
        <is>
          <t>Settings</t>
        </is>
      </c>
      <c r="C21" s="5" t="inlineStr">
        <is>
          <t>International &gt; Countries</t>
        </is>
      </c>
      <c r="D21" s="5" t="inlineStr">
        <is>
          <t>Countries</t>
        </is>
      </c>
      <c r="E21" s="5" t="inlineStr">
        <is>
          <t>/settings/countries</t>
        </is>
      </c>
      <c r="F21" s="20" t="inlineStr">
        <is>
          <t>Not started</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S021</t>
        </is>
      </c>
      <c r="B22" s="5" t="inlineStr">
        <is>
          <t>Settings</t>
        </is>
      </c>
      <c r="C22" s="5" t="inlineStr">
        <is>
          <t>International &gt; Reasons for Export</t>
        </is>
      </c>
      <c r="D22" s="5" t="inlineStr">
        <is>
          <t>Reasons for Export</t>
        </is>
      </c>
      <c r="E22" s="5" t="inlineStr">
        <is>
          <t>/settings/reasons-for-export</t>
        </is>
      </c>
      <c r="F22" s="20" t="inlineStr">
        <is>
          <t>Not started</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S022</t>
        </is>
      </c>
      <c r="B23" s="5" t="inlineStr">
        <is>
          <t>Settings</t>
        </is>
      </c>
      <c r="C23" s="5" t="inlineStr">
        <is>
          <t>International &gt; Currencies</t>
        </is>
      </c>
      <c r="D23" s="5" t="inlineStr">
        <is>
          <t>Currencies</t>
        </is>
      </c>
      <c r="E23" s="5" t="inlineStr">
        <is>
          <t>/settings/currencies</t>
        </is>
      </c>
      <c r="F23" s="20" t="inlineStr">
        <is>
          <t>Not started</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S023</t>
        </is>
      </c>
      <c r="B24" s="5" t="inlineStr">
        <is>
          <t>Settings</t>
        </is>
      </c>
      <c r="C24" s="5" t="inlineStr">
        <is>
          <t>Labels &amp; Documents &gt; Templates</t>
        </is>
      </c>
      <c r="D24" s="5" t="inlineStr">
        <is>
          <t>Templates</t>
        </is>
      </c>
      <c r="E24" s="5" t="inlineStr">
        <is>
          <t>/settings/templates</t>
        </is>
      </c>
      <c r="F24" s="20" t="inlineStr">
        <is>
          <t>Not started</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S024</t>
        </is>
      </c>
      <c r="B25" s="5" t="inlineStr">
        <is>
          <t>Settings</t>
        </is>
      </c>
      <c r="C25" s="5" t="inlineStr">
        <is>
          <t>Labels &amp; Documents &gt; Custom Fields</t>
        </is>
      </c>
      <c r="D25" s="5" t="inlineStr">
        <is>
          <t>Custom Fields</t>
        </is>
      </c>
      <c r="E25" s="5" t="inlineStr">
        <is>
          <t>/settings/custom-fields</t>
        </is>
      </c>
      <c r="F25" s="20" t="inlineStr">
        <is>
          <t>Not started</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S025</t>
        </is>
      </c>
      <c r="B26" s="5" t="inlineStr">
        <is>
          <t>Settings</t>
        </is>
      </c>
      <c r="C26" s="5" t="inlineStr">
        <is>
          <t>Labels &amp; Documents &gt; Printers</t>
        </is>
      </c>
      <c r="D26" s="5" t="inlineStr">
        <is>
          <t>Printers</t>
        </is>
      </c>
      <c r="E26" s="5" t="inlineStr">
        <is>
          <t>/settings/printers</t>
        </is>
      </c>
      <c r="F26" s="20" t="inlineStr">
        <is>
          <t>Not started</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S026</t>
        </is>
      </c>
      <c r="B27" s="5" t="inlineStr">
        <is>
          <t>Settings</t>
        </is>
      </c>
      <c r="C27" s="5" t="inlineStr">
        <is>
          <t>Labels &amp; Documents &gt; Output Destinations</t>
        </is>
      </c>
      <c r="D27" s="5" t="inlineStr">
        <is>
          <t>Output Destinations</t>
        </is>
      </c>
      <c r="E27" s="5" t="inlineStr">
        <is>
          <t>/settings/output-destinations</t>
        </is>
      </c>
      <c r="F27" s="20" t="inlineStr">
        <is>
          <t>Not started</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S027</t>
        </is>
      </c>
      <c r="B28" s="5" t="inlineStr">
        <is>
          <t>Settings</t>
        </is>
      </c>
      <c r="C28" s="5" t="inlineStr">
        <is>
          <t>Email &amp; Alerts &gt; Mail</t>
        </is>
      </c>
      <c r="D28" s="5" t="inlineStr">
        <is>
          <t>Mail</t>
        </is>
      </c>
      <c r="E28" s="5" t="inlineStr">
        <is>
          <t>/settings/mail</t>
        </is>
      </c>
      <c r="F28" s="20" t="inlineStr">
        <is>
          <t>Not started</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S028</t>
        </is>
      </c>
      <c r="B29" s="5" t="inlineStr">
        <is>
          <t>Settings</t>
        </is>
      </c>
      <c r="C29" s="5" t="inlineStr">
        <is>
          <t>Email &amp; Alerts &gt; Email Templates</t>
        </is>
      </c>
      <c r="D29" s="5" t="inlineStr">
        <is>
          <t>Email Templates</t>
        </is>
      </c>
      <c r="E29" s="5" t="inlineStr">
        <is>
          <t>/settings/notification-templates</t>
        </is>
      </c>
      <c r="F29" s="20" t="inlineStr">
        <is>
          <t>Not started</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S029</t>
        </is>
      </c>
      <c r="B30" s="5" t="inlineStr">
        <is>
          <t>Settings</t>
        </is>
      </c>
      <c r="C30" s="5" t="inlineStr">
        <is>
          <t>Email &amp; Alerts &gt; Notifications</t>
        </is>
      </c>
      <c r="D30" s="5" t="inlineStr">
        <is>
          <t>Notifications</t>
        </is>
      </c>
      <c r="E30" s="5" t="inlineStr">
        <is>
          <t>/settings/notifications</t>
        </is>
      </c>
      <c r="F30" s="20" t="inlineStr">
        <is>
          <t>Not started</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S030</t>
        </is>
      </c>
      <c r="B31" s="5" t="inlineStr">
        <is>
          <t>Settings</t>
        </is>
      </c>
      <c r="C31" s="5" t="inlineStr">
        <is>
          <t>Integrations &gt; External Systems</t>
        </is>
      </c>
      <c r="D31" s="5" t="inlineStr">
        <is>
          <t>External Systems</t>
        </is>
      </c>
      <c r="E31" s="5" t="inlineStr">
        <is>
          <t>/settings/external-systems</t>
        </is>
      </c>
      <c r="F31" s="20" t="inlineStr">
        <is>
          <t>Not started</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S031</t>
        </is>
      </c>
      <c r="B32" s="5" t="inlineStr">
        <is>
          <t>Settings</t>
        </is>
      </c>
      <c r="C32" s="5" t="inlineStr">
        <is>
          <t>Integrations &gt; DTC Scheduler</t>
        </is>
      </c>
      <c r="D32" s="5" t="inlineStr">
        <is>
          <t>DTC Scheduler</t>
        </is>
      </c>
      <c r="E32" s="5" t="inlineStr">
        <is>
          <t>/settings/dtc-scheduler</t>
        </is>
      </c>
      <c r="F32" s="20" t="inlineStr">
        <is>
          <t>Not started</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S032</t>
        </is>
      </c>
      <c r="B33" s="5" t="inlineStr">
        <is>
          <t>Settings</t>
        </is>
      </c>
      <c r="C33" s="5" t="inlineStr">
        <is>
          <t>System &gt; System</t>
        </is>
      </c>
      <c r="D33" s="5" t="inlineStr">
        <is>
          <t>System</t>
        </is>
      </c>
      <c r="E33" s="5" t="inlineStr">
        <is>
          <t>/settings/system</t>
        </is>
      </c>
      <c r="F33" s="20" t="inlineStr">
        <is>
          <t>Not started</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S033</t>
        </is>
      </c>
      <c r="B34" s="5" t="inlineStr">
        <is>
          <t>Settings</t>
        </is>
      </c>
      <c r="C34" s="5" t="inlineStr">
        <is>
          <t>System &gt; Carrier Error Messages</t>
        </is>
      </c>
      <c r="D34" s="5" t="inlineStr">
        <is>
          <t>Carrier Error Messages</t>
        </is>
      </c>
      <c r="E34" s="5" t="inlineStr">
        <is>
          <t>/settings/carrier-error-messages</t>
        </is>
      </c>
      <c r="F34" s="20" t="inlineStr">
        <is>
          <t>Not started</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S034</t>
        </is>
      </c>
      <c r="B35" s="5" t="inlineStr">
        <is>
          <t>Settings</t>
        </is>
      </c>
      <c r="C35" s="5" t="inlineStr">
        <is>
          <t>Activity &amp; Logs &gt; Logs</t>
        </is>
      </c>
      <c r="D35" s="5" t="inlineStr">
        <is>
          <t>Logs (audit log)</t>
        </is>
      </c>
      <c r="E35" s="5" t="inlineStr">
        <is>
          <t>/settings/audit-log</t>
        </is>
      </c>
      <c r="F35" s="20" t="inlineStr">
        <is>
          <t>Not started</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S035</t>
        </is>
      </c>
      <c r="B36" s="5" t="inlineStr">
        <is>
          <t>Settings</t>
        </is>
      </c>
      <c r="C36" s="5" t="inlineStr">
        <is>
          <t>Activity &amp; Logs &gt; Carrier API Log</t>
        </is>
      </c>
      <c r="D36" s="5" t="inlineStr">
        <is>
          <t>Carrier API Log</t>
        </is>
      </c>
      <c r="E36" s="5" t="inlineStr">
        <is>
          <t>/settings/carrier-api-log</t>
        </is>
      </c>
      <c r="F36" s="20" t="inlineStr">
        <is>
          <t>Not started</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S036</t>
        </is>
      </c>
      <c r="B37" s="5" t="inlineStr">
        <is>
          <t>Settings</t>
        </is>
      </c>
      <c r="C37" s="5" t="inlineStr">
        <is>
          <t>Activity &amp; Logs &gt; Email Delivery Log</t>
        </is>
      </c>
      <c r="D37" s="5" t="inlineStr">
        <is>
          <t>Email Delivery Log</t>
        </is>
      </c>
      <c r="E37" s="5" t="inlineStr">
        <is>
          <t>/settings/notification-delivery-log</t>
        </is>
      </c>
      <c r="F37" s="20" t="inlineStr">
        <is>
          <t>Not started</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S037</t>
        </is>
      </c>
      <c r="B38" s="5" t="inlineStr">
        <is>
          <t>Settings</t>
        </is>
      </c>
      <c r="C38" s="5" t="inlineStr">
        <is>
          <t>Activity &amp; Logs &gt; Writeback Journal</t>
        </is>
      </c>
      <c r="D38" s="5" t="inlineStr">
        <is>
          <t>Writeback Journal</t>
        </is>
      </c>
      <c r="E38" s="5" t="inlineStr">
        <is>
          <t>/settings/writeback-journal</t>
        </is>
      </c>
      <c r="F38" s="20" t="inlineStr">
        <is>
          <t>Not started</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S038</t>
        </is>
      </c>
      <c r="B39" s="5" t="inlineStr">
        <is>
          <t>Settings</t>
        </is>
      </c>
      <c r="C39" s="5" t="inlineStr">
        <is>
          <t>Activity &amp; Logs &gt; Alerts History</t>
        </is>
      </c>
      <c r="D39" s="5" t="inlineStr">
        <is>
          <t>Alerts History</t>
        </is>
      </c>
      <c r="E39" s="5" t="inlineStr">
        <is>
          <t>/settings/alerts-history</t>
        </is>
      </c>
      <c r="F39" s="20" t="inlineStr">
        <is>
          <t>Not started</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S039</t>
        </is>
      </c>
      <c r="B40" s="5" t="inlineStr">
        <is>
          <t>Settings</t>
        </is>
      </c>
      <c r="C40" s="5" t="inlineStr">
        <is>
          <t>Activity &amp; Logs &gt; Returns Analytics</t>
        </is>
      </c>
      <c r="D40" s="5" t="inlineStr">
        <is>
          <t>Returns Analytics</t>
        </is>
      </c>
      <c r="E40" s="5" t="inlineStr">
        <is>
          <t>/settings/returns-analytics</t>
        </is>
      </c>
      <c r="F40" s="20" t="inlineStr">
        <is>
          <t>Not started</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S040</t>
        </is>
      </c>
      <c r="B41" s="5" t="inlineStr">
        <is>
          <t>Settings</t>
        </is>
      </c>
      <c r="C41" s="5" t="inlineStr">
        <is>
          <t>Organization &gt; Clients</t>
        </is>
      </c>
      <c r="D41" s="5" t="inlineStr">
        <is>
          <t>Client wizard (Add / Edit)</t>
        </is>
      </c>
      <c r="E41" s="5" t="inlineStr">
        <is>
          <t>/settings/clients/new ; /settings/clients/{code}</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inlineStr">
        <is>
          <t>8 steps: Identity, Ship From, Return, Carriers, Mapping, Markup, Importer, Summary. Edit mode: Cancel / Save changes ('Identity + addresses only'); Carriers, Mapping, Markup and Importer steps save on their own.</t>
        </is>
      </c>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7"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7"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7"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7"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7"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7"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7"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7"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12"/>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left in system</t>
        </is>
      </c>
      <c r="F7" s="5" t="inlineStr">
        <is>
          <t>Shared address, 290 Bremner Blvd, Chicago, IL 60601, US. Created by POST /api/v1/recipients (200) but cannot be seen or deleted from the UI while GET /api/v1/recipients returns 500 - see BUG-044 and BUG-045. Please remove it once that endpoint is fixed.</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left in system</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qa-ledger-zlib-b64-v1</t>
        </is>
      </c>
    </row>
    <row r="2">
      <c r="A2" t="inlineStr">
        <is>
          <t>eNrsvQl340Z2NvxXKj3vGGRMUly1ULEnaontVlotabS4bcdzfCASkjANEhwA1OL55r9/d6tCAQQFipRsd5Kck7EaxFJ169atuz73n2/i4a03dt/0Vaum3gwjz028EfzrTbvZ3qy3mvVW+6LZ6ve2+t3tN3CHO53Cr/98M3HHHt72cRYkfnzrT/HHWRTgtdskmfY3NoJw6Aa3YZz0e62tDv7uTe78KJyMvUmC9x3hDWrk3anKmecOk43v/cRTl4c1teFO/Y27lppG4YPvjVQSquTWU//l3rnqyh1+9iaj6q7y7rzoUQ3dKPK9SLnDYTibJMqfqPO944O3Jz+ocTjy8LuRd+1F3mToxfjZ41Cdn51vvDs7UPFsOg3gAw01eJh6Q5i6uvJu3Ts/nEUqceE76joKx+Ybe6eHKvLiaTiJvbhGYwKCOLEK7ydq7MWxe+PFyp2MVOBeeQHcgn8P4XY/TmAAj/D65N6D1wbuRO6Ud8dv/oUjnU1wjP/9zzc+rcJZC8cfJ26UXxb+YRhOaRlOohG8Qn2rjr17FeI/+kCIxIsmbuKHEyAzrhESPlbXYaSGMGug1ccPR+3uJpJ33524I7emLic+UuGDP7kZwcRxgB+9B38Y1nLkflCxF935Qw/+msKSuDfwiKq880aDB3jN6Tn8z/npOSwTk4JeRcMkKgLXwTKOlHsNg7x3o1HckF/TxVJ/3YOptlr1s1an/u+0kGFA03VHY1jmyt7Bx8PjKv5wNfMDog/+I/GA2BH+az9wZyNPVfbD+zD6XKWpf3Qn4d/xtnt/Mgrv8bZWd6v1sN1q49VJmNAn9sPxlc/UU7AqKiW8qoRM7T/tdLrNzU4d/9vaaVbVNJjF6s4N/BHsono4CR6BaP4IJwM0iuP0JW3eDqP5vdbut5v9dge5wTBBexET0P092J5Zbjj3kgRWA/nhJLpxJ/6vPI/KPi07sOUnN/Juwxlx8d5oBDwdq6sw/AyLBssKF8+A0nG1L4vuBR7yjgqvFWzUWxUAOwNvj0Yb3shPkKzMKiMvcf1A3fne/S5uFHrCjGYMewWXPIGtMpmpAN4dvOqqdjcftrtNe1Xf/OtvRKgI9mBmo503m0RDEBmzwNpSRNfZVXrZbLA35kWZy0yMSmbzVS3huMHMszHx7mVVkxmJpSksr+8GerQxzxTXq6Y3XY12MYkk+TOBfSn7sCbbEJd0OIuTcAx/+ONpCFwDT8K2xgtaDPAGrKnvhVvVhvrOm3gR/kkbVv1/6si7ThSIVCT8qK9yO6KPci2BtYsVjFdNPA+4mdYCxaKMeEMGt5GKiLGbRP6DuodNTg96D1409GPgbJZ/IvYs/oe1aa+zNodCBPWVuorCz/BHCFwdwcZUI6B4eFO8PKrCvyrYVROcGp4E5l3A2JE3hLvhrUJu/fZvcUtVy1c3R98L90EdHtA+GpycHcL+gJ+98TR53F2eUJ2lCHWEK5wlEl1So3A4o1PCJgnxw8Y/iTLH4b+ePbEDOB2D0B0B++2H00f10+lRTV1ELvLfaQQ7heaMXAMsNsZJwnl1OLkL8XRJ3KvlZ9/Nzh4OmrmpWxQxc+eDR4RX5bvBhVZANDf80x/9K7OJ53/OUmUUTrzsTpbz7t5PbmmqwCv3sDlg98Yx7ijcOG4QqFZ7W8n5AiyGd+Jkn5hzLztnLW3nJr4HL4/tH8307V9oa6D8tmebeWzxHO1RtnOj3FxylJnz6lslB1Z2vHKRTqGiYW4MradWG+7WasNNj9XsiNPriwd9n312tXFvrzZuWwXI8Yb1y+Kxu3xX3Ty/2uh3Vhs9qSzZYdOlxeOdmSdWGmirudpASanKDpQuLR5oZJ5YbaCtJQe6L0YIHGbnfGKj8rivzR42rfLbsODX+a2orZvMHGDsda3PLjuV9ktMJVaVaeAmqKNVC2eTv2HhhOr6tvVn1llrZueg0U1Rsdp3E63MpNMq+nVuTrHcVB9ar1hrSt31FgvsdtDop3mGsy/PLwz8Wh/rh9Yafe9Fds2RP/YX7Zn0t0UMVg/Sx9eazOaLTOYgCqdgV00WzCfz88IpjTIvWWtWW+vNapaE19d48X2I9s9jflqFv8/Pi29bfzbba83m1B9+nk3x4mAyqofX9QP3MTufRXfMzWjKN64/o2WP8sOMk+rb1L7aUG/Jmlpgytk/z81CW731q/QV68ym3VxxNvt4MMKKzQky63KBILMfWmvcrRXHfea5cThhV+HgAYmZ01oKf5/XXvi2OtxW99LXrDWl9qpLMYvQqzi/FpnrBVs889haQ1/2nD9ih+lXYDiLNQ7jv/DGqHHkh5+5PDf6JPPQWoPvrjP4fXKQqHe+F4zm6J/7qWAJ8I76dfrwWhPprTMRclfMWRv21XmRaj+y1sg31xn5ySyZzhJ14MWJOPHyTpDiG+bmE9J99VH+RWtNbdnjfDBGF81Xai/wIprWR/h3dh76ytzAx/rWtUa6vepI+cKCbVzw49z4YXj+tT8kktdfcGfvrDqjY2tAufnM/fTkbNafROc5J/RNxF/FRXmgUyJQ548xOshzq1Lw69xEPLmpHluvWGsurdXmcnCxr86Htx7+nFOb5n6am8UoGdbjzMNrTWHZU5oJi1Ys/ZGzXc21eYs1vX2tcXaeO05t8AyiCKNOEvItNorm71loGXl4a31sv26teS17Wu8NE//OTx5hWx+FFDDE/+QiA/hDxZ1hpC8Ib4rdIvRz/SV8B53eymPft8L0R3lPSMGPC5fDnfovM5fNlefC0vbAC3yKwM5Np/j3pw+Nkdz9MnPbWnlunyI/8TCPQ/1XOEPZmfOWF/087y/Xd9X/br1krRltrzwjORPf+6CqRo/58Er+t/ndQ7fUb63H15rIzsoTOfMSIGas9oCgj4k/zLuri34usPvorrqbeck6M+o2Xzx+pO7htmikKnujkdpQA5Bf1aeiSRQS3lXz1/+Jnsey+N+2ggNkGvfV4QgeApLXyHGr3lEsn8laM17qGro50SOLf0SfZ9OacYzAc7Px2I0eGzRkynHqY/rO0AtgGufunaeGt+4EE5Eqjv6a+lpJjAYuY2KKU91d/DWKxxpXCw1cxfhioGly6/kR5js1csuFiRWSJzKXWVEfNFu5s13yLSi2nC4KXvrsT+hB7S2ktLPIwxy1N+89V8L7kfePmR95OpcsH5SOac0pyYFG80ZSnWIYIuV5zcdb6QE5JDAgoyhmrdKMJiILJjW9+ZudUkKJKjf0lb89EadFIrTLiMCffz0qFEyGM3o0XegNktiFd6R5G0iSWEUeUkVNgUYm8Y7S3YDfV6VKp4QqZzojTFVOT+qtdqfbq9okSkAFfxnyZBLO7Ey05HEqtIFtMFIuEuKa0gaOZ+MrTAeZMCdd2wH8Cuga1ZXJ0i0hC8qPOiWlvJsBI1NG5hNUOdepQ6WEuRZD2SLMNAqv/cBTI+/anQWJcmA7OUCDv0vS5COzUjblsPL28rs6jJoWC58wsSoHszW9qfXoQiq9kZe8KSNXb2lyiSRUFc7t5NNAZphhLKDciNL4XoyOkYe5FR5nu/CXnZiSsnJDo1m32tUSurTapXTZXIYuSaiOl+GfJFxlW3nIFiJzTaLpByu5dDfDDyiWTdx41d2zteS098Px1J08/v4zX3mm20vO9DyBW5JXmmjh5EB1wE9aqseLL/POkpM/vRWN7BXm3mrWR/4N6GITOgusWVbIaa1uMcfNaTUV3RY7JGSAUu3m1k53swn/x0T7QfV6vXZzG4+4tfmCk1SW2QGgH74SZS7CKJxgjupROAGVGBRcfzZyMU/YcAidpxVKCYdxrHxatlrLMkIIIwbGk9KAV5j0x973qnO0U1ODVlf19t7WVHMTFtme6q/+FJMZVp9te2nphrHER1Dv3Gh4a0/YnSXhEGRf4CXeC02clCQRc2CK5EoJNvSSk1rpUzYknoLhFNUFHv0EbRf4fnwb3segF6ifZ+3WTlvt72F+8lt8xw9wrdm82lKHxxdHK9OvTOU8jcI7nzROnk61TCVfg2wnx0b73lVGv8RHPAW/raVEtkqVyISTvyPvhioELj/UZJ2qL7E9ClQgymjGKomZp64D9+bGZMWGbsypwHRiouTERw/eZfRMUpw4d30fmMFISaKP+ncFpvFnMUqmgTv0bsMAk3uPf9Tq6HaZTgUHahlVS3VNtqBKmSa97dmKBXn9tKUWXl+TmoFmGe2iWYyJ12TtqcMBrO/hKVt96B/A7AmsdxrR/qS/8Xjmgh11+vEQrp1+HHDudBLii1FD/d5301KmhL6lv78ej5ZpqIeTIbw14tDKK9HzYO8U2CqMvQmaclnHwMtrp60y7fRglvigLk1dH7/5UvNGxxsn5Wdnb8+CcveBBKCnGGuvcuYN/SmbSe5jDOxxcHBZfc58y3TUU+1mKJvqqdS4rL5nUo+GvWs0J9sbp6cqh4MqiZIt+PO0ylsI9LgN1Yb/bzVly7Rt19FV+AArB7ZkkPrKQPGDUcYU6lyVZco03bchFtX4N7cZFZ9V0peiYAtLBdtNFVytrZ62y9TTI29yA6fChvrkj+i/7197cm31oHbg/7tYQ8pZJ7KaZv9zOedUalLhR2AEkAl702nwSP8kCoGIWJksZXoseqtdePEts5pNjqtZkoSr7ZaCcxqMtlhmiNZrbvPUgEbDYDbCfRTD/wReHaiCRxHWtcpR2yk9ajtlR227TNMtIP3LkKSAQ2jlY9llXPBo9nXKDxVd2wpSlKnWruMvdJisfEq2O0swxrHwa+B/9khTCtw4eT0W4YLrGCx8mHxrV+Z/48HRgR8XOsE3qYILL1n0Eh7ZLOWRzVIeKVNyD7xh4KKkZ62zgrYPl/NRVWS5z28dpmFbpttsgAmIBtcs0bWESBAagKqg6GnjLavzR6/Ui47JmFTCa1IxnzppOTFvpSmfu4GntamKViLOXTQ2qy+vTLXL9Md3F2dYPjieJk+ZOOvQoGBvZBxhfXV8Mhgcqk6z0dmquNWM2aJvMb71Y5ChqjJDsar2BudVh4rHxVxm1UQrG/RBFDSRh4odBUn9mJ7kWJ02x7kqmTdUr3TL9Uq3XJkCC+NWhxfHT9mQyxJ3Ga31OK1ADicUulLZVb8Hk5o58jmcVaa2cu4zrBzKF6mM9q5fYtIFu8o5PlGaiTazERRmitTJTIM05cP0Q4YfV95qZUqoZFM/vtTGeo7Fcnl+8IypdEr1TyqIRp/WK0rK04N3RlDyImop8NPp0eEhCSgyRls9jaMhFjkuJh4tE3QWwWtWXdJOayk6xP6vngyx+pr0cNEY6z5saqqkqieTx5T3azrB68AivQB1eIwoJ0kI8hCfJ5cSkrcSz25uMFkZWISkW7tZJv/ANimjWplayhU3xD4vTbbn7Ikz72YGoklxXc9z2KJM3VwCCKGPdcVPa5/6LaucsAjLwIrmUgAPzsn3g7Ozw4ODwbF2IV+8PzxX5+8PTz8Oji8cvZ0QkQZriola7ujGY6ALd+QPtWLrRhNCu+EYbCk/tcr5qUyFPcT00wMP7vCNv3zRGXPIOuUwBVPwGUyhulJkL8RFUxf1+NaHs05HNI1xwztyVenTW2be5x8uX2m+S+8lOkifM7HNZSb2/pwCUZxCE4ayRfU80ysvMNOCDbTZau60KPioVYmFYWoaOg1HWeKUXwDGX4h7J0qs5/XeaJXujdLMjs7WMqQ8ifwb/zfcFpfn81sh8FfPgupsLzPLv2ZDtfMOsJedZBvnhtYIzozBzFrqa/h/uBxPA0wIhx8Q5mxNb2BnZ5nZY0RR2/Cg7VV/U1KQAb/uPLvNZeb5KVGV4Oo3nV6z0XsJr263tcz89sboOCr1urzKAgILF/liYGOpB4vBViZAexkCnH6++VOZOviysh6+qP4EGxfn3yaXHZiN51OkOyx6FCI4HTsPtclBO5tBqPyJOFgDdO25EvQgp6bBE7sm7CR2H5SmrTVL09a6y7g7fakBekK/fFEikkvcFWGIbk2XvZpJONXnXanLu1Xq8u52yyM9XtxfvHq/GTni2L8RFZy5hX3g8IcwGuH2UVh/iBo533odYjRX8ehMqmO3lHDdUsKVKZMG7E5z7dPUekcDXSnNcyZkMf45idfr3VKxsoQJNbIrHjx2RuORG7n3qtdsS1qEUKnUW94q9ZZ3l0kITSEC1dSdeJmYilSp5dNB0kdW3FqcImhgDOGPiGANtVFpgaWCABty2SPZbPiuazeIwRLMJCCfRn4YYfWDH8eoM7Ds6XI+crsO0gwZETVwR6G2qO/Y4QQ9lHLOJETHgq/drzJOByMa+o2tbZ3Qd+UHAaazcOBDft0plYa04eXT5k+OmcsrShe1TEfOgju+CN8XhVBTN9WNfJAMq1bHrBzn8qRrh+4rV5jcgONxFhTjaYrms8p53C6sO2lnCHNBHpq36G3HxOsNdeYNPaySK/XXzHtAViGZ+TKyt/62JMXRveaaOC0wU0VSCTXOCRJ3pMhXUZVEKDgbKAWBlJtYsgHnXWGl5ln7afOsXVjUkqVwWWL5y9BRjLFd4SqJfmQotDIPdUpmuB9OEneY/IaTXEtPbxcWl7Tz6hUVIrS+7JXrla1cSe7zH3+GmyUzpATP15/iybHl/NlVTwWf6M+1GXirZN6Y512a5f3HX97tUtHDCd4VEfjeqDyb4WVmbT6Yzc42mQ0WQMzKs98pW+Syqo4//AIXVGnk9BNGha4skZS9wmRfx//dLqzHyM6LIK4rlx++nBmV6Tn7WRTwFK+qJBdApSh1z2VMErNXgTv5vMs6ICcbORrrYhh4LliY2oKqaCVcB0/5y2BsVZ2VGbhMObqMPUGF9+MlDe8Dxl2/XtkOcamtB5vgJhSooen1GHbnTBU2QPxkJVp0Co2NzpxpTWisklzgXmX4g/+5fhlzGhllKH+cOTWpaG3X5I8dOoWlc8XK822XzLcYz339OS+zyU9Bf6VVxtxDhvB/ztQ6JVPjFZxyQW/pkfs2HD2uVi88IR9RuoLZhYO7ZWFVHIT32oGxRVJVBteYAsMJJIfqNTtWvApL+cVLUZ4UtpX6I57OD+sU2hdZ8umeAJS68qQweEGWGEzcq0A3naHZ76qRHshck4FlOaW37FQbv06DL3yum6Ubnvs7/K7TXHl2WyWzo54VoObyfxFL6Teb57E9J1WJQQhg+CXBkcCBUn3ONLdLpsk9OY7KHYUvKq3xmyuv3E7ZwavpBcOo86F45U4mWaiVAsf2UnK7KFdTtyD7edZutrrqYnB+oY723g6O1Mnx0Y+OfF3c16scv91CdaObmTU5UA+orUncyAKWlJ5Y9rOrVdMYNJSxmwzZr2sQVQRQZdWJt58zcRnmq0+41VPfDY4HZ3sXA+7i0+qowdnZyVmNKYB63/2thAx58LT+a9Ch8xw6SFxlf6nY+7rU6GCOiEchYiTFzpZK7sO0DCZmkqw88W7JxHVHA5kBYQuA4I6l2lnq7+EvkDrBj5NScuTet1Ie3R5Wc28oAw/w3dsUIeDjD1TNvMFQAbsyLPWjVYy6Mq16z6NVQ2p9fwuamALlw+OLwdnx3sXhyfHe0S+D/ZPjk48/qkprs1pTh6e5n0/PDk/ODi/g93a3apc1b/ZUpdOGS2l1c3NbVTb5Cvmzm1tyi6l11m/7BQEF4JMt+BGrn9Xgh9Ozwfm5XN+qrrwAm89cgPkqztei/5RtJNqikxmYav7QIFkZTDR4pxvElAYG+9cx9W9wY9ve0ZV/zNCoYAthqzRQvfWmjG5bJXSjP/QO53nijo6/M/b8hlGQljz17FeufwiwO8EaD3m+zZgktLlrDgp6IJwlK3Pa9jMo1qB/vPMD79RNbl+WMgWW7JUbe5tdyshHDgPBx94X24RFrAaMBkslhKCXY27JZ8uyXZU4OyXEIQxezU63bszwvRuKrn9MdcMnyWS/ZCUG0qwgmwo9do92R0XdZhaumewjjJ2voUlsFqqSm7kCffjkLen7qpL4SeDV0MOv09Fr6grJMYyAo2vqFuRDgDICWJ5afWKiVnlcYnWHFw1IOYL26UgvUjO6NEsEM7XSkSrH6pSqH8bbdIc5eyI+e/3TbqYwsaXI3S4gd7uE3GfeNYjm2xcxv4ochCDL7TaHAmUKB2oT29iS59jnRJ6byCdAlsi9n9gJGmNPtRX2MFyZBp0SGpwTZhHF8GqEblgjNc6mSQprpGnyHQ43CcPgyl0pc8t7cIccN5TmyORI4x6XKoAtFg1BkCln/DkgTsFxKefiNozC2c0tsNaILpO+6fzkeQGwooP1vUiqKtfluVg1vwGngB9Q+Two5uirjvzxmBpQX4cRUNibjAQPYxKKCeX8+uuvjqp/iyWiSq9Zal1xr5IEsSew4USDRhJPPfK/Dm9dOHbwOsi2ySjwRkDUkIUb3jfAGBfIXI/auZKxAk+Mr2dMIQwk+ORHpPoznfTHJacj7wqMiiEiZ1DmGtAce/8iHzEmFKK34I1/pp35i0Iau6BI+MEIwxY6CbCdSxxljGufG8zyWuOw7299mDHNWwZiI/04C/im0Wg4jYIEl2wqahGjdksY9R3T++nNui5jkr2ChUiuz3lBmFaTuYC5DOYCxnpirw5/Yb194t9xZtA5a0l7QbBB2M/exuHEpT/oDXLEvIe1Aa16g87hDYLnrJke4/jsJ5ADG8CDqZIoPIdZ1Vc+8ABJir3jA7uICpsEKv6a5lEWtrBgyFiUXAzGDvLIrQ/yG0FovIDqaQ+QsYZBGEvX9M8eghJbbxnEQ/07cYTOWkS6bWRJk2CXe2V4McOHJNg4OAY/FHLlc2Rcr4R19sNgNsbVwhNqAyetvlag1FdfkJkK5D+sBIh3ITKiOuEo+EWcdMdxxCyqNP2yqy9GGEJI4l3rNyVhNxKZeFyGnAfCa0USij4Ey/aAwbZbRJQF4oQBy0EYzb20WgvcR9CD4clpIq7dKSogjD7MWXGYwy63GaEkcU2Twz4U8g7dCchVnO8IK215WTs1q5apNA+uUyomNkvW+oB24uPrrux+OIbjI0GnOEjIz0ATPHhUAtRgVYHwTocpzRjwWUCxOe2QMdRGKzP9VgkhpGq+sn/+PboI9bGFsaoM36c4FS8lREmroaM1LtJ/NviLjWF8x6oQqYzWycpnEJ5IBpGBzn3Yv/TLNxfv384/hJOde0QOdtkR/gQBGhhBAMPk1PU9DkW/D4PEn4Lh7dz5sY8rK3zt4L2jcHaVwDEtbN3hZGSkLQo8T7zqdg9zjsRz3+nMIptIFZzcYz+xEPewYa4JoN/DSWspwsAKu5zYj/uZRTZK+4DjTFe4bd0RTUePCL4/m4D88K99b1RwKHe2S3fbdgmTYX3IPKb8y2+4NNa+XUekfN1WAE6YwhYC+Pgtq4Cgxg0+qf2jw8HxhapjrTZC60UokBkZmjUvwl0b4pkF6+FNCHkK/1NhtPJ2ff+o2WKYMhDAlPAhtgrpZ6vu4p0yEwXlylQkc1mu9LpURqi1dq+mevDfVrOpMesRA8H/1fuGvuWcw6GFZG2jVGk7wGLcCGFlSVaQnJWzijHCHpLb6RjrB+iQYth8+APogZ1XwozbCe2p+tRg3b0UgcxI8Os0lpEfc2gUXciC0WXWygxNOS0K02Tzfz4i+ukNbN3kHqMU+FRMECqZAF2fOkkAubUp4j34guBJNuIYD51YqEIAErDvW83Gc1agzC9hFv0HnMaPeigOq5ulLgck+2rxvQyvmc9m+JApqzcznBFwEdEYqqLSpNareaSJjzTTWZAare2/ldm4zNtwjicUSPr9XLos8WpccAavVi02hG2CXhl1BQamug+jz6oCByZWoF/7EdZ/3AKz4R1s+8pJ6oM0pYO7j5QAEyW8p+I70NtAxSO7yNWPaN2utE6qvVl2wrQ6S1ItX9+wOtUKGI2sPDO9Pjolasp2NxhTMKVbP3NDDZ9ZmXW6SxLhxFiCr0IG5g9W3+yJdjrdzS3tMumKpe6BmiEsY5MOftZ38mMVCXnUGJ4OhGZNg/TVTFFHTWNom+48mLsutix8Rixqdo3CJXg7eSu0Eq5xepB3WRMcLpkQXbQcZfYkHSPa6sFPUzEz2Jf75A1BRtkYUveh8unVZFGr+VV9iQVNx6MqJOTIY3YFSqqb3Fbnh8fVTeKAZG+v4ItTgUPs1CxMNH8a850uhoUinbAt1qGeF1eecQymptcxCW/wnPyav0dKunefduoQcrLPjYL5eCpKfjiDZGBcB6d1H7kwDMw+RZXf0yWyEuIhLzQFgSgvIiS90BurkRvfSpo5dSjS7Un0QTDMLdLKnFRmrWbpUSFvEQfPDzxX/4MHl03hpgdegkWs77jx55jPCPboxVb/FAZPoeZEtCAe1oHe49Fw5aVKUKWVJ13NnLN1oDb6I2DAsDRUg9pK/wWaPHDi7VhPVPwfgefeZcexZ/xo1sjJqaV9bEY1EuKy+wqvoE8EjVI/YUrV5QXIIKA0kWfYx/dpPpiCITfVaOlotIJ1aNsD7DW9V3v7F4ffD9gVbEeRCGYf7qE2e6yOZL6a4asLE2WiZsY8a6xPlqDrPaI/yZeew4Nb5SYGx48W9IVfbNXhk+7Q1FCuBi3lzH1UdwkCa+0YxIL+l1RmUk8kFmbMEdJzjKLs4mFhpB+Eh7V4CS/+wN5LIx9il1TwCqz16cn5hRTo48DIV0b+OXeS1liNtRPUv5mEVKyCS3sDaoA5C2EzsJeTnfIjN9EwPe3S6vt2t1Rf2l5+NbFz3cst4EKrfFGvPm0fk7M3Y7bXdIzTGRwcXoht7mh3IpfdyhmAJ72JK8pC0uLPJnwfZqDELLqcI4/68jFb4A9h9BcHuAgEwaPlH6VHaorvTpfr1huvLOd3ll+VA083A3m1dYm8a0RYLzjbJN4tCpo7eRTotj71GsNtdOvGpMNNRdWnJypxtUE9nHDocEndhT7J2LF+1QhnBfezDCw8VPnbffni3AlTk+OF5ScsiiB2xYg86FygN23oTsTXNcNGN14DAeTsk9KfAJe5I+Vfq8dwBqfLhECTceklMxKrm3iMwkyW29z4sXiJyD/nTuAamN9A/fCOYiXmeKHuhdfAsSLfEbSd7NSSTd7ZKtvk7TKPyAUpvfcC2R6l3IJOwOEtq8SJanVRLmbQy9mX/yKWpnk/UePnWbvtmdgDO2I5cyKiPCYPFUuRg6VVEO3eUyTqNotSKRj0yZDoEzsIWdDUqL2m6Ky4fs45/ptwmredYhfSBI6GG1ejAK6fDbDNn3/B3qTs00gnApLuP3BXfYtOuRGrPBoHxo7j4jh4cEgOMptcdUOZshSwIgeB7lpUU86/OXzJVTLnEZOT/MugUfkxBYxdatFId3KEww3qQOs6H56V/DSq6RBQyNPhSYwLx4ane67u6kME7IP6MNNRNnCttqko4PnAVxh1C1jOu1HgU9dIOUjuEJlmFRlPHNcu4ThpeEtZDRVNKSzSRvwTWFBuS1aDVaKQ6K6aTaec6FBP4U/g6sT/xwwnPh7PxLglxZF9008XcgpnrXZm8ID77NdkwFej2HMU0RRzpikaNnBLmM4IrT7Wfyr/cFlfHgagL9e/VRl/OudOUGYGOXRnk2EyMxDP3CbEOUH/5xwZnTpnIDm/OLS4IIgxN4t0OX5llQU9FsFPtFY4CSf1I9S99Qv1d1JV5d595E4jUxw/iLle08rroEyM2TRAgeFZg7RXX45SHwPt6BB9pMZPMZmvDSdtXZBPHghAJow/B/gsEU/UUfGokot5wu5fPJn1sWnShQgsB9TpIr5pOCvzfWc5vidz3PD9b8CnDvk1/NhIJV7udN3avV5u4Vxyz19hZqiXxNbqcZoHqxeSwSCi0uTz/AfqPd/yN7gxiM2tmd4lFng07KApnLncbYwWta93gDpx3oKsn6iv1Dke3T+/+ccMlmf08xsMvvxZ/akFZ/vPP6tdVa9LHPP9xccjHAbn3PHcUdLTxx5B9EbckGIilGEXRwU1lZo5CuX0qK7MEN0ShqCEotdaf3200OHnXg0daxU5u8plOQ/SCvOaTK9XpMl/jkK4OBHB4Lj/eWUepwwVj/ua/MPF9flP74GaKTSG2DI2s75oeTzJa6uStldC2nIohhck7b8tpu30lronaFnM8ramvobTraYq1ZpqUNRKE7pStV9Fk6BGAjGSLvBQU9wSwc5PfN1Slc3WZhVbdSKyczPTy2GRaF6V6pslVD+QhBfMX10Sen+ddXDqeEx5Cg44Qq27PD+oqcHlGRaznIKKuAf/3LuE/zk8hmv/dfojXDv+EctbjuGHAWWDwU0q4w4hnq1pNLAbFHB0yKINvzLhtpYn3CcuZwDtJvktaXf0tqY+fFdTJz8B9fDeD98V0GVlAmwvT4AD3ZTnN6fB4TF2cQT++Eic8fElCbCzPAEYO5pDxtFvuoHgrOWvIlpF5fIc9xBuF9xQNXUwqKl3ZzUmE+6gS9xUuJPgrPyOvdF7ZTS70A4BVPok9Q5z56g4syb6s50Hb8bD5Rhkqs0IEBZeUkdnL3o4cU4cvtBlCPch7F4gd0E+T3ezzGqeT7VYvFwXwK+/kpQ/3Dve00lZ4llF3ZfdVtUSLPVll7HAw3ANw6wTYqR8nMI8NBp2HunoU4q3p3OlnYR7IoOybWyVqjGC9ygg6W6YxsnYuIGCAJTWHchy6N6oJjNccF+OQ7CThTj6lT+/+RAGn39+k8YAMlSyXnuFqYJe5MTUsvBXOc9dMZcYd5uWW79aJ4pjFhpslCknm1wFs8i4oqY6L4Ufhzsxp7OmIpcUVXgdZmaSS1t3vo1mV1c+1z6EbF/duMNHISzaU9K3sa9wYujExo99ePTvKIhiRiUundJKtPZWKXOWuXTeMi4A2acG1zabhcPGv3FTMDpQavtXXwuSs2gUZFAmHqYULhxQTfOwpB8SA5sSZlhH6TNFoCA4fY0wkoTZhSeHDPoydbDTY/FiHvTjTK4S3d+aE2ERty+j6dhP+DFnIYlZdMsBVx4z5Rz6ia4g0NmT2CYQRvR4FaK3BpMawxnsIcxxbDzjhGmVuV2ME80KJlLja94eWv8n+LBl2kvjq9YxTDkTLI1ng8JL3SS1oksp9tkgqQPL8Qgku0GBIeTXYkSmwr5xMCUT6jGWRlF3Vef0qD7YO78wR5R+1J66CCBYPwMdl5KrwvUbcQJETriOo8ZV3DUs4q7pM7vGej97bViQIIUpcouSAkNoc9m+tr9nIx33qhpHq8wd8TX2w7Enl06YHIclMmAtHkjTVMmT5GRG4lDuPddMoAS2tIFPKVmoygOFRJ+TrirGp1Zb5BLkDA/Qce8R7KJyqplkQ1Jz4QYNNCrSRvOfvU/U95gp/CiSFVQhdlEjF2ycUd/ymkK4R6xyorQSA4p4eH5Sx2JvsutqVoReQixSMCKhEyukL5+H16BoKNCoiFZyUmrRKUee2UIys8zoScAyGArup/Nmc8ui8a6+eUjBG0MOS5DdwrdMJvaMj+ubsO6iD+VZ0qvMV8J+fz2LPvZvJOdpKtU2aPZyg827xHfSnNYEDul1qyhbztyXHYoGcHa6SeqJJYXSOZODCLcYJVuYActQWRPiGhiuabvz3MDSdPXKsUBDxgRGr+t1Dbgx8S1mQnBN6c0NFbBwLsWElgdu4PidSRJixJN0/ubI5WqLvtpLMDceuHmDajQmxOMo9/R4MpxfUz+h/NtPbRZ5XQKLTvod6+V+xPJyBN958MezsbLH8tPhqeLKAyWuX/SCpHuJCgInTmJVGV6eyxPiw1bwjq+7VgSU1UV4I4bMRQnbNlURNHginmh0BMTAnmKwIEY+KXdU9T3G+LlUNXQs0T4MowiOEzj0rSZ4S/oNROVLsdU7nVLtr8z1NZcXSDWzeo9KbKjC0n9PJx9Z/euiJzPsdNxtla0DP954IythMWJbkBVtB5Ez6uqve+TzPRi827s8ugD2Euiiuh764YHSoZLEazQa8EvsATkSKaiSpBfQ5B9Qt+KAtN0SHT/Zx4rCGpf2M/oG2LfvjzQwxy6ohXc+GD1U8a+HsKFOz04OLvcR+IOqyqxtKJOSBD6wGgIPM/GA7EPLpw1GNUxyE3hxCqYG53vGMgy1Y0I2OBJs1xeqHYEGcZFTx9OYfKwoZ5FbGVbPcq6DYuKT3WOO8tyw7M22b8iJfCv/EkqmUTk6o/kiatlu/FkHiLDizmZ3fGe24YGuf+srgzQ5nUVTzCuiTwoOKFXz4glY41Rs273KtoHNNjgMXX5iIjqaq+fS6tiOky4WaALzluXbteEh9mr6IrJE3GAuvZG3kiRPUOmMLxl/VLhMSbtsDKDnQUubnaopU0yTKEYRqCZanDThDtyOWKKIbg14+hEO85nJCWETkkWzfqgcLD/t3sDtReW5UglT5uaViDvoY7iudz6YvIEPrFUZnJ2ynK5/m6rgwKx31DmDtHu8sWajMat4CCIyI3N0/piWOfK9VRRNHBH1G8BR0tCMmjjKxF63mxxz3bbK7Ex3D5qAcVvRgEfasjQcgxtBN49WFbICcbPL07H2E3C7j69T+mhOrWi+rzp5K8ak19a4kkzzCe0MyX8EgbMrShmaF6LQza7g2AJVlwyOQksDiVIfu9N4I+bFrOb2HWbNWBtENwhkwUBzW9lE2Vqe0WQNWKM+sNhHTC4akzRGR1TX+AlY1zX46TqcRfT6vub9WvnYanpglFWNtWKYPIbqhGislmqXJgJZery+1XsAlpB3U3c/rKG3vt5XxO98pR6AhA7MfsxxM6dvzQ2V36BpiucJkB+eJtMFn5GZ8H2C4YYdMfEm+Y2gbhNhc2TXud2uKu7oDiXiCHgd2bSIlPaKGsIB6YUZDU0oa4aUypX5cLuUDzElp6+Qn2AzgfzA42NDvYMNCvbc9+hMrJmQFyw3Q93WuBp9TE8/LeD0Hc9upCZjQURyzofHMVEhZJx2QQplwREjVIMEs/vl/7V72H0O4ZDoBbuq1W70/qxufLQ9/197u9HqYIcureJSAq8IMWtydK7G2fzvj+kvrH7aYoe19YmHiWOSiY4ZJxr1y0pqpUwDd4Y7QpxqVvP4DndPCtzoxrMfYpPAqAiHk5EP+iCpVwqTkKepR7bTswQeJ2tRhTJLa204cFyC9A581ORs1pVDZKAiZrlGlQG5CkamxVA4xGhGKMkvzw8QAHnCGWGWNqN1cvMUfGJ/76CoQLmdHu9p96ZOaXJgqywqtTDlHE443NnyrydP76WbKhcFqKyPSBYTXuH6K3NdtEah3uI0+bT7skVlzMCMvHpBSryqOKf2L0ap5icbTlXquyijtK9V6K9seRdjpg/6hLisQgRrNc3uS3sJ1BQ2V/CtONCcWyijDRbH1niOWVcQLCbWAQGvnTdbO7Y/bY5WuzJB1NGvvFsXneYR0kjS7p/j02mXBdEkwUZVzlgifaVi0le4evwdJUyWOCHTBM9nd9HgFni8etoMJQKfDfYOfkSYkQ+Hp6eDA669YuEGQgSLBQgDTvORiB22hIpLsQjjnGrEQcKQ6GS9jO2YbHJ3xmcnqqHWt8aiD/ncBvcmZJcHYi4EXp3LKlKtj4ElJCPOK3Q60/PkIpVnGKzmBhcfLE0YGk1XCzbxIZDPHotzbeY7tLJRU8+uXmItWvm0rvOo3moPFS91WsPwLC4ri4YN9Kj6yipwIanNBfmwRx0dflVfK9P7jwbpVF8E9azg6E4bIjzxdVb5ECaIeCozam5iaU5ifVl7P5jUWfceZ8JJHpcwlflBcFZWrR/ZzZWPjIsrR3KvR9AvenMuYCf2TeSSLuxirmlJtUBpUL9dFiHD4VJM0Z634RH2p2K9d40CFFduVNNBanK2Vsuz4j8RVgnHV1ZCFsS4uBkHe1GYmHQGArUQDa5oedSFpaGg+ZGbX0MWi48/rPxCfnsMZ84dFwJ5o784gtk1VyOE1/nxolWU9M4sDwQ2rfWRJii5GvZNygpXVevbZRGwDxJ07YNA9QlS7zoczmI8iK+4CqemKJ3PXlhKaX2pBBzzIRTbRgpch5iizfS98+MZDIxu6mdQ5ChtUyKNNaMk1gQPF/O/JY8Ky8gxo6hmsjFqknRRMxFUzlr00SSgRBIWCmYh4vR0oCPMXpETKQJMI4c6dEXUxJm9PYED1c6xYLmDShx9iAJKVhCc8H2QSZGNgET+806EsljS2xRyE3lT72H8Ehdzi6GR7tOFi7+e+LewP63ezaAR8tcnI3S9EK4E3hinAKFkNRcC+tCMnqg05Lov+AQwkV41kQq6IZHoKFYOjk0aGMUYrBKfvGpYRZU4aQsXAnQpkdM7pVVdZSgrF1j8ywqZwM8iZN1sOKSo1B23VSbGR2cHDJ+8s1nkgLmVPBU3w3PXkeuBHEQEdLgsORbgI9KXUMjWVFo6TlCwVDVHDYQJbJBRrcZgaNx5ElgxHmV+ITvbcfuSV1gs162qZNG7DI6azpz6n88isYYpoR1ruUCjY0F7T/VBEVgFjn7Zpu7VKpXUWKgXUcEJDOP9xQV7dhGpy5Oec+QKpUVaq45vqxDvd+s18X5X3caLsX7ToLljFCsb8tdBF1edLEgSvWQa1lkGguIO72Xh2zk9wnTI2RTxQYmUxfDA1vfwrvSfrwMSvFUIErz1e4IEpxkyRTjBOG0O1sQL4IJXBgveKgQL3lofLPhiDSRBNLqczjQozuPUmU8pRDA6DSMXbpdbUpTgXzVKsPVLDvI3Te+0FqEE+PdpyF6sTfMFCpUDM66BQVVcrROGC2B5n7Nu3ZJ1E+xcVaEUIQ3DknVv0S2rrFtRn1r8TF/tTR7RX0N+GJ2VJDAgOjeJ/5mC5vYR+VYQLzxEfONsIvjDhtDNvSxV23E3zSfJ1TIfk3WeSOatgQ0RUF3xluQ+kT5j5GAGcLe9EGsXLZiF0LmrLnivZMHnEW9rSlBnMdt5ggXHKbRrNdufCYTpy7CBhkhKYYgsICRhxT3JHjTYQBkUWTNqMexh6MIuxdC0FgBRPOdDjBnLeTwNJ4Row7drFHoUq7tqMZ5tfrt2qo3nrNhmyYoJbi1iSDF07IayUGZfa4XmgWwFKEmD2dZUHsrWmLpcH0ntJuGMiim0y5nP9tqszOJbJQRbFt92/rBe40ByBX4VnevhaDb0dIGAaORDQtam2EqfuQtGhwBAM5AOWm8x+JXXHh5F4oF3CSqmry7PjmpAx8D/7GX4k1FzBZadMxcXA+sKWLj3fHTai0x6mHzUxzpIJJJoeFferT+xSqZ11uVkZBLZ6+L+Zy+x4M0+a8dslzAARkyMgvgyK/5kSu/ibF56xPJ5W6hWTKUJx91AuWBxZ2KGn943W+gNyEJRuur8s2+MVbR+rTfOg88KDLwIUtVcecvtlKnCzwGjvXhhHNrIq+uWB2nFO5AGIU+NOKKwAqYQMDiFINMK9s2EIeBWpE4BTO3WujC1L8qpLwtOe0rguUuC07bqbVtnfmGE2q1ChNqtJxFq7y3DdQ6kds5OXoPqeRxaS0CkULQFwMmZEVamwQzMlmoRSq193/pAtVuFQLVbC4FqkZlRwm+wvvZaIJUWtqzuKqShZhHO8+3jN2gKVg0MK2PbIkSJ/t0kjkoVhFwm80OQRkXxNILSAhYtBhT1KH1Dd1rJ0Juy5Qk1l+OTdW4CXwfOqgt4rgkzFyiaKYLus3ZBmX2+BDCp+lppaNKnFfHXBiRNk1xR7RWHHxZMMjppDpNUV7ew0WVqXKrWckrKdxZSkxzhGmQUv5a9nT2GlCPZkqIaLmfKZMNoSaZTBgUtRsI65HnIhvTyqDMnI0zTTLFENKgRlVxgdLgIMMRkJ6280cvcAkuhjxr58xIApEUokBPPQA7rj8YpEms4ufZ1zwZOJ0qhH2NTeyb7qdsxSU+4VhyzezlcUK5DwSI+J6PACQqoLx96AmtHCrU7ZZ7jVq9cFdOAgqJSWqkPiwzFVZcoMQk4ksFLVrIsgS7CZtcgtX/GEKtuVWSsRSkD4tZVXAqEnl+WjiaG65j2MtZJSvnBPEuThmf2cV6Vbpk8JrPguT1/g+E/zkssgAbN5yNpFmN4SoJzqhu2M3yozw+uG7AYk8Ihpmpn5GX5tTTZvdsqZZXN5Vkljwi6EoOU1z1adY46RkPZKqkVYy+aoxtIsVNbo13RIixGsyoFC3WV1v5ZQM9ncn4qHA5wxgi9tashZtGKbC2/IvNooC+1JtamTaE2s5YpQ2secu0J+0+w3EuzrrWZwJyHxx8N4jP6JyafvUVQmve2WS5omgUImmmqon6fqixA1mTtOrtbLlMniUktpU/xtGssV1DgpAF/91Hqhzg7PA8o+pxVXsY/saFyjE+7op/xiC4s230q+/RU+x1W0rZ19lStqGykthbiHrZhfyDLPd3K9tY1Knw6Bnyg3evVBOMpVvO6k4a5ksCCoVWFmdXVgAOTR42WbsgIxlXEmgzcIMoGF0WfpqU8kgqbVrquvPd31uAKUxGblkgUoOWsxgoFx/oR+klamXpXRJN9qtabahcIvksYIE3EozxSBPIUcEPMEsBcPcTj50wq/Fw7UwanX5vNG+faEPS/G3S1HI4fMJzU04amUphLEzFNNDMRvCMzldjA+9f9CaOZ6VRXzPSSg7lZejA3yw7mdnMNVigub3/ad7QyI+TgAMRX+W5wMPiBG7/jgugGlZ4om6bFWyYB1+R5bkjWhreh3256vVkNFnxqVTkDRuJqfFjuOrEVN3OI4cOoUZpCxQCPAyr3kA/VreQQoDSlmrncFFq8hjHVGnAoB4wrBFRhj5hU2hiDge9MS8Is6P3jk4tfzi9PT0/OsOG4eL8zmLnCNrkY7tnMCs8LjABmvvpDLNgQPAHaKYwKAhOncD9TpwjiqV3Kda01uE6CrRpZoCZZmPBfkt3So/IluLDgZJKPF4AOGBLahWKONrdszyOlBXG8jsIcplgIVjcMZvggayw8n5QAgq1qcP7tjGKxcHRLcJMVlstB1lqNWIgfGbmHVH7sdV5X73yGyrZTWUwpA7cjpuTRjFKVDxkXFUvkU6VTXZefXvUwa5d5Cgsy1tZPRitysuaI6Sjd3A/3jiUCMEhbm0vJXJAhNhNBYCmQnFWczR3jXU6tcSVtDT/K2kxNrIWaaM012+/E2miNwxdWXmJGOy7PTFsyKe2ptdwuzEXbXpiLppu9KN0I9jUSRefS3SRrNc0djXTNKP6gIWyuwpDQrAoSwrTpZGwIzi/EScT9TJZV5A39KZvuOrW712xqKV7ap6P7dJ+O7cK0su1XSytblIbLUdk0cJZNTuJDjyNq1ySiGN6DBAxSgwUa5i9hgiaGHUQCSvGgBhhemSU7JTQ615iDmIEbJTqDOAPpm4et+unw1CSPSyp54t5UXyZF7SptKpOjddqBnVswiMjmtIAaBvXr3gT3M/uRiOAEEalb3XIuHzfLCuucdbaoBpiSWfjJ+S67KWv/5R/fII4IZwykbN6umaOKQhFp2ptgeplSHR7Fz2/EPYLohurTrSfC1YxBmtFiq0G7R8ffZ6MbA4Yn2wZnSuCYjefwSbeET/Z1gSo5dCsDOp1Fom8YN371pSLWi7mAhI4O9dvDcGoaFB5Jz+0YrRyaGGsoebzz3INMMSRMES86DucYQWb9JCOkj38jw5hjigZDTwkAoBtbC/ysteqVrBWhZcyDWb1mzoZ8ztGFsquKq82SqWWibxV27uwZUCndau8tVa2iqYsFOTeMlxZOXiDetpgv5VhPIS+eO7gMzUBS4JuwkIXO1yvUj0zcqoY1lq6GBaMdQYYNHzHmhH0WU22VHaZWB5wKlWtuiPZVXdu1WkjV55BDGozbXXryfbvtkMAzSbO9xH4Tc88GXHsVh1LKPX2sDHAjMuc9WxyjIT6jKIsRiTVLHhajtrEpo5HTmHeLQduKAQoNeD0qDOiilAtcFmS/R4JGMXoKqzorGe3eaYTNmoeexlFIvZeM8VDsjyL/xhTsffam+1yMJNCt6VBtVxhtGMaEbiO6vcaJrsEGitQ4pA4PYte02jnzRerUhJPYfIFtrBBJmQvgGOrxzIt9cZUYriA3hsAJZm3PYotTtwLQz1v4VYzLQ9ULV5SdS9X4kv8uh5pU8uixlraE6vZKVe6dkq0wSNUpC9yK1aunbJx1wqaWCqeL3QoUrUcvwcIYo5cZDZAfXFI3I6JhYoyJg1nYG5SYql1trH1KeeIVIiRMDAwU5oURBvHMj9mxzump2jtCkOCldlLJWhUk022/vmdhwRpxxSZaidr7d49JPyNt7huY8Sklw0YeJccOBbcbuNtzjW1C8U/N2xz3EEvPlBDosDLaUPwKqfG7nnE8k7YSFsGzG4yGKG+Ur0QejZYD7VJV6ydL7KWnlmWn0Emw86STwLLeX9NNoJxLEBvYfvgqW+NaWBOXOg60im0Nk+CQI0SyJkg/RPO7A2qi2xUJZjSUnVKB9HTB506hD2Dntywtsw1/2zBwR2N/soHu6BRO150x/gc2CiIZ0k4NlFzB2crM1Skhh5j7GgbS2O+TXOv3Fy0x07Vk4cR8GBSGsTsJ/+5wHSr6e3kg8/264NaPl0cXh+fvD08bRyf7e0dOdUHLAKK3yHiHdcZ4QQkZgx5gIZ9IGHbSII9+9h5BYwGBLW5Fk33D3dhJ0ZaC53RJNU+XgvR3t0p5ulvG04gEoS1xrOWKwoAKueCAq75izrj9qb2Dj4fH8N/L88EZ/OdicLx3TEWC/AOvCUWm2Z0E20ER/gXfmSsQs+pcio1z/Ow39OqVt0avhKoSG+ExW4raU1jQaxBTJ2uxU4HDLJgT8E0SzTyjZogEAWHLwzOmjlYlTAJ+FgmaU2UlpBHBhsPCw1Upt1lCucPJHZwJNNbfwt9gfW4tf8NOodW7s1y276WRoAMWXLgpdRGkzpB9QcdDAUkujSwdh5OQskPSZhc/nlxKIq+YL7F/M/FGdSwVx81YzQxcJwDrdA6sWKgDb8FH6TFs84NPIhJw1eT/6r4awHO1TAKv1Vc5b5Zz3RPqXLil+3p0LDXwxj36pJW3lDbIpGw1vpP6PlJyehjd1O/B0nKsEUhRFvyhDQJ+qsJ+hqqTKxagYrw6F0+0nJWZabtUbms6qG/Vex9PIjjd+AzB3OagpKhuvdRBZy/9EB1g/6EP428dziTxyeust3F6rLL0TtsfS80ZH4J+zP1GOKAaaITmH/iEjW/BOPWzqT6HOmiE7hx38sjKOpjs1CYXIbk99mX32o3nkH/nOeTPsNnrkF0yA50sRyPVSPXZajabphgt7cOU6XJaITgcdRW4k89cwwZiveoQ7CB2G8kAWUt1pgFAddMmwWAgoc9ZcjYZZg3sGpOzx9VEfjzfbBV/vUbkTliYi9QLgq2/0WdCPheWEgZhn17WMDaZnTso+ghvVcx1wmiYZZQzb82daxyz5+pzwiPSoP4cD8lknFIQua4uOcM0JXVRxL/Y62IlkqRf4wmwF41qtESTHBX09wESwiM6kscZoE9QA02uWSIQySy1uMOZ4QnKE8GVcM1DDbWnc4nuydPpBqAZxAgCJLGy0ICeMuRlAOdDQ1kdiDieJs42bGYlOmyvXX3OvivwMzyx7+i04WTAMk11DYd8KHYoaqda5azJIVNBaLBQ3NYC15k/heaxMTXnSuTJfrGAi2Zf7jTUPjKwtDzTa6Rdoi55I9DX4DJePJZ3hxMnTjG9Dedi9iam5k3c/4xnj+ENeo9cRPOvmn3jk0o0on4sKXA/CVkuZk0D+Jax0mtWtT4ZeVJ4COx6LZUdIW1RdKhOmG80Ve/xdjxYaQMhOIAk1TyHa1rP4hqqdkcZe4/yoULGIu4RTGl+iVOzmI2woYMuTvImps6Tm4eA3UMGjXtF95SyEI/MiU35NuJhDbiBrplaPeK6fp/lvTleUxFJ9skQ/kWZfywpCjmooY7DhLMInxEL3iksXnxiaawyJkESyfl6V1yRAj9CbglyGq0A19KacOjVj1OKyfZkvm9VVZ3RoZk6NY2hJmJfVyPyCqaluPnFF5WpZvwB8Xx819ZGS1wDvVaZa6DVWcZ5SPW/lEYceXdSKv06Kk5abtzuwYd6TfgfrCbf0L4tGsF8sbR2qVjl0isXRqMnmc3kZWqi271nbYUyV4wxIo4zRsTxMhXRqxJ9seFiWzUtYlDzm1UprYswVerkM86yFyh/3iksrct7ZQl6PmtYGJyHV4lAcGYnQ3Yboc5OflEEJYhKaidV7ydWpxrLUjFaUtl2bpdu52d4VgS7noO2eajCyaj6KtFmCRGLp2A/LdVlb4ddnECvJ+egwb+PRFJSPg6rSrhjWZVlZx4OclFOcEWfjhPTdoeiDvJBAVF3gVUDfNTT7eitV9hoMJqztas3FsMv1Z/s+Kpx2lO9DB/IOhmvpgvn+Cn6KltCmAuGzhOw+2748yPvrirtxa7czAglYItNEfjw0Pm2DuHtmrRq3cRdeqpp1MVu2olMa3+sAZBGz0mZ0iDLVhI5h1eUfnI9mLSIXq4g45zD3dnUepNRLwVHXDvMVac2PPxHl9qzumhBcmR/ZGoRtB8TNMcrMi0NVYRuXNFkdcANvOtEYMyxbrywM3PaCa3XLN14ZX6/3yo2Wpz4PBeuJBmdt8gdVv7IJ4DYvUFQv4985BNtg/KBsDgxm78l/W9zufbs0SvjRX5DytlaNaNy0LGESkzLjc2aMry7wtHSahaFT1vNP0b4FEXii4RPwYrTjaxJ8INccbDTD0tX7EZ1/tcjuDpyH50lQqllBG2XEPQ3BufkyCnPdSV0Ti5rWhWjk0jSKSMJjY5BRuwyUzoQ5rDkXsrfn06sr8NuJ0AbwhfaUI+YvySn7Ia6AFsJnQg6K7Wq79Bxuz0ks4+QGvz4hBpCcDUEHFsmomBNinOL4C0bININ4Ae6DOAkAwFSE4WyJrHJGp67dDJEGuQsW2ehE7sYSkrUhpUXrVvKx1Ir28cjCTZUjbtOwOikpllbaa9RXgOf3MNPDuSTB5lPonJ5T16YMNVYdOmKVLLjP3UkXXqsoUxxzLyclUnXKyHdHh5T44w6kFX1vCD2ePwUGIsly4EVk5rYwKRYV1+FumSU04cjKzYuvjrvwaUGVHBTrMUDMbqWJ7aWLU57edQEsNHIlETJdD9UbC9gNafW0ip6UR2XLxORWtqDWNNFuss4KZe1znqFGUi93/IIXQyFTbi0Bqe+EAybMv4lYoTaZXzrThG6Gqj8UWPLk74Cso7adXGCF7WkwHY0vAjxYoRsRkKxBrKwCmpV8rdLyJ/B3FYVmgXMBvWG2IIoJ4k7DIPAneaAg4obiJxz45GVGh5RhRgPxCZBX51EN+7E/1UMUd3hF9sxSe9KPD+sxq41dYTTxDtG4XCGI4glEg2X3MCLEnnkJmIgzJo6fwQzZixNzxHI6iu0E8zuJX1KO+ColRfTNl/AZmpKzcKSWXjnx75ZWVQqZpMU6pCJi3nRdxGbTeI9WHnxO6WLLzVHMsZcEsp8XtYay+oMZwlII0dNCE4tNuuKKuc+/YYL9T5EV8NjLKaqT/hqwAraYF2QjCVTMEjiP7/59ddfdQ4th8EQwrnyUE2r6CyIYepfnjn3BCoqnyGmE8h0+ZqLUcH5sBzWuFuASboPD4n4XanUwklxrxnbcXAVjh4N+hCTyhthRMRNJL3ARUSlwL9CZQxNW8piT+SjMRLMn9gfbTyHY7olHPOdNWwRmX5EDou4XCiseuCyRKCPZrPkQJmrEzioLbVhVUgAW1QWOYyv7fR4tESkMEEhwRuVkMZDf5LoZF6rOwl6WuBNiZcWo+IrUih5vb4kNulVggGw8tbtlSxEqiVpx7U0ZEsXxoxKM/araEJAUEK/Z5LoT8NV/XX5IbK6rcUe6WvpBe4t5NoQxHwAEO4DF+cj/U1tzWgW8anMQlT2PT/OzcrowA50ncay6/A36ye9ImT0FugxdMULDLnwkt5CpGNQMREi2mqPRoV6pPv2GVXty3i5nArZhqtoLOA0dLliOjN1RIBfHWl3njZOhRWhqJ6nMe+wOY5A9+MhdYL01QgCmG74tcoObINWgDrzVNOm631d5FghTYfqBnSPhlpBC9DqLrdUoka5fPs7lKyMiygZgrrJpUyOJsTZEnSe9w0wCb0ES4/Sd/x1D4zNOFFnuhRS4Mwnj+an/dDUwTFwcEvt3alTkOMhfBOIjbkiWNuj2u12WlP00Xvwh6GqfPwBgYQIEafX67Wb2612p5sH01H7H3/gCiX4n9nIRa1V3pApWVLNzU0OTemGwdTrmKeoTiM/jPAd5L4ENSRIGxcjc1+8f1s/3dv/sPfdoKY+sRDs7coCUh3khHYyZ2wQ7OHedAo2BB4EBJ0nBQnSwL4viTkoIcVEPnfRs/7u4gwDXWOWn8cng8Gh6jQbna2KWxUdivI31OnBO9SXhiHWRcfqYO+UGi7MtQiFc5x9ATEXo0SYAzUa9dUFvgXjMT5VURNuFDWH43rFovUlYWCqwrgmHEut0tSjKeMXxUoYBj4G5lmaMaa5nMaKArqPza/NebEfkj5wUYf7Ivjg+3N+9WarudOijIgTSsyBRaupv8JyAddcTkC9p+xM1W428J5PiWo2erJ1YH2+F7SczNf5p++8CZ3dvPFJMmEqxS8IF09yxLTgSRmfdglwJ2/H3B6qNvQG/9NOp9tq9lRl3524IxeY8eMhLCFf3rEvD8z17hbIpQ+ZW7dhxxt2hssk6B6mhKlFhVe+KRln4ZXGMmqmPVdWOl0H7o2BRTEUICE9LxS161dLvmtDB2AxzjAiRAvEZeGkVDSZUROjLJf21xrrjHOLuEyKCstpLLHriyvjkTMBgW1+nrWbrS5uG50gyO2nZa9OUGIEFJa3EAt25SYD9wJvmhLgiyZ1n+1MPjNZRI8cWK8sD/DmFW32wmqsGnl/ZyCzDCOrw2sd5QB6I3GICONZzDYngj7Q4Yf0aYMUmN7CVxJ/aKFu1aTOiC1WV4n/LXNRv0LLmQWvasDxwMVssRzkzENVK48kkoCMuXFwdnZyZmrUCampi2vXJXCKOGVVZE3mxd0CiSmZB/blwcOUhD/+DJT+hKpiupE0hiT6uWE3kczAJXMs7UTIDJaHXqUK76AtvZW25Y9Ws87/bevNtM0Xei29lbb4wk6TeTFGbQZbLKELA0Q6KQsgFfHf35swKytj3JLCv/IDeWCPs5ArTCnalrOIGNs6v1llwnLQIb3V9nfLXbLH699yyeQBg/A06B8fJZPQOb/Y+wicz/v6XGgC55j739PPN6q10f4bg9p0m00KRa7Gh4rqJGW1tfzq43k7nsYiiDdbO93mTirluOcq7RZgI3ETSp6Ts793dnY4OFtmj+CnG6laB29MrBhfs9X4+5ST/Qv0Yvf6WotD1iFD1vc4y6BCfrMqK5p+MNJPaU2TVEeKq+E/2832Zh1YSdLUjMaNqhtzAp4PRl0deXfw5z//ZRkNPOD2kipqt/0sFbUGawcqhReDrsqGF2LFoCME9SuypEjjqNF/2qLJGognrQnQzY6EcllFEfhdjhVKGbWIvt9VicWsuCIVdk5oPK23FmgztpZ6EUbAiKE6OVYfe9+rztEO4bPhPqi4ceplItkrP/AMTdnoTIraX067zOmVuyuqlP8TlUZ8gCyKAo1xFWVRG0tvcW+hU4lUBb2bQCiegpz9E4LkLtYqRe8vUylp64h0hY3ANeat+lmrU9/fq1+e10HLqyNHHH+cU/ZIHyG96d6llslGZ2MtLbO/U8cnTqIiLMw/URX7NEDgimEUxrF2WuFPM3gFiBusd3ysanUqo19ehTNg0V2TpeEzcpgkFthwUpo2RbpfoT6WV8f6C4RXAwzvMEPJvDqDtGIUAoZontJ286RFCOWh6EstdYuJLSIBeSTk7tS6H9KCDX13Os0Xm19hIvS9QDelr8S0RaEK4uiFePopvVwVdCmi9nHteyOtGaHiLCt3TQzbgjWidOu5RaqcZ37Qh8K84mT0plgrTq+jL72bTYYp9myBviQtXCoM8DEVAwWlGJIGtIKI6KcpjpRDf996ilVzPcWqPadYLeDFxYpL+0tTXDpLKi6MhVqouPQlv7cOJ8AwNaCm+rwDVnznjQYPajBheADsRPX5BvtSAdHppENg3Fbzw3d47cN3eK2qM/JMQXbqaknmzLQ4FVi/o/aSUUloymU6yWI9pEC3YCJmwmxG1cgqGHwnEhlPOKNjcLR//1lOLFXRwmYZ3UMaCY68YeByXA9T1JRzfKK0Z2vTmVdR+N+Uun3qYhpQ92Hz/7xdK3q7ivUSavNJ6CpkR2Q3pKpkuWoAGy4cP2Ys/GpNHqJdS2yFP3MLGdmMsI1hgGEUjLBSlwCOObSQXhMXQc1seXyVqrSaKrjiOif8gaQA/dCmH+bVKhpLnw6u5mYHJjAwsxFXWnNzGy6f0jYwl3boEk5BX9pq0iXzcAMHIC/e2pGbtuEmng0OeQOHp5/faek/2qqiHSDpXUUqHaVKugw1Q5knyFYUt2SlLfayEjWVpMbFx1ohVTPF6VLn0JVZVdHxSS4WyipmvKJDVs+ijFfO9Pkjc9M45WoCqoRQSpSIUdcqkAYp14KKZiZAP3FuQljWSvH6XRE2+uFRTTSeNnkFO22jNZE7g+QEn96gOh6Jxnhx6xlFjEvi5rYkiKkhqcyBP/axnw1y2XPmzd008Cmi9JBT4hHyEYZmdIZshqJZB/S+wmpXTeaEHTfixG2zhlL8tGv04YsUW5ZQTvlMkMxuxg3D6aauszR3yzxlOAgR20zR1NiPA8lFt3EGJU7I3+Gmi/pgMV45NzZMW+Gt0qvzf7f1dujoP7raddfRf3S50o6MlcsPGxIAatXxdXQUwy7cRim/jUoyXcZc5DE2tGC8rTkF9aM38mfjlVx6C760q5oaKyq25rukhrp3ephRRGEhqQlATvfMqpurMHJFRKARerIOzequci7nlN35D74gb2leSMXmvJCsLlaeO6Q814xqWv/itOnusm7AzYw2fZ4N2FSe0vSqfWwyCnbJjJxi1z6cgsxZI59xMP8xQ+n81DscrFC+RatewdHnm7QVepLhyndTiQTkgG0icumPq17/zwtVL6/wF3oUVcUWWf8b3Ya/R6x5TlM9I9mhjIhp11LYQ9MtbfD94UH94w/1dz/UYUdWjDpkFdKRw6tay6bqUDfiyw8qmV1Z3jd1oHN0yFHdl6O2mJPSjXqP6NnCdamWQyVKHsVyvMZNQzTjtlaf9ene0o6mtnYw9XTMbrPFjqXNTl4bPg5FkhlwTdM/yjqM5qUTomKwrOTkYBRQ7kTeRYGmK4/B0ecdmtK/hp2a6NwzqBrYdC0Ve7qIuTCOLVnTOUlc9rGfZ83m1Rbb1qxWOrtqbyjdVvWMvwL9GP/rtOS1jlEelhfx6b4IXNg2EmNPBzZ2HxkwmQooG+qvTFx/AsLdHRXLHti+E1gcdRrMYv3Gy/MD1ertNFrbu4XPiCmJM3e9zENb3cZOb/fJScw/1W5tN3rbSz2lbTH76fZOY7Nb/PQ7zG0o+OBWCx4B1eYi1YzhOYEvlsrL5B7XCyNHwge0R/Uas1nLDSF0viktMIjmuXSEzGFr9nrAydRa/W6oc0w7xCVOY/V0sw7Xs8ICb0jFDie48QFGdvaHJZToUj+vKNFm/y6QHvFyWvNFdpvrcHEM/F+64KB9WtrpDa5MRMBA0eeqNnqE6+9vH6XKFLNIdS2jbL+Jhp2NEVkDhxBTWYc7BWvPeyJo3c2qr90vT33tLesM3nwiis0rhZnlxJpVKsPK5rlR4ekuGxMLXIZcKi7cJD5eB98yMG8Bdt4bnKOCxY+hQZO1WwaDQ+d/rsLa3mmqt8BU2PLybXA3StVUHcre3zNqKpy+oKk2W6jE5NTUk2PRUsUbnVVOxS+9pHoq4r7IHX3qfja6afs5uukuu5sYvYhs0xw7CSMcXhxL+7BUMOpA71NctpvTfXcL/dG7/6cR//Ya8f4eacSDpzTivLZLUQvZAeKJ5P2uPSXaUVWlKLqkFSLCnBuRQM3pqPKqGy+x2jJnGTDFu+NbMocxuXvh63wC6agzHW8OJ/zS+bVFwRGtegj7GynqVMn1qxsFmHZ+hDofhPd1XhMjwiQjXeN2AWtT7BrZiLg/r9Rm3JJZxdMSwUKrNPCH5/XTQhkBBHUy2LxjCWYPqlWhCqTVbzq6sWhQhARWlGEeIawVolSEo9iRCP0peVMbuNcIXiMTdMK8qnCRGBi7n6UaKfXLLqEcXcIIWRF6SjdaTvMRLrN66BaIQ5DTBP44fLTtdTt+BrIbNuFsKj8YkVWDTZL4lBbhU4ZpfV6MVorY9pZA9JPqE3pP70tTczaXVXM6T8S8qR3SsUQrTPNszItGTKipr7uE84GHwI90EsXqiHuabKhP/oj++55vMeA4uE1NWsTDH0V/ucxk2OlmysIsRZlwp+f5UGBWK8AbjtzoJrXU7Fh1l1+ZC1+BxH4gqegU0h2bm6cnUfE9FUlX5RWMZQFhxR71GUK57XDZifXqUXG0P8ZKRGqLxFliqdVj9BIYXeTScB+9pOoUxC3JcIPN9vGH+uVp/dOn8/rR25MfJFlnE86kUeYwK7bkKiQm0iMwf2S9pWRQOrFkBl0VXBlrkudmTai1rWBCHfifDsjJmj7GdGIvuldyBwZ/geWuXjEO6hAXH8E60j/fS/ehRlFqASLb0pfGqmINofqCdmmF07+WDNrgrKiijjNlZUtQ6houUptMDJluBePVXZC9quJPquq/aeJ/w3ln//0+8+8nUoc2vzQxOo+t1JkXox1dC23EKB9Wpipcew/75vQPI93fiHUPfauAc7GHSmcckr5Ohan8uEb9SuhI79S7Kq2MZIBALvU4CjnwGWRGQxnxJIIpdL6t4gLxu0HPbPCwVUWk8bd2fiJc/1Z9j2FjupdW5pMpWeVvYgWoGdoBaI/Uh2YDvRqTREqlY25nBaZgJNF9++M7WP0xNrlQtUzQFt1+1SfTUXHwdjrqd2/Z/VzH7IV6663J+FjgYZSs8csPRTkOJnlU1tNIYU45aoGOK06tgtXxOUsFaxgk+ysnfp5aPiKToSfFMsy/Gr9OEd8OhL366fRI57cAuYUpNW4lN9pkJgB5G4tAQNQBLZxpuBW+paM4Z5zJulO18tQ0V2IxVSzwurgETsw/6TxF+sc7UHRPXRg+Ny1zbpNkGvc3Nu7v73ERG9dgrjwgIvCGnjEmQA6xLncDdi0wwZ23cf6e6zpa7a5V7FEVNTq7BNqhONI2En6Yzwg39ja7SL6G1afUTYQlaCvCmvuRhdipUzVeUH6nVAVm5ZzSVk84JyPU7T25ZLZoa5ufUp3GZr3bgEWsqZJbN6aja7gdhMquveB91evVscpvzOzcbuFflSsEW6AcxTicRQgV4I8JzSM9yp/Sq7eWPRBQzkoX5T/AsbC9pHbdeqpaOxY1k9XLaj/vs/LjFMYOdetbBrX+dwbvAVHoqstzxkJHlsZQzfGPgrTDiaWSenV4fiK9wbHuQ/f2+6M6DXNq9y6pUIr7k2RcRQUR52k+4mwqxrOkJUVFnzsEXsUe9dhk+XP+miFEYb0td4U8eIcRj9wHnniSoyRLeIz0yZWLnNp+od2cKi1BULFu+bAWB9D+xx/yZ9hZrnsmdzrDV2keY2jFFBFLwghInJptRwsOlCsNCI2viE5E8e7EaVNMRtQivw77SWjBEJGGIKwxtCKyeKJuZh65PLKHY3r8Yr77xQAofzb47vDk2Em3SYUcvv/OJ6DFGP8OZ6kVY7Y3EMKYwx5qKOr92GccS/QVsc81BxmpHVmacWnyfaFB0TZOK1b5fdxNGfFflXPwjjEwaeNanfzoRoaFga1sfFTyM/lydpUDq+twBwlJeAJe4P50psWJYcRRiByjaz0QM+gKHdDkJyIWZLuISnMFcF+g9d2EK2FMU1PGfZ07C4/C+9fyIS0+Sra/NNti52USqczxwXyXbdVxKfmO7TqXrEsrFkpyoNSd/9oDO/b4aFB16Ixh+eE9uCgWGXQezwupd/9CjgxWj3MS+eDdnLwvlfFzMnqpVJbCfOg0T/ZzWnvZ0avCS8drk12WnNzbMw1dMw5smuuGka8/vzl49/MbWD5sYaNl7Mcf6AMNtTxP8FFjEKy4</t>
        </is>
      </c>
    </row>
    <row r="3">
      <c r="A3" t="inlineStr">
        <is>
          <t>HXLJZsdoj5yPr7bVd37zrd5ea6sXtJUp3uqdzhP6otnoJiYHdiOdQ9KG9lZ6nynnbHB+cvT94EC9OzlTeDRonyK5a91owsGDUPnyqg0J5WnoD+onGyPPWJBBfxg3LZUbcpMgdDWm1R7Vp923R2H4WbfHWCawqekrKU+gfVKEaaKQOhFw6gLfZ96NGT/hx7wwq6Z1AyMqEIOrL5jjtCpjz52QcuOguRXcoUbBz1bSvBSkaB2nT04+IhK7gw5za63fwUv8g5OXNW8X8BKMs8bJ/soHNe65bNRQaXUWDNMjJTr/gvmccEKFbfz+wqfV/NKEz7LQYp2nMl5MoouOoAewl2ZTFc9ubqhjMDLgZn3k3/iJRNd1QpI5aslhpBNdKJGMeDP645uiab1iaY7BLrll6VOaVOQjy5KroNiLcIckRJpyvUFiwDIxrXcWChH5gjHFZJVAYHkTSoPXWsfIw37tHBmubH+taM1iK6EkLwiO+M03Pob2eG13wealFB0uR3f294xxZFB91Lawg6ZDBQPltN9B6GxiWzGdhiH928CouRWcYG0HrWtbSCwKUxfZZOFIU3VlKfDlGBitZQFbOCfObHzpzSAbKTZwYeJ86edztJzt1k5LHYWYjugPY3UQ1RxFnYB1a6Qkch+BBcZj93fe6VoBSNFXvs3NZn5jymc2zNstksg5l9+OOQKZDBVsV4oaxBQ9wzPagbsYCCAsXgTFIfBXK2YQzyPX5KOURdT/A5ySX1peaGtZkIDuEyr6t0qOB0qcwOJKzMmJEQiaS0oRy436nxJnuFegHtEP1O2LG894fyQte1fFC5Xpd76N06Ra/blkuzTJDrPrWjWdTpfJpftaaVotUKZzHk5GkGKgF1OzV9XAyVHeiVp0UuIy0JjxnBmNqIACtdnMSuANlI92HYJVoMbhHWFRyWbUr8ib55nlJedZzC3f7xGPyjj/qNst3cTvTbg1Qtu0RCd7TfpzS29T/Wlsi4o334QLhvN7e+Ja2RrH1pdX49hausax+0T2FDV4PyLwm7gI2sYRJ6sYSXh7QbDArptmj7cVNv8S5EQOhSMLtnFxH9pYbxUtCyxQKsav+lYVwgMtJzOWFQ773AGMVWPpYTUK2XjHVid3kjBzHWLGoYMQ3YinxeuRj1Bw6IDaYUmc4AlewBASh2vkXnf09xlp0Y9EGvgWw3X51xLQaTiacZZiGldnmcFYx9yuaS54lOFAZiBdjHWDciYiM4LzBtIYAUbGqQd1ua5++Kpip/ulSZneiyQX6cpHStagDBBKiqMa+F6zw9v5/WDvQOfVTLlkqzElTATybF27ASmmV+7ws9Y3T9lj/kRi0A4hsCGL5nIsdOIHjanKuCzuSE6qBMNUOocpXpC9E+cKLltSbt/aaVqGcLvQEJb5pc0RpTzLAItM5xzxMFdg9cjD3jpYiqF6Dw9cd8rIvClxc7uc6ZpNpvinP/rXPKn/Mv18800Lsbt6CBLB5XRYd4Fv1Xg2mJmRJmHAvW2wjTMFcuzMa6gBpoNtZPPBUJ1hpyhaDVyvNwUh418Fj5hnPQTDJ4n8YfKRwq0T8QbcKeL5atn2XTofsYNuiw63ui1IYPkn0ek4/Fd+axcRkxe/hJyq8tCu7i5MbJHHNT2XutlagN/ZCbCm92/ZRPBu1gkwd6j0KU8twiNQEEOssEPk3utYeVGLRhZG5Cr6N8VT6cO6tZ3/Q1r4fZEWpJRtVxUUsu0aHUsbexIdqRlvPTf1oqYkc4iyMjm7OulZBVTsDzU3gkSReOugfrr3AU8e1JYClwKYutGtHBu9ztzBsId5HtgMUIIrie7hwlH0IVXIk4dQ9EU8BWGNKFmHjgTiYQSBRxiYQl3vWaxP79SlONjOmfsHMqkkRoKvMhTg4mo8PMs1rac9PJRjyFmd3aasUNqDOf7f4Bqdz+vuzkvFLqhe2ZgIZxbvnR72DRi/Tm6VIgTOapXCz7S6Au0JwV5ikqahdSPZqF+QqhM69gQ0/L9kpeOCA4sUIjEisAyAoOS0xoWbqbFgpFTwgb/Ty/SPAs1EImp+UyK47c5WbipWkMKCz5CBPfCIRHvbaqvKxfu3Cq/39EjtbXp4bWU9+bGF7s+jxtZxGs/iyhMrBMlWweoPBN3Et+6imSR+VQv7UXo8RKg7x/otsftImWgT6jlN0+JPxdZ33DsgDqZN5zb+vS71NYmyO6yv9dIrW23KrXILSQeDhA0DWtscyyyRYPzXGej9JboYfBKWZ2cro4fN66v/s3b39stkVpGnEc6BTM1gVdtbQ2n2QWlWz2/i4ZiwAKpRdGjgkSQNJP5Izh07ICqVv5WWjlSeA/dGWJ4ZTkbA5YNWV/X23lZVisOBkCHk6a6+QAIWfFu6yqTAzvIdaS1TN8IHZAHm0iNIHHlwsN29FeXMi57zW3EBW+soa2iQxkf+tdRwV1FoYBNOBr/hNfak0zilamJLGqryoOYrRjWQBc5HcV63XQwF4rhTMM2HaFGmRCwjXjSNLYhDGiEjoP+viLLuvCQeHkkbEDFXFCKoy/nCmbxA6M3tmuq1uf4Cz1XOf8q68Wqi2nXqO9Lshk/UGwJ51Eo6FVWx1mBKEP641liJuGHMBtgNH4AOo3D8AsDSF7MrzxTqdpZvXKHF2xO20u7y4u4Mgc3YAdajFwj6GGpWCIcWq872w+bDJuiMwDSb28ASu3JPC+8BMw7bqvTa6Q+tLetF3VR3bLUfdh66/CLirYZVJJ9jGViQnQbxYkO4cbNBzxS54yxOwwwS61UcBks1ZD5XCcurQh9ADtdfx04CNOV8dsrBvBMbTglpwYCCDuN79qdkJ+HLK+lba0wlvkR0s7YZXTQU0kRw+Mc6laDdcPCeu6QiSIHW76ksGc8B/HiM3blOCkIRKVnySHd6DhydZNoqTZ6aHEPaT69FtddQZy4dEBJQTDx3TIeV9Now5W5aNGB+BsoH3KpWMiHQAKcEomMKpqGnXajudLrO8dETyZQvBOfTJI3VrBsS2PnCQgLtpROFW2XoVLCNLYgfxhtBnGVyZ4NsAiboIijLaGvTYR3FQgjCxEvQGbjnabggFPD7nQ27FHTI9vSzstroAVKz7DnRh346PTo8VJWfvKvIrVpT04lBKcmKjd80xZYLu638vHsskMLWTvhWjaikU9rmlE2iruh2GH3gPABrxfBMUVN6D/0bE4lNYYZ5/1yqXvoCYHaGlVu06Don3KKRg0Op3MEwQyy1BrE2rZYm3Z5zTmMZCPWae7nd/NL28nzebXt+L7frg2Z2L5vE9K90GrrONu+D8A5DatZCWFuOBtvSoJsHe6eOhmDhw5QdKQxYYaEKzGItdnW2+Ij9P/+HJPdiSHJLI6dRHgSsZ18VrOe8GBrQwmaFX2G+sNBf6iGNHqpz88kS3qup796Ssf5Ddb48VEbDGCZoA0tyMRUeBUG1qCq3xsVMxThuxAWypPnUKQJLoTpUPKyEZ12qN6THZLl2yZO2pZOjsMsVDAd9gZQmRVISY6NCiVZ7W3xtfxAx9qW1fWzPZxFvzouxzbksBZYCsJieGw1vQVn+M1e/Or9woSoGa+5hEtRTntRYvhMFk+j8YyoUjkVQSGs4ycfRTTbxtgKhde4lCbVl+lbpgVQ2Yrm4IS+s6p2n/qyj4ajrOuc0EOLdmrA4cjZBTlA/GNdPjF2CQ5TOM1hIrHE91C/m1qJfYW/+AnvzyVv+nP19HwS7GGI0vpqI43d+wB136QT/BWeyj7vO4Mrql6Ddia/w2fefmImTONO3F2VUETkIY62v/lxTv9Rk/DUcZMNQmFBPAy+V/PDfmvrJ8wJyn2L/54v3bzHdv3JxG1I20RWWAoBoR3FCAuzoaD/zSKFFyQMiZFtxbySky6AEYEBbPlrSFUQRN7SnCTOHS78Q41nygqAlZ5F8wkujBOgcdMybY4HVpWOM4OoSnDq1K3aEHgK5MHbNR4n3qVILvQly1y1Cs7AX+YirbGtSkVFTTt2p4UOIjEjV8iROZfrEJPhGwgLHPUHJH4L3y53n0j64xN9Yvw36QwE4or07GWnIJ4AwbHyk949zLo5qxpvSP6BF6zA/yDuAKey3aG4wz0vfPH4eHyeIRSafBENvXQuIkvSDfo6rcaSELppZVZxH8fhfKLvFEv+IXNPf2AjCoRvcwmHX77W2OnNC5imgFrnlL5gp803zK1Tbv2n3vorhoH77+A0uNv19QJlJMLZv9s73v+Ll/+bP7Z7kp2ADXURh+XlS9G6QWvqRX577gEgp/VSL8o5Fr6j+PLmgjReNsbuQ2YmSI+IT5qvJZ5arY9QJEBQieERoCYp/EQLS+V+P1NHhhwEsP+6BiQmOePHQJajLP9Nq/7IYS6bdfg6WzNYKWDLt10jQaXeWPV97hecrHHBhMBtPTB7gkP6pAxO3/ghYr0ZWAWX4UX46rr7uAhUwkgQuLXxwpiqDEZZ1Hnjox6yudbZysoeMDy9cThK+gnL5mE5WQQc26njaP8rlpgFxzTZBzpnO6LEl7X4QDyntGBNQpXp2Mps/ww7YyNDECdxHYK7dVIhprtYn1Hz+iK5ro7ZZIwQAuSY0RXljxjzH+VXF5yL4Gib5kJAXE8Y5SZcKxTes1mzCv6THEi4LKKWBJP5JSaWcbxTiLtCjUcxN5O2x5gT9bha3N2BQctIhv9cVUBzd9YE0hPtwMb/8PGu3vZRtatJZA5mHHmb+UZh0SImUMmR8dBZTV1SadOx5DTRk0XHCq+JoXUz4hrnyKiKWowNXrmOy6ssr9atJ9TMvELQ2k2CKnTakKJ9oSBSvZBiQsWHG3viKSiK1DsqQWlXt22U+4rRrTZNvlU0yfM/MJGAXCsfO65kdryMWu0uKRU7lmfeebIC1Tzb2yHeD8AbMe9npmmOrfeZKkEcCazTyx2MMFgBf3RBMNouV2GjMt7QPXOAYDtZj6jspnbskh0ahZ3ooryU3z4ewApJjj1knOvIemcQdROmztyHtEYRcJSmWyt45chiTR0OZHH48rb/d2/9wcHZyihxonpho/Pa/7hkId7It6M+MBE6/t5CSmRmIbc4rgw8TfWQq384POp3ZIvCsTM3qbm4SRVPdtWHp9Z8VDYpUDNWAa0zgalkWwXlfeQQibVRWYBFOBZh4PqniMRhGkwRk58iPyeQVfwVOAE5uX0djHjExXTkHfJdkC8R/cfJpBLfUcBGZAF9DpwuJ5n0XJFIAlPvBOhOZ0EV6NuPzW3JWNwrBSZAY47dgrDUe5o6aPM+zbSP7jaUW8mktU0InjPCDlM1Usc0RN85ccjNa33ATLu3W6Q2CbIKJEBrGMne6MXIZHq6oK0l2BdfXxQren7x4Bd1q58lxaGf1xwyAIWuR41JeVkqloTngOshhSyl+aVzEjkYbp2QNRMyDaDQJt8PVjcsF/iTmkwgVH6nkpnXi1UBkft7QhEj/xAnU/dJOoN6SJxAH7eYUc7RA+znVWkTcnICrqYzSjQsZXl/X+ePI5q5qdUH6TR8UQY2DGT0K73XtuCDDgbpIh8XVo4rpANHqCJ8hMTyoeTM9mRAMytUqh7yXv/WgtrtWt1dzetFMQCy6mKNqhPfyhxuF2rT3zD6+JCHbm1CIQmu/5eehGeJtGPm/oigPhABXbgR600ji3DjHJS0DkYvjKZ4KI4QQxxYqxloockrhIru8XxD2WOv9aZafkD9dm75YxqirjzKjiNU1coMu/GGbR4/wlmCjiQ3ER04gywbNew8GcSeYQgWoiaTCII2F3JmX784tCol0YjDUerC9BCr4sHpavxeaEM+ysYmtJRJrfTwcCEj5wuXRRdLpMtEKp5OXwUiRJTviaDw845TTI84PpnNyX4cdqAkN36NwFYCxqILoxSoVVxPvn/L7rLZgfzXUJ+TujGUvVK7Y53a1iFZMW73Q6WKkPKmJZ/w0GGq8xlr4XDaIfPoe2znETwj5Xqb0u917zdLv15H6m8vaHe2FUl+h0442eLor4cSORqmG42o7m5JpIhQeCMzNm6FGUIw6uMAA4+QBILRNlO/M3/EQ9rG9ehTRN9/gm2R/YYg3XNs42RXDHF4s4zf61Wwq86hkB2c5gvLP8p2goMitfR0euMbanyceJCOAkNH4k75ktBqhwXYaSOGsV2fxG0mNHIdRQdrH8j4iqslk8rP0f9T6O0t66m6jh6inQhNwOZ3Wjmhw1QNNy7YPMozEzdlpcZ0s1SXlF3GdZFWou3dax1o1DilnNmHGcgSGkpeUSEi+WZ30DIPXt0qVUs7zZJid8exlkNZk+c1m2UyD5syS6fiVmYuQoqI9K3UqcpYoM/vDDBfSi41KHAQccNBbAhM2Uz8SDwINjN10BBJeRFulofYfh3S0iP+xkrJqzd595EZz7ZWpMv6RbxlT9LV6gBZzbno0k9/7REKCOXplNCfoIm21btCiltJBmzVubFWsk1UdzzHxEwfNJhYBf0nnylzFWbc5d650m3CuFFkTsJt/RXfAt+rCH3ugRCHMtAmXOx/C4DNIKwe3tPPh0b9zQIQiA4q8300PE9oEOrqGjRDQQxKrvdh3N/bdYAiqA3fsGMwisKE3PvgwoaWOCztBKI1vUibMRImWHVsz4AA0Dr0o+q3HUvQbzlB2Hf9bxpiKdmT+RCtCyjmANRomlHP6q0lDEZvHSXsYSPLeITCfSzcX9BYxo4+tqDjNombGXJMR6nHlTQXB9NYABCC2DveO99hXVXHob0bj3RuDOBi6G8fe/S8/htHnqiMnsI45m+dkBYURMgsIQyG5Srk7ILorIfWC9t1YotNp2FiHmWdMDc1f9EUQN05sPswNZInH/CQfS8ZRSCiYmdFEz80K6JMOcyoasO+Fco7OMMryY+XyYv/rZq/faVbltUBZc6/FqSz4s6tP0+MUpsxbfydPz6KWwLQ7LW0NFfBU/9bMCoc4qDlIxjrRkZH0+RDEg/M2wsdYXZxpb5m14E9I1C2SqEZ13/ryVPftZUVs90kRe0ZaVQp36KqfDk+/7lphOvYY1q1S1TgJpwR+uWMnXXA7GlTCcNU408NgJsCEza3svsOy/159c2t7Z12JS+X6+ALVUoe2aw8bLKD3AAQCqF7s2KX72pyW9w74R0QrQv6E/GMnRxMrlOuck3ITp487JsSw2dxstuo4K+RNIOK8OIWLTM2+fTeWlVltfRrqPZIudREQzbFvJ9bBJX0mHB5+KQVhdcbugyxHDP+6PD135kEBeGX9SQak1l6pSvrKqo6k8vLngEqp5tjCaYStOWb33I7J56F3P04l6qoRB7jrXxLeU1hgTpyicPAnU2kAA5MKuLniDpt93AhU+I80cMdQ0hFFmJtNpMFecrMxcKudvIq+fESMT3ObLs+JKG4imW/HaGDme5fSkQF3Mi2jDKdYm4a81eTLDIIlipu/N4AEry9/mbwZ0nKvWbHfmcYpg/bnaUy67Y61o83ySzwDOZ0XQqJfZsNg75Is0a5gDp8bkovMoaU4E1vqW4Nt9VQCchWPPNCgv26pSqfVriKSCIJVN6ljZP6ywy4G7OZIbGAMaPbLuskT58T2l3Ys7Cx7LPSePBYkLSVmty129pQEFTWZYQCfpQZX+cVCV402QoVvxo5W0SxAsDvHe3ARcUptwp6Y3rrwHtT3YkfdwUri3HXjDQItICHiVF/wbKg9cR7U8AAgGDy+0DUEyGN3DrP5OrsmgQe4SjqqGvivm8h7ZEKxNN/LkNCcHK02yuTsj9aUCPdS1ufwoMhE+OseRnxBaMP/dhY/OR9HlqFfIqZh7vvYw5uEKL/83/4NWxPeMewMXyrMVjVskUpdtq5Tk3iGDm/x4ZHu/XnCuT5cpOeqrbp9IhLzyaAI8yvAAsGCYyOlNkIOIk4BQqdiWTiGxukF7HNZwIhYOW466v3/1X0NVyNXkuVfyfXMrsRMSiUJBEJMuwcXlM26qqCBsnv2+ByfREoguySlrJSKYvfsf58XNyLeR2ZKqGzsNnOmbQxSfrwXLz5v3KDYAY8fe7oiYQJ3czkozHj9jehJ14i0b6XMf6eTW+dP7fv+VFM0cbi70vAiW2AXMjyBwiXCnDwYKU87kspwVl51ofxhvVp43t0DJpARwhbGvh2dfPfWTvQNoKrTrID1HPKyN/wPhuqCF34FVgX1EMjKUmrTRAJintd/H54FNY7KIsal2VI6AU6Xu8nrY/654xJvAMgSdroAD4o8xfPSR/96s1w6f2ylR0mNYJAoQiMTZ/ZykZmPeBzbkcJ0dBHM0b1JucIhUkNNuQJs45UHoJx8HBrCUXg1Rj3N9jdYbgnMYKuzfLXYYD8PwxLJoYmzXlYqa7fz3AZVQCviKZXsCbvljKYrozZiIxSjycoC7wT3UKTm4STXXmujBCCiYBJgbQiMszAO358s9tra7nLXa04IEf2Lpz2kPYRS5MGpih00M5M8bLiKHo6Xd6nlkokyWOZ9Xn4W9HBRR/xjumw88dxrIV11L1HSgVanmdejpHL4JsF7WJI4O1oGTXJQS9HV8fsTmn7tzQIsKsZc3t8BuEh2SGLC+lv9S7K4BTgki3TS2r98paWzyfHRljgLdOlsOjevVNTNQpRCIX0lk3mhSw8WZIzX0ENFZX4iYoT3In4EO2S5LCPhunoc5sESt6ktVSYklTaKSyTGHaCMoaI3qOV0BtqEVDWzT3aeqCWbLECOQ/virL+MI3FWTQJRCmdT2mwcPQptOWgXgVT76pwBXXY7pUHdAbNm2chimp5j1O+zWMX3gv7ycGEsmUdOIi0q6B4+1cyikmU6pK68HA2O6KdJ8VFEx5WcVzcmjKVjI9kNxm7TaS50ghPJ3np7t9t5YfHibve5zVvDW6gGnPICYBTrQizzfLI0FqDxJvssXsbd/YTwGm44K1LCRqJnq1S98lnuiPK8b/wWAybTdsV8sTtFFgo4r1nZIgUX+CJz5DoQUYldo9WNehbvFUhGeKc71sbaMI7RWmWj5Q978zbAlgXMd+7B6I5/ZMvfaIGO/LDWT1J+aQhQQRW42n81AtDso63ma67PvDjR9Bb0IczyhRqgGM4CAyQ0CiNP0pZFmjK+nQdMVkdQ2rU0Fydx1mzosrCizB2NW8qzzUZZcV7IJc3vvAiOacugwjg/xyV9ceV5LYAPdLibkctFCPMaOLZMrKD9OCphC1BmGGEY+4PLsCgI8XJuW6aDq/3JJlT9lBZ/skKSyLed0ZtMGHWObG3U1J/+cptMinSH+EalKkwDxIL95LUrfBWlfag492yBadvSdAzqeMapbDAG3ZdmDHrbGoNBaAzI2YQrZF2kgCybg0ymjDi+/P7Dxc+Xp3/7cHZ5evLzm/PLn1+/PTt9f62Gu/EdkiqreUMPQ6jicbPU77HiSQ01Wv/rQNub3fzIHIG4zzujJ2hGnblwkLTz7s8k3wK2wiG7goewtiNDey9ev+10rQuueH2i5aKbT3HjTWNzze8naPBlCuSxkAHIqCzkZ8DCeIuB5dwrlZSuzx7Tkt0k4c+QygfN/6GFkgWf5HfM3yX/LU9RrnOb9a3ehHRD8NLi5cviGv2k/IwyNAHDhvg9WpuEAS+Jvu6HrEhljqLlTCMKnxExY9jwhoXhuef1/jbdtKAgTeof5LzS36x/D5MBu3OPSKGwlolZRMYO0GLx46SevQKMjrblfrjb1aS0+vBfOMVoq+biKYuRTMiyblBgL60ovrv7+xTFFTqeukIXxVxgYVwKCSiY8sxJn4IIgUy8wiGBa2hQgbbHBVquUtEv+voLv2tUFQYu6zmYvyVPo+5subgtjbJ1lW1cbaFq0fP3rq6Pr0+HwRtRyflKas5vsllWsD8hC6qTEbnxidyRGvf5XJv8uMwga4H+bMbBPFGiv1z3pE900fnqK0Z0Xnq4IZ64pZF4U9In68sfDFHy/THuFrayc5PCWM4pvyEdykxhId7iOBelli94SsvQa0eGNzfzE4BopMNGYUt2+wEMIObfhtiAknLndZJqRs22qmkwiq41Cs4KAEqeJNtv5NXNjH0MbGLzV0LZ5Eu7WZOH3CshYuXYa02Wy0VmTldquyyhC10yR1I2uvS0GWPWe2lAxCWtfKQ6/zk1AF/wyubjSjsSYyEFIcFoR2cz/1g1Zy4V6TKQO5KxxIqJ77KQ+hvm4QCPyvO4yITqpM2oiTrWq+jN6ckpDb4WdJbZSF84d47qtpZlcMYgYx3hyYwnXCvQu3iU0Sx0rnEcAgDbvsEi7b608sHer3Opvwn8LIJlzdK7BL1OOSXrZi0pW0ps6Brj2Cm8efSYSAi/ba5QO7JDvNxYrQ7/XfwD2Wns/FYWKOZebWvKSnp7X1wTL11ykS5GwuWGAW42VdLqk9b5gQutyKiyZbui1mPnQ2stfGnDZLY2NyPPGnrf+QJrcKRfEfa1FrMSm0vX4lxzcMPcrrhRdN12zfl9eShXafwDF3lwwhPev6CkIjYPm2D0V7kG6nIfNtVmNHqRz6gdjdIjlAKlhbDB8pzbGxJuaZlZvl3EayUT8Q35NrIQ0MOSi1FJEw3F6flPbi5ZQWn8R6/fx7o3NiPj7w4nZxN09bkXxGNzhkd8iQX0P4Vn6LYYrxNuvQIzPkYNyBOTSNGkC94a3SrONLUb1Qo9LVkKTp9km4k0vxuca5PNuOaBhisF0IlE/QXFFLvo2SwGVhDAjHTOO6abxW3ynxJy4OCiACydKyDL3yhJvNBPj8LBPuhE889BziTJpoyCk9kBE5lNCWSdMnQ2Q1p3emxzMHc2GIGX1ly9238OI2B3iUGKBXCIJyaGQ5YUGwww/4yTqxERCczRaPavvbjfiTv2/3t77YO+z5D6rz38Xf6HP/8x6j4WjP3okd7FIqIOvf+zViBw8i8uT384O/0RfKc1U8zFalbuxhbCv3z4BEd2kW8SSjuQRTKL0+ZuuhBN6y0+MsNmtZXWJl8RlXgxrFvYmnqmm+EIB/ycVpTvav07fnycDisNoD4vJCnDmWB+HOxozZYbzdYyZ/Dj/Svj/lFORiSElYC+i9V4MjfVkiDpx+lvUK9/dBvXk+pPsXOuseAmleOy9O1i2GCAu2KzufRABV395Ygit5nNwKisOKo3ablOLdxYNq754cocgsdJysFr/RFsyoGVD1LXPAgNzL/b0Y/GOt8zgz0tOnJfD/fEuz01scwj5j0tKLNnfAZJqaEuMfuUZyMM2SWwyCaepN3+S/Om97dUpL2QZRpt/CNhasZQu2Tx6E2B0yGP4trMZua5R+wZ1fsVQYvfGD6I5pWN8HEzCsmMMAHCoSq2z+GEWrVpKTW+BiHBjiNIFa+VST9nZSCOw6LAcks+in77bVVJxxW3u96B3tJ1ZuSH93yhN23uU9WoFrofFKIkC8KFMueyFqvRvYlZNxfdyHEkPlEf7lC7WSXCIc8Zpqdg77nOI0az1/buqO+ZT2y+H8mqWWr0zzDa4oWkPeELfFkIqr438XjB5ULO8c7IFXGG9zs9f0CFEa4J8grKtQ38kAxZ3alUUTH+I51QGcJIUc4pT6PYzJprKeFPlV9Bym3WYoHTbWiAPwNiBmVIU8dtr4DNxWmVHWtKvWnCFyRG0kmBWErUpleTTaCR/Zfmzx5sSxZUUsMMNuVR8xxP0QKSlFCGg09Za8xcK7orEFfAc0jBsaXdHVAgs6IeEMxEjW0VcJZ8yu4EB0uKFCadStnPS1En9CuWmM5qaI+7zSpPIY9pZqLDJEOTjpJVEeQkSdUwy7qdD/BIV6TnhyOP+/E72YfHS8VRCipKm2lFQyVVqcvgkJvcxG3TkJqOiZBq2n83THptRR7j/l5nL5r7/AVN6mOz46HMphufZMws51IPxC7zvLYFz+4xD9g5HO4exB4FKOigup1ht2otZiXMu5dhIECAtCFy2VaA+3JciZJX+zNSapg27pSkwXhsuiwViVYhI+2ssrO8bjofi0WyZBsu1R4Ivz/XaCEO9KZGocHnNq7eavGJ1LW5LAhr0+VDik5vZHg51UOS5M+q5zZYyWw80g1GH6lGtSAkC/mH7qAoZ5yqc0QnjAaVqeooeBAoqPDEo8XiYXTejNnTLKLuz0EY9y372zTqvih0oZsNrXsiMV0uTbcbO1RYsWIiiSuBtYRKnCXLLI04hKKCKZFGZIXTjHPnDQuvsoInxCocRYA9l2kBN2j/g5em/Qfbcjgf1JIGnX4mJ46LqrJ+Rk7MmlJHnxKJCTVYLETzZj8pZGtYqK8Sayhqh0ohzNqUzTjgMyYAmyoEUso1BhDaTFi5OUCcpLdLskG/yUR859B1/IJh+VQQRc4j9z408dSzvpcl1i0IRGwTIzROWHlWmJKBZjg4U6NXRY6bnooiSqb/YdJPWSTbah/QYa65TsUu7CpJ0JE+hXmuo/I9eOE3APxeX/0QkAAhB5IECCzAJCzcT3+Jc2pl5kGHm6f80AoCy2ux43oNybXIi/o0E/oY9Hit6AmBbEeXSuVzn5uwcUHN3f5GKl6vRCjzih+2PSo+/XUrBnyzwm27W3Q75pOmpBuajKVTwePRZJZLAvzbqKN2h8w3Q9568eepLU8ZuOW+hISk/jM6Lb99oOoz8FALY4+GM3JGh8S0sfUKQ+y/5AvelsSM+eh1OpxDM27UjDh+ELMxGwIl00a2/d2oGzIH9Hc+goBpFYVqKz0XIw6JtFZDq3ybgYZhTszsGA1xmy2mWg+hu3nQINGreaDBftRenMK2WdsSO2EMZrmTAArlIFexNkDAlJGVWfoQe6ZQTXl4Hkd9wvL74fKtfSPiVufpNsI4RcPW0J8jZ3aeMO8fJ0/vQqC4L8vtP2p87u9jOrftzu5twCcNZXHm0Q0psdHCRPriMotS0z135S8l/SFAHppowcDWmJq4NMNQNCJUXTawYZbEmRFqPgM/+zK/BYtUYz7tKLUgTHGvJtKGF064Mdp+yL0Vr5XiiCBZWbEUPjSLqgpiNc6m1T2RDP3wrHO9IbxICN9V+X4c1b4kLrfuZnUlZW8RmN6tsOcOJf1MYCxSpmeQOmucZqO6JZQIU4GwS+ahlTRmUFpBYUx2JElYQqh8Y1TMFVgcUNlD8gfxHQ8xE+Zws3aU9UNtOk0IrXi7mpSs8rkA5yTmmSdKIeiLN1LrsPtOumNiZdaEVUNfkrOaFgYk8XBZt0B3BUR9jdOTs+tI4KeIbu3wF+nZ9sVNsVKlA+QG++IGIrpAeo0SO4nojyyZ1GBTx/loReqmzQKQrXmPZxHrl62v96oTag+qoc5B65Tnolt9TfrOdb5qc3oiVAgmnm6cvX179v787KohJyXgR5o7mpoAM5cV2tmPrWJzKzhOKQX5k6Vv0slmVe05BGVtbf/kGpAIlqwB9Y/fdbry5KQ/oL158uTBXi+ioY2cW7k2kXQySmWI5BU95J1FE4WzJodcf9CFwcgFtw7y1/3eQWcPrDT4OyhjiO2l1z1wJDBu2OWHK6+hl/sG7LZUtbl95+A1ZcSjfbDY3x7vgWKmNrJ3rcxxq2wZunRSzgjpwB0kOwmlR4nmIsTRhWRDCukGRQAvpblKr0wUALIivSN2mWeFQwl6LyLMR5ZYgGf/QjHPUnrCqNfi7iFZD/2Wd31Jo3jCXe5V0C4GZOJKdoAaqzGuW1iTyrNI9RhxC1m/E3CPCbyF3wIcI9pRpRV0guaG40vDC/Y6dVdhze/OcgG3Wa2L3xfuCXdshcXnSxK6+RC7W0Jjw3Y9IFrgERvCdTTmnUCLonD/eiitP5hbyq5GJSA7C6mlxDPJZP6GDLXrd3gaVtTr9+NI1Ib7ucc/Q2F4I2npW/7m9bxj3tNJtv0OBiLO00XL33YOmLFwsSR/sAe1i+9R7NZBoeONRGyszpFKbEeXUkbS8h09hB5445+F0h2UnXbCdKQGg8ykRJehDOTGARR7nYB4w8QUL62XY6+7re0NO5M9o/Z1dLxcJjZ+kUYOGafC9afqnDFJ+UqbToILEMSC1QnXQRQBzQ4z+b+EL+Rs+rYm94vrSj6ZhjPX4RsiUcjMGx4kK/gk54mO5b2Ej++OwogVu80N+7fA2hsV2bVtVrYuWurcmAbhVfhsLitph2IkOmfBiA5nCni9p/zkAndRJSKysKXdtlvHE/OwGI4YvWyddY6P44nQh64IgoyzyxUMWt9S7GcUYTCP2F+a+a84TRjwY47zMvmYuuF1Y0vc6+YTEcy5DoLgiy0bBx1+J54gV73UuBXZnUxHFf551KhlqVg4oHhGAiuvkRYJa2jGm9i31Q3HEtwIfaqht3tVTbyromnYVZOVxz1xJKn1TZgbrPQLT24gT3Fl/B5dw4W4+CsjWm2zB/POek/FuQ4OcoOtka3QJk4IIvq28YzSO/3PIMtYb33p4AdduIDvLszjmR8ibuAs/HZJ41MqHYu9asOyzOsML8fqb3t2vC+2bCGUweZVwYf/qGA8SadL05NOWrnVqWl8L5n0U2kicSSSgC6vN34vrfF6r7elrStNX3KaT32YHyhR/ChAKdeBzU8WvT+//vnqw8XF+eX16Yk7KRyroQ8wM76GUUsfgSuF124cLqTA4DUlNO6m2NbEWXiwM1zrsnB0SaDCjRAcn5xcnl5dMYXUyHEUeraMX1P6P9JEsnvoXHJ8ZeSvbR/lrQlca936OIj7PlwduS4q85wxP0jMD1A3PSkt6OgARkt8M7Ogwze2hkL2dKnTF8GfKw6kVWkjoEQSVw3PZFCoN7oO06X4pgSY1uzVf7w+vrw8O7382pziQDQaWlbgxRhlixEhc5yEZCghMtQ4q0SN5sHBk4VGEEdOxAHpf8hS0U2l0sTlBnlbh8psN46kK3CMrPbp5XHNp0S9lO91FHCIMDMtQYxoEBOgFB/TmaDj0G4vQ+PYSSdspZtLAwqD2Wrqkqd2HZb5XarKb8za1aYYbWbGnJinW0aeFwO33khcnF+56RY2bn8l65m+srxcGIONHfMmxgvKRKX9yA+wSUJZ5iYyo3wEbLIPdCJYPCrWypyGKHcmoiKP0/I219tRQalr8kTy3GxiXMoB7Y8LxhgBrmTsrxyZFhwzDY8i/1TcI5vOVkYBHuakfNxgY15cPLW7bTwV1p5OUnRjKcGHU+WeP1Agu8UOq9AZoG90JmMu4/LQSnE0eVYM/KOgA56nRdBcJC7BoHTIXb3FyPjMXxJjXZSJCEW1Sa/AHRw8gf131LX1HF6qfLssIgmJDJEzZ/9u8gVpRHvNv5hAqhlEJLW95NrXjEZBcay0uMbbiPlv5u92i1JeuYb3Cx8C9deGt5yATaSTQmiEJxOlzZGWMHKcxe96AGSeNq2Rzbg3z62ngB8YSgAJcJjhtDDLR7tLjSdUAFL3Ez0P+dwnjGFqlkptSAelMuUSKfIxBsKoD8Ezoc70sTgnLQ4N07cgJAkiQxTVHyJ9F2MGPJo58MI538iGRn6YhaFJpJbyGUdZQW2pJDwSVHa3CBaeGz633gxcpi3vWKMkzISC3nBaFgReRZQXpPbA4p9R48wDIt4i5fio2ais7I70pEQrsCPjs7Wy7L58/Pr67IdT89UNyvelDfjeqw74HlSV76B12gkR055WO1a6fHLGOQolpEkxZMNFoRRpIHamdFZa35hwPwmgUs3QMpvsIGdN2L3VIwCZqXRxsI0NvRs8BtCm+MxmjRw8u1dvV4NPv8eO/JhklnCMH5J6HszHJZ/v8HQPuWu68MhiL9Nbc8V7RQiQjkFOjS+ukx4qKDtEPFVVTkN86HNYWPIz3SAUbhgSx9LO9qrX4+HCkgIhFcw8drGbpEF8RtTjHNvsCisvW2kIYEQCMwLKndMjFLBROrzF7N0WGQ1DrVcicwINNisnk/yxZ4t0lM3rJp8FkmVrjdReNyWq8Gv74JYst0au2igxkndAzwN4H5nLn75CmxFhqz15+ekrUh8I/Zc5ewlUdFYjY5T3ubIUkL+ACWuhdOho0GY9kl2TuYA+tdtt9V1NRDUHOAkOg3EpCSg1SqO95Ha8d5DcUpaeQgTzfZW6cB854Vnud7e4Ksl/QXaMDkuRa5kk2bQIwgecGSG7ZdT4Qlr4NXkK7IVLFrI6VTp9f8u9XcgX/idYvIQjgEB+ZhEr5uo7c45+18yWrw3K9uoUcraQfuXK+sh6zzTl6R3PsQnfZsJx4KmzdrRB3iOW98jIu4mDSNSby4dsBNNFa2NOqP6nbn3LbSZJAMA5/CGETxiwJslShswC2LvuIX5Rv+1/1T1Oz8vcZGON5mvOGs+2+ekrudhPX0nEK04XQ1k3P8loZRy1abowV2dEx297Ijr9jegNHVWebMnuBXEUDKNtzmd0wfhHUnR8vjC2c5pDGURnt+xhMq0MxyIYW7nloaaHk4Hw9o+MLx1G/e5uvzPq7MfR4Tg56IxGKaqNCgsydzDurjQPSLT6cE+/kSNJPG2zVcETnwloRxoQCZQCj2f8lEJ0/I2rFCqHMzoG6VYb3KK9sOi39/KKfv1t/aRBGXBjlQG1kgViV+4cTRTmKloiTFFAFS5SFk4wy3rQO+VPQfBkkx3QPs/kAfnc8R67GSA4qJrLWY6uyTG51INKZXKzaMuod9iJvjH7TI0730w+jaWS/vo+GyV3uVbTz96G1XQMePJwMzNQ2+GzRamLuI5yjQ+xrwKqvtQVQX7dnjTq36MR172BPvzZW33SKsbmmDeHnR3KhcJbq249p0lFU6hjZed28cbTh6lxDEPKYr6mf6UinSfEyDBhYh4vF0vOYr66WfokWSU/K8jAOU1rPStKu7UCE8d0g6hDtWxWUupmo0kOe84c8ot1rcdf7OWoimuEmj3AGa+JGtrIoz/aUrnSI6gva9l8lPzOs9bSvEEfI4MUHEDC6opi26FWLMGkUqsgBJMUpSTP+UdreXn5mKyfi1WjfP7I7XOy90bFP+nxnFAYQDC7u8XzxeibvJ51osLJWaHF+hI/hia/OLmijK0KVpl/RziR7Tw7dFgsuG3TdS+k0Yczb2qSHCZ1gIcbTnnB6gBSxz6bYAvWW7f+SzNm27JVdEL0qGph6ZhAi4Yy9qlJGYbVUa3GnptgN5tZJKIEhmb9+TdZKsFl4DzLp3r9znbI/pBW2RFW0IW90celZ5GBzMJRYXEj62zk16ENDO/ir1Bt1F4N2F0LCio8+XTO5sjDsfjWBIlH7y5m2ZKPmuD018Stq/JeQeeC8PMuz8cUatE6APi7WhbckEd/pV2RaR3GbhMBh60vmWeVIxBhJFM5K1ra5QBRKDB6qmh0d6OUn86cxBb7m61GNJ+sCmNAjV09jqN3f4+jb7+Jo5PTOHpzaUzse/N787/jD3H0vy/Mv83vr74Nay/YIH8PcLdev1NGSzL6YinlZBMopS0eeXJ2dd7qseshNFSuRCAYDdvURgUnRwVqPPpFnnDPoEfBI2xtXHNQ3UpbnfwT+tTqQPdYLl9xFkYNjGhUDtcdKZdC5krayaMfvejcSArKAKR9s5sUrFRoaOczdas2HKgkEg2LE0eai6orLUozGQnlFPoDqIWMQcY01TzgeYwpBzxKS3TE1M3MUueEuOI8sRwHU09fLPK/SnFxWA1EDo3u3g1094eCVKmE+NK8N05vmE9oKJbuY/pYmGjvo3T3IiDBFzQvyVWMIjU+2thLViYamEiGaEUIJ+jAjXqbn8kLOshx4q5lNBVPjVP0D55C1LjiB6FPELDf+FBTY8ljoPxpfDk217zVYkotQDKOd57yHJZKgrUo9zFXowI3WJ7gtuZBGlGz789Drk2p8rceEgqdGUg4RwAn5BJJ8VH7gpQB1WfV9FvUPLio7VBsQYvous+RIqEU9BjPWW4qTmfudelZbjPmWpIXGAYOGkSaN+Cv0kY6jan7VP8jCf9r5gDF4s+yN8zEm2uu/AqS8VdwAP9FtbKTFmFclslyOb2xheUU3n7IzGcbErlCwlM69SJdAENPuu95NCveq6xT+7tu5VGKGCXzJbVgcx++sn7YhBvabEtwUl4clQgG9ONQbhIBW6KA7TGyhqyk68gPGl+519ZvtX3hqnGwpWrs7geq8Wz2KVsyxIlSNDfJmJVLbZrGTRZSKqXGNTZNa8uM+qHCA8qwjdiDliUPUcjstABITC8Lpq1frTI5FeK9jNWj5ki1klmLX8rszim/nQ5DrGCQJamSMmmfuVxVPfIlGv6VG3F4pTgimTD+3OllNSViaw43wbA3JqDnm451wi2Rl8R25MiQoT+fE+LwiRqnM+bRATQn3LdG25bP+Ta6R2X6heMamrTNmyp7Ctd9Bi+WF8Rxnj2kk0mLdE1aeiolSeNftrb5ijTrqMDpmBR1M/Uh5eB67MRsp4Gsy4pQBM22jVu6C/MkW1hZ/GMBYbX6833u80UUPCNHyNvRiZUV1XF6UHmSfFLX0BvzyIW/hFTswhIjxmtJpNwZUejPIvX511ps+8xtpzLvZeqYT8uxge4c6DSL2CbYGdBMaP2AcRsIsg35hpc2+33vcFuftVtSzDIdyFzYyPycp0FKpVr7Sn3Oh3FqbpJJ4ALJQkZwaDzBReYGvsUIw2+YrQJIGO41Z+92mbfG+a/SwiESoPxEHsYB0H/3l7qcwzsSP+8OJI5P3KDuMpc5Zty765A4PPWk22YuQJZNONLF0ufiqm1j8dahNO/b0uS4apQ5TW0GOHt7VtkqOzwKO1aIXlSBIDStUQUlVY+diytvTNMhCzSgwJUlm2Uhusvco68bOwDbIv2Uow4mkFHJ8MKbZU2F9oR29I15Esxz5Iv8LLOuEBDcTrzJX0atJrNlqxgZUTd/SYiDzj5wSWbMExt3XNao3yFbOwFdoTRZp3cJmKPNixj1IaW7BO+YetOF5TFq746doOeDwnuHcKtm4cxjwI24end9YRZrbGKZJvkO3y6y8aur06tXVM8B2cIoNyrobkc4AckYvCKv6hVhaWX5yMUlkmMKVZDt1aFfRBF0m93hL1D+dCB+NhqXzMYi+nf+b5DP0LJB7msf92KSLElbtx4oWQAXhTodTdz7SJ2RybhFkKUjYMVxWKJPWRJd/e0tv9sfPMmr1jw2PEHiMTreUjR09I1djgb0pVV5TFlzyzDpRkWC5PubdpAvuDDB1zSZs0puR+ch+yOzZdDn6loJombjtdTvaeAtuXDQLy1KUEaP+UpwuzkHyNmiMtqaxUXSy4V2pioVAWhfyWXi3mgyuxvs6eG29tSYqR7yL1edbuerP4l17Xd+XdhzzCxdcLYZ0w4KLQB4ltRjMpQRfXDGKdQs3EBLxYm5dA9rKB6TAbfLg6qinx24dcdbC0pC+QSBV35DsqgS+cSUXiZh8UgJ5pXu0wTnO/bZpL2Qxy8jC6eVcPd5M19OpK/WZwiCfHOumBmBGpcpyP5ZRhhVXjQq0MCq1ZU3Mgbol4RRwvxs/ynRT3tEo+rXBV3t6Nhbdyz6MKpXN3zZV4PBoDtKbvvdwcFeb38wGA12x7dJd0w/pqNxZ3e8PzrYGwz2Dzq9wW1aa+hL4qIElJnHBJQUyskaK+ZdAGNmGWgH8oUYVydCnpQiGicGIHb+6ldXusJmj8JKy39lk1yO/sDEeqJjuDjTErBWmaUjE90DyoWYzsiqdBve7DO5uXlYpAoPsBPQo/VPV65W8xGSmohgkSgqZQiXNjpKaszrUUS1WHFn3m5TAVWWXCIi26v1D4o3UZznBmFBeXoLbFEDpHKBXKgg+24zoN5j3TEaXruQEfb0Hy0lueCdEqACPwC3t9uK6h/bpFprT9flQf1KtTGQ9EpbJDbpoyDFEFoUgk24Sch8PqRrXwjNgHjIZkWgbzVdEF3zbA2ejwwOV+75FWhQOWbQDksSK+seSRNCi4okN+hpRYJBML/53V3Ks8+4+1nJeFPzKCYc5gxI7osI1QcXcJXNEVPEbq1x7Yd8D/2Xx/fQ725rX3uBfb2+Dxpg3EBo42djCLQiX+CSt0g90EtKa4tRNar9Ett0jDOPNXANhHKRR2M5p7/agvr2i5ca95exXf91/gFtsPlSYEwSKzn2PTfYusGP57j88sUdXG3puOD2mEmqwEJVgvy1pjm35o47MovcW76MOymrRpIf9xU/9n9avrA2NEDslo16chhKRHfH7ers1yQBys6cDrSD4XOBJ8Mxod9LLul7l5aLvdKjCxi9Eisi11uaDtfy2Yb9hbTjxKh33VWJwpWvXVBLDOExVJiXr6GcDWeUrxtOHsMhZMrLHQtPE6SitRVMpASbYLvrhDDIi5ntbmC3KOhKlvlC6AxpcjkFr0iOrWxKYRNJXdViXKVmX9aDoN5jHgT5rr/RZsA3tBvKzIdA2jGV+tC5gujb4nODvRDBSD+ni1FW+I2oZCwRvfO6gd7Khm2JwANpAGnQ85pbGwKcbl6iPPFJY9ysiFDO/EZjm2m9WxFcg8fRy7A8Y/lRMrqhPA31oqoW4zGmFgNtOWA9rIAIjA4izDYAqvovjSah39vWRPQrJoJlhLNGCzbgI4xWF29vGPiuds4gw1WE2oK5j+F0rHE4be4xXbRwx+/M4cuNqG3RJPVk5BUqJXTCcBQmrBkeCIj5zXSUpptrw448XqbJyJOEiiO+o4812mmUUb9EqqDNWZiYQIRY8zEUrnXGOWvjW7k168RRbDiSopTaDIK2IBrUNc2Fx2bFo7wWdSMsPmBmgz7fMFgfXjY0vLw/v/rw+jsh/2wKW92O3FUwroUS5pTGazqQo9+3TvWT2OO/o0dOxw0TLc58D29j0Mkt9dSYiRRCMMQhVYPYrjCsw1/0hJmNOicS8OyU/AH1EJkRGm8Rc3ZYF8QxwOL97rJPYAmvzbZbGnbz3FB50FJNSld+eRLXc15ESrlUA+gwQ5caFVktD7NeI3Kbo0AFjszGXhDBTxVXT7UEe94l/Xu548S5uIyLJGGbcekzqQLTb1cTyR9PkQmfEaIkX5SDR18g/uwBXjlq84HuvNgIcXS1/b447semJdM1sBmfO34UC2ShQoTQRgkREehkrKdNS6G4OOGHGOWTCQ/5QpIzK0bJYuPAvP6fPqii/7gltDz9RY3nGy74gamVUufGBxkn0U+rTufmgClbhpEUAcUknBrXIp9yd8PFIstJsvCF8YHlNx59TO5o4X9a9bqHPZ9vVh+WQOChzTs7jaMeIWSomH+RGA15vboxew4qfU5V00QyQByNh/wvh7t7nf29Fv/7YOcoOp1xiVKbFRv8HALWNUpoJGwwRtYaeoFdrPrZxZff+6DL9z7Y8+4dR93OxzusTa9vfiBCE3kcueFAvsXEDvaZm2en+NbZxU7dNQixix8qT9GX6w34egyXR4VeKoWN9+fR6elZtNtp7+43xGsBok8GXIzT0YRaVkh3GOnH7Pg315fkHk9ZkbOmpWPG8rEDMaeqg0rqzerOOwsMfOQf++7HPT4dItTdrzwf7k2nt14MP1xcDWnk5WSMghE5HcazMU9PRSw5oea/ABR6BkHE9UUM3iYL0jusNePoCkgDvdc3hOaqCkpTJIkN1lsmxm1i+3Yq+zcQKRoMjBR1O99/K/tufjCXZ5ss1wsF6eAwjvibIkm6HENMgqGrrBHcgX7z0H6TXmcoXIK6ZkXli4csa91O7wuf9bCrd+zhjtXvVuV7yPsc8R13Y/lh78guP19xVy+997RQbhC/3Q3id0XyZ1UdUnxGJU4CucMvRPh8YfgSwZMGCVRgzZs33n3/tmFu/O4MO+qvaLfTZ+m6eHda99fDHYvbXk0mGAFKBLGom7mLo3OeSt8NmVUCJBU5T7QT3WGkCrRnVeo7JpeNuPW34G809Lb7O94dbrPP5FViW4dlWep2Dmo+a9FchBYBaxZ3ttCLOPXM6xHjB17l2K6D/FQv+d3OQMTIWE/+d+9JVdZ1+qu3SYD2fAGSJsnvzVKNIQS/tzmtUu+ZmMNETeaf5UXo7vK7956yWzTWU88l+kwDm/D+XI3KQTMRVQf6buTqLxKCCu193gfw/+YxMg4c8j3hy9sXFuZxKpGlY2HRIP6hxjhjVotfVmaLiFu2WKVHOtOYazj2BbFT5jfpuPWQYkodY5XMOuwPoldRv2f+0TPrd0OngxW30fK+rmxyIk1gZEitsDv1pJzsWTnpHm6Sk/7TcvK72ruqpPQgKb2qpPRE3+/ti76PPYXtTJvKyJE268H7aBwT3Ia3lWnuGmuXcMNy7W+xXH8q/Vynd2U996o6T0i36lWeKLw92p69yu7ssSfZ7XfLnt8waoAbkVsxMEDTa+w7inSMPUc6ll6rsb0q7A42ifiBv2fv0s/ZKP9zqcB+j5fOeP+bVaCv/kqk7PcgqKAEDq3t2dU5J45ev/v7H6HmqAdRyPtTCZrlggQvZhx147vr6wumnPgfwsw1JD6OxpFkcJbIc6O+JOuy+wVqjmkWZOzzJnEYrBeHP4umkziyO+g/k6Yzt21Qi+p7cYftXAEqbjV4rCQJWM+OHx9n03RGSTtzQI/nlOqHEwbso7k+RmRIP+RTe7RxNw437MZLUaSD/edUpIMD3nwKh55HA3Y7/iKf09Tj6PjiTOTFPATtaLc3kInOUdPPjvHvXv2/bPz/d57WcANWcQMdtDd0PA2x0vE1u91+9O3p+9PLY3A7d3ej08vL88udOApSJIStJXJ2AVnxNBYkOBcJ6MM53ckTcJFCo/dgIqEShFh1HKK93XAcs3IPWXYQ84RMDhwmbFjIiETZ2DKqXWWj9JV/8PXPZOusmIS/ntbFK/IZtptq/k7SJcEx2uI5pr+skgl3ehnpaVATGY/FnuGlDw8oWGnREdU9/IWahXFJdrMHvIBvjDBf0AjD+xyDPoQHWQdtCSSPD7bWOS5O3jwhid0Dp4cPNklikN27BMoWzTpS7EiZW53+1XQ9/K6DP44GPGn6SVF8kgyAbSg1+EdnwL8uH4dsM30eUm4n5VzCnDLTK5FGaTad0zCX2KJOo9fHJ8YmG1X9yphe+sex+cfxNF1ko+TVdU5E1Lm9c8/RxA+9VvTdi7et0+Or69i2m1GylyiwJj5k4MGfe4Xr7cqYmCHPE1eco3DSWEoa+/m96LWwIw8hWSTYV8fvT745/7vFNZg1vuOSkryj/XbfaGSI6hA+G2Gi/3Y86BB9B13o2wVQRfx9+6X9iCdfD+FegM4BvW40c9wrCmIiYmG/dRCdTdFttzD3+gj8uf3bILpaTafJ4lGB7gWPP40uT49P/is2f72ZMmm7ilAJOCwgPQbd02FSnpGbR6wKX+DIZfp1Ti6mNoysMMlI726v3f+fWoizzDylCRnMfOAeypKVME+YTgme2SNIx2mbcKUXHrcgi+nYfifZbTp6HJEB45eNhTzW62vAHNdHv7+BUfqxPOvOk3nL2ultX5entg1L3MMei70lsS8NU+P5aGOpecIqo9O4RRVOmbxhJ6nomEVPbi7XzX0Zat1UhpIwXFenqZRGi0DSu6XrkUwMWWf4JUqIA330uDT8YKWwZ6FOY05+pqY334PRaEEqGdqRzIoHHJmABF/jAUv1DKJNJiKZuWE23nPyGJKhnTCUTMVfDwf3EAd2Og44O7RzhIZTzcwiHansormUlw/+JE/9fEgKKeWC+5UJRibVYR5PGBimo/GmLXnDKJQzfMM5CNKpghJwQwvyCtHMF8h2yOdm634e7W3oT4XcSP1OZ6eO6nYdYRU9RsA2M7QtiHZ2l7r/kFSB90D2pCW2COnNcBvj7m4kcMLmuo4sCyl9msCrlpXL8fl6PJfsQ1Njul9F1cd0bK49bfe3fJlrCSUb+tx6FTYsFgmtUCqCFoYMUqzseHhShUnKA6A9JbcuQN3rb5LQIF8rMH+ZZQstJOg4KfeL6foCMUX0pGIB/llM0RYYsMKC4xIc2EcC8/aUMEBfR0Gv/K/pSuD8hAMSi/XVySLljgXoS/rOiSVXL3UYOLQ6k+nKZoddGGth+LZbBUemjGOCyOrMKOUHgNcIfI+9NT7D4AkAdAR2quoP35ABjaqdfTwAiqL2BAAEkimqUsAYOnOMFfvEQUAuU8pxk0dM3fEydMrCWwJiZos4BBGzkKmNtD7NFFRyeIHRlOlJRJvOHM7mVXjRG8UTB6HvFHjfae1+t3wmyrAoiww4kXCXIjsbxhrdqiVg8yfXx0YfkIK6VlYqeLyunh48MUyWkQQHm9Z36XckphpGu4cubo2aOiGE02JUJ+9yIHvkE7Kyd9NtXXZ3W6+PW//21brg6KTDRefyC4ZZ5jUvassoNdj0bV/UvJ190UEQoPNrubTx2hf89pvNL7hb94Kc9Vn3YpocPez83i822F//Yu/+vvnF9vwXcwFm+D5+YFl5mf3gZTyfSt9CvF5yBC21/aDFk0CZSE26jziQU+ksRTsMxtaATcOeZjVyownsEsxMObLhuRbSjBDMIz1y8UslctHoGyCg9lfrLOCJQDN0DYOpzvXLSPFC/aCYTcuo3b7O9Xwy5jhaP6CRQxC5jc6jU9cY86b4c3Xz63hQFvxEiRU2Ls++vzwBASHhAx/XrlOJ0LKetXiLUxSy4m5NftuOXrt4ep2T2eyRH1z1wjbzeK5xq33ef3+Q0h4kWAk6FZnO8xHRr0aBGMy4Ed95nnEjC9K5GzfmYJuzz4zkT5x6xd76y04wOkdqgT55Oe56HuHvAeF55Ew1uxCCqtURPuRf7kDsLIKQlcZbgou3bZYlemV2Nv9o4aOWs4q6+cCF+z4XFBZdDK73xiUabLNEjm5ow4muW6Jj73Qyb0HhH7PKJHh7PmXqAWcRkvLRFMFrbz2P0jvQnEDYuCaH/poA/O1As9XFWe9Z1zcabHGgz7SvsHDOOJzOkqduQeSCXr/LW8k9eDAZEiu9HWRHygEH07eVo4yoWYoyCPXtAg0ZPlDbf8oevZ23K6fCaISmeJnc9Z+FRNmM6K4L36h3VzpUJogVlpXYMCPae223DFqof4fm6TXCwhUcX1iqEmJbB54QiLoT9NrrNQDV8hP9BqTLfcrCmc5DLTUicDazCHM/nxKa18vS1QYvhy0NgYFMIxfoHPA25Cs63ptOU7f79AIh1PsVi4PGLhJMoyApIvI6c2itcihoY0/kuSW0TTj5TW/FL+Ib+iM/JBNdI3SpRnd7XWMq192d8ttruCXwaWL2w3EnOLHVIVQVE7aeq8sro9bfXJ6wyl7RGaDHPpV+DCb/y/IVHWhKb9vjoh6kWZu5CZItMfN8Lp2ptpCGYJH7AqVvgiZNUNpiNno0N1g+kE2fJDP5rBvOSO3jUBzc9ZEmZHxu85yZ0F1Lsnl0sOCSY3C1Mr8qbBegc80J4L4MoenXnd6w1xn2dllsNq/W63x6I2VHytByGx9xh3HzVuvmsSU/Qli18KDr9Fmrg9FnDxggS6YU1tiEe6Sk6ZRxFMsL++F7LI4Uw5teYTan3nF5JSMRxIDDLX70gIKv5qwBGTM9Pi7Kh0zeUwtgEbm+x6h5slpSf8k8yehkUw2dGllH5icaSWhcf/ImiGD5Kjq7fm/85e8/xNF18jk6M0HU6fnlGc1jmE7pNgnV6D/l9PZGf2rVdmzEBLnQ2BZv+awT1czOM2/fleuHkKb6JcFKiA4UIkbizdKdaB9U2pKh3twhgm0NVrsHksGpnGX91tibs23L+LEyHcimseskPjBHmofdUqaI9xIzWYxpnK+8IbrCE9pmx7XbdU5sd5+vzY4yPbZlxk8ZLTkb26mlrknkmVcbaJMSFQ9OLPkcEoNOjV0ZSlkDlNA8dyi/BQuQQIUBDyKf/ZX5565SPSbKW0ASRcMgQApCgDHpwFIB4/q1zJaX+xZwkriBlTqibLYGzbFs8bx0GEpeWcnQfMkK5Td08itLdAnIZihPgF0oHaEc9RKkS2BZiTezhMdmwPM+stvMqFICgNnkoMVijXO/8UhGmkvjUrJkojabWWRCU+PicB9fOvP2ULfPdogseEqFBXth+/Zo/pSDDgk3atdcZ0fAGlRt4y1wXMtwD17xbx0dMyZSNQmpZE7mJZlLGhyTjZbvmIudvbT0U4QepV+vRAouH/sbFsLlFJIBcFrhYxTA52xrc3awtgSS9JDmKJOxpSY+1Bn5I2oxhPQRxOndvScMyMhZpSKyiOBEVtN1w9QYEdcX6MA/qI+kRQCS0fdxJofY3cmW5At0IBrFOc0LYZ9QhI2yjTKcCJAzR5RaBC4EfMNF+g/jccipXORGIKcyFbJYMQeCOfScmNO0HeqgWbArPEcN7gLH1l5IJkAulGFRxrzHbHdhPyUtIIFJiMNpclDBQLdp8mi75G94iCT6bGFDMXq0Nc9S87BetdY8pNevIqUL/74c2fA3NmEyuZXWuJgFjyNgVCZgmEy287nhRhqeXbg9eDSRqolaZRIjJEPyhZqcWqY8koDJMM3FsruZEv7h3u3oTfZZS0SCM4vlh56zPqSisZ0CxPT+0n9mE3NJ8xc+0eN68eX54i6ZZf83kYnMk8ehTTU2bZXHy5Eej8evTl32xOykQyXEQRU3ltoWXUBZA2kOBQbmUvFSH4KeiSyR0C+hOLLbdQ9pB2MsUmRaXRrHj0CJMQ9uRM7bx05Zu9JwWV3C/nC3M+z3tvKJ1swuqS8HfcGgVjfnyLbDMrl47KMGeHyfNy3U8ZQ82F5k5tPV8pZ5QKZ+IUtzr2Ovf5fFOa8hN9AmanrAS49M5an6WtXr9si5Av+ohulHEBtpWFlzqXs7dQU8yKUWazuLdrWY09AWdks9Q4ECKL2PzZW0/SeX6qYl+9kcl3rUdkRoINzMLWl9DweZLbKCMIWRUnk87+69vvqB6EoIj+BzrMjoATgJLvpwfAF44BiCThPSpulSzzz/nWNd8d61bp5LAzhAf3a8mVwentmETeq0SCdU3Q3OF2cKNLAGjzV4EfTkZAv1S1lCVrNaj/RLlmyNR/paHXbRBR4dBO26hSXxIGz+rMhHeWROOTtIzDHZyIiBpgnbUJrsIqlj7g5CLZ4JC/2QzMD4A+ZXIoSlXE4yKWQgZTAazM43LI+iTFxsMqsAnBRZsgIjsuCMdsyDm5VPZ+YZ6Nw4d++5N+F5edok2iuYY4+BtYSJkAvpsnEgwAojGBBVR/Hmk7qZD1gHhlRUWf2UYk9HXfDAZHHwrZ57CS+QdtJHt8EA5jhFcHuMTJgr74kPBocHGRDYNfSS0yhmCoyW6iEJtdoPBGsxkSvh/DFiM7BD5AtcnA1tqlhCWu/oS4mUCgw09ZhDIXUGZfCg4qng7mGyt+gXGbXK16RIyHu4ulhI+NB5sux7YRGsKGLjHxvP+1dvQk2ktM4hQ6jkD3FfLCVkIJkiXP8iF+dCbaH3GfoVbSRpTfJCUYlBzijyKlkyvwAeQywjcYD7TyeYaCZJRsIwFpZv0pUFzIYYOT4qTY+SpI1P12Yr22Y3jsCspIKuaGXjVpLCou+vZpz6pt+BEaRgEaP70LhNEzYwNZBZJEYWS25Ix7jw2yDt/ZAfSdTvcwFtBhpJrAPcEq8YCF142lmafJy5ye50bB6MqpmYkKto86TjcOYea0bwhXG6mBTjpxTOduIqYSEYIBLVWcB/UvUL212QDioguKDfwYQmBiV+uIr+z9nFv+95K88lTNbLvcFO7E1vrCrxlpQ+3RgAGx9xGNSSd2AFyS/GHSOsOE2ITxEoY7IYkEjHsKF4gAY/L8V49AWO4R6YtBVEd9aAtI1SpTPOa3lcGo5+Q4VVzCZbUAdHravtZoQ7IqNFIohJHUHqzwnnuX8Y67fdPGHugOEFVZcNBtTowWXmOPNtFUzd/FgL6DTXlCH+mBEYQyBWQCjSgCFipsDcYrRFAHLKNIDgtWuVSA+tOI8ZWrfKinsRXSNfU/NLUugOQ49aZqNo1wNQGxivQW+r/TYhRpae9WZVUMxftNDHhS1MJnLa7tLZiiakAGpKCaijYAiQOEJc5eM5HwSHM2KL0WlIWW4eFnOkTUvcbqQl4ymyv0d2458igrMCPKGePYEEuZkJRT5h/DddASzB723Cif68zOeQCH3KO+QKzROwayvz90jo2TIlGqXILW7TlMzawoQIxBy4pVnpDjsDrl6tmJOt9jO75jP/Dfc5uQc=</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Claude (Cowork) for Manoj</dc:creator>
  <dc:title>Multiship - QA bug list</dc:title>
  <dcterms:created xsi:type="dcterms:W3CDTF">2026-10-12T05:44:27Z</dcterms:created>
  <dcterms:modified xsi:type="dcterms:W3CDTF">2026-10-12T10:02:49Z</dcterms:modified>
  <cp:lastModifiedBy>Claude (Cowork) for Manoj</cp:lastModifiedBy>
</cp:coreProperties>
</file>