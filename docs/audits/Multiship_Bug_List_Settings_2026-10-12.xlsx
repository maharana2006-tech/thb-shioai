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ummary" sheetId="1" state="visible" r:id="rId1"/>
    <sheet name="Bugs" sheetId="2" state="visible" r:id="rId2"/>
    <sheet name="Coverage" sheetId="3" state="visible" r:id="rId3"/>
    <sheet name="Screens" sheetId="4" state="visible" r:id="rId4"/>
    <sheet name="Flows" sheetId="5" state="visible" r:id="rId5"/>
    <sheet name="Test data" sheetId="6" state="visible" r:id="rId6"/>
    <sheet name="_ledger" sheetId="7" state="hidden" r:id="rId7"/>
  </sheets>
  <definedNames>
    <definedName name="_xlnm._FilterDatabase" localSheetId="1" hidden="1">'Bugs'!$A$1:$AC$53</definedName>
    <definedName name="_xlnm.Print_Titles" localSheetId="1">'Bugs'!$1:$1</definedName>
    <definedName name="_xlnm._FilterDatabase" localSheetId="2" hidden="1">'Coverage'!$A$1:$N$183</definedName>
    <definedName name="_xlnm.Print_Titles" localSheetId="2">'Coverage'!$1:$1</definedName>
    <definedName name="_xlnm._FilterDatabase" localSheetId="3" hidden="1">'Screens'!$A$1:$N$41</definedName>
    <definedName name="_xlnm.Print_Titles" localSheetId="3">'Screens'!$1:$1</definedName>
    <definedName name="_xlnm.Print_Titles" localSheetId="4">'Flows'!$1:$1</definedName>
    <definedName name="_xlnm.Print_Titles" localSheetId="5">'Test data'!$1:$1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family val="2"/>
      <b val="1"/>
      <color rgb="FF1F3864"/>
      <sz val="16"/>
    </font>
    <font>
      <name val="Arial"/>
      <family val="2"/>
      <color rgb="FF595959"/>
      <sz val="10"/>
    </font>
    <font>
      <name val="Arial"/>
      <family val="2"/>
      <b val="1"/>
      <color rgb="FFFFFFFF"/>
      <sz val="11"/>
    </font>
    <font>
      <name val="Arial"/>
      <family val="2"/>
      <b val="1"/>
      <color theme="1"/>
      <sz val="10"/>
    </font>
    <font>
      <name val="Arial"/>
      <family val="2"/>
      <color theme="1"/>
      <sz val="10"/>
    </font>
    <font>
      <name val="Arial"/>
      <family val="2"/>
      <b val="1"/>
      <color rgb="FFFFFFFF"/>
      <sz val="10"/>
    </font>
    <font>
      <name val="Arial"/>
      <family val="2"/>
      <b val="1"/>
      <color rgb="FF000000"/>
      <sz val="10"/>
    </font>
  </fonts>
  <fills count="15">
    <fill>
      <patternFill/>
    </fill>
    <fill>
      <patternFill patternType="gray125"/>
    </fill>
    <fill>
      <patternFill patternType="solid">
        <fgColor rgb="FF1F3864"/>
        <bgColor indexed="64"/>
      </patternFill>
    </fill>
    <fill>
      <patternFill patternType="solid">
        <fgColor rgb="FFF2F2F2"/>
        <bgColor indexed="64"/>
      </patternFill>
    </fill>
    <fill>
      <patternFill patternType="solid">
        <fgColor rgb="FFC00000"/>
        <bgColor indexed="64"/>
      </patternFill>
    </fill>
    <fill>
      <patternFill patternType="solid">
        <fgColor rgb="FFF4B183"/>
        <bgColor indexed="64"/>
      </patternFill>
    </fill>
    <fill>
      <patternFill patternType="solid">
        <fgColor rgb="FFFFE699"/>
        <bgColor indexed="64"/>
      </patternFill>
    </fill>
    <fill>
      <patternFill patternType="solid">
        <fgColor rgb="FFDDEBF7"/>
        <bgColor indexed="64"/>
      </patternFill>
    </fill>
    <fill>
      <patternFill patternType="solid">
        <fgColor rgb="FFFFD966"/>
        <bgColor indexed="64"/>
      </patternFill>
    </fill>
    <fill>
      <patternFill patternType="solid">
        <fgColor rgb="FFFFF9E5"/>
        <bgColor indexed="64"/>
      </patternFill>
    </fill>
    <fill>
      <patternFill patternType="solid">
        <fgColor rgb="FFC6EFCE"/>
        <bgColor indexed="64"/>
      </patternFill>
    </fill>
    <fill>
      <patternFill patternType="solid">
        <fgColor rgb="FFFFC7CE"/>
        <bgColor indexed="64"/>
      </patternFill>
    </fill>
    <fill>
      <patternFill patternType="solid">
        <fgColor rgb="FFFFF2CC"/>
        <bgColor indexed="64"/>
      </patternFill>
    </fill>
    <fill>
      <patternFill patternType="solid">
        <fgColor rgb="FFFCE4D6"/>
        <bgColor indexed="64"/>
      </patternFill>
    </fill>
    <fill>
      <patternFill patternType="solid">
        <fgColor rgb="FFEDEDED"/>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4">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2" borderId="0" applyAlignment="1" pivotButton="0" quotePrefix="0" xfId="0">
      <alignment vertical="top"/>
    </xf>
    <xf numFmtId="0" fontId="4" fillId="3" borderId="1"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horizontal="right" vertical="top"/>
    </xf>
    <xf numFmtId="9" fontId="5" fillId="0" borderId="1" applyAlignment="1" pivotButton="0" quotePrefix="0" xfId="0">
      <alignment horizontal="right" vertical="top"/>
    </xf>
    <xf numFmtId="0" fontId="6" fillId="4" borderId="1" applyAlignment="1" pivotButton="0" quotePrefix="0" xfId="0">
      <alignment vertical="top" wrapText="1"/>
    </xf>
    <xf numFmtId="0" fontId="7" fillId="5" borderId="1" applyAlignment="1" pivotButton="0" quotePrefix="0" xfId="0">
      <alignment vertical="top" wrapText="1"/>
    </xf>
    <xf numFmtId="0" fontId="7" fillId="6" borderId="1" applyAlignment="1" pivotButton="0" quotePrefix="0" xfId="0">
      <alignment vertical="top" wrapText="1"/>
    </xf>
    <xf numFmtId="0" fontId="7" fillId="7" borderId="1" applyAlignment="1" pivotButton="0" quotePrefix="0" xfId="0">
      <alignment vertical="top" wrapText="1"/>
    </xf>
    <xf numFmtId="0" fontId="6" fillId="2" borderId="1" applyAlignment="1" pivotButton="0" quotePrefix="0" xfId="0">
      <alignment vertical="center" wrapText="1"/>
    </xf>
    <xf numFmtId="0" fontId="5" fillId="0" borderId="0" applyAlignment="1" pivotButton="0" quotePrefix="0" xfId="0">
      <alignment vertical="top" wrapText="1"/>
    </xf>
    <xf numFmtId="0" fontId="7" fillId="8" borderId="1" applyAlignment="1" pivotButton="0" quotePrefix="0" xfId="0">
      <alignment vertical="center" wrapText="1"/>
    </xf>
    <xf numFmtId="0" fontId="5" fillId="9" borderId="1" applyAlignment="1" pivotButton="0" quotePrefix="0" xfId="0">
      <alignment vertical="top" wrapText="1"/>
    </xf>
    <xf numFmtId="0" fontId="7" fillId="10" borderId="1" applyAlignment="1" pivotButton="0" quotePrefix="0" xfId="0">
      <alignment vertical="top" wrapText="1"/>
    </xf>
    <xf numFmtId="0" fontId="7" fillId="11" borderId="1" applyAlignment="1" pivotButton="0" quotePrefix="0" xfId="0">
      <alignment vertical="top" wrapText="1"/>
    </xf>
    <xf numFmtId="0" fontId="7" fillId="12" borderId="1" applyAlignment="1" pivotButton="0" quotePrefix="0" xfId="0">
      <alignment vertical="top" wrapText="1"/>
    </xf>
    <xf numFmtId="0" fontId="7" fillId="13" borderId="1" applyAlignment="1" pivotButton="0" quotePrefix="0" xfId="0">
      <alignment vertical="top" wrapText="1"/>
    </xf>
    <xf numFmtId="0" fontId="7" fillId="14" borderId="1" applyAlignment="1" pivotButton="0" quotePrefix="0" xfId="0">
      <alignment vertical="top" wrapText="1"/>
    </xf>
    <xf numFmtId="0" fontId="0" fillId="0" borderId="4" pivotButton="0" quotePrefix="0" xfId="0"/>
    <xf numFmtId="0" fontId="0" fillId="0" borderId="5" pivotButton="0" quotePrefix="0" xfId="0"/>
    <xf numFmtId="9" fontId="5" fillId="0" borderId="1" applyAlignment="1" pivotButton="0" quotePrefix="0" xfId="0">
      <alignment horizontal="righ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localhost:5173" TargetMode="External" Id="rId1" /></Relationships>
</file>

<file path=xl/worksheets/sheet1.xml><?xml version="1.0" encoding="utf-8"?>
<worksheet xmlns="http://schemas.openxmlformats.org/spreadsheetml/2006/main">
  <sheetPr>
    <outlinePr summaryBelow="1" summaryRight="1"/>
    <pageSetUpPr fitToPage="1"/>
  </sheetPr>
  <dimension ref="A1:G78"/>
  <sheetViews>
    <sheetView showGridLines="0" tabSelected="1" workbookViewId="0">
      <selection activeCell="A1" sqref="A1"/>
    </sheetView>
  </sheetViews>
  <sheetFormatPr baseColWidth="8" defaultRowHeight="15"/>
  <cols>
    <col width="30.7109375" customWidth="1" min="1" max="1"/>
    <col width="16.7109375" customWidth="1" min="2" max="2"/>
    <col width="13.7109375" customWidth="1" min="3" max="7"/>
  </cols>
  <sheetData>
    <row r="1">
      <c r="A1" s="1" t="inlineStr">
        <is>
          <t>Multiship - QA bug list and coverage</t>
        </is>
      </c>
    </row>
    <row r="2">
      <c r="A2" s="2" t="inlineStr">
        <is>
          <t>Prepared by Claude (Cowork) for Manoj on 2026-10-12. Counts on this sheet are formulas over the Bugs, Coverage and Screens sheets.</t>
        </is>
      </c>
    </row>
    <row r="4">
      <c r="A4" s="3" t="inlineStr">
        <is>
          <t>Test details</t>
        </is>
      </c>
    </row>
    <row r="5">
      <c r="A5" s="4" t="inlineStr">
        <is>
          <t>Application</t>
        </is>
      </c>
      <c r="B5" s="5" t="inlineStr">
        <is>
          <t>Multiship</t>
        </is>
      </c>
      <c r="C5" s="21" t="n"/>
      <c r="D5" s="21" t="n"/>
      <c r="E5" s="21" t="n"/>
      <c r="F5" s="21" t="n"/>
      <c r="G5" s="22" t="n"/>
    </row>
    <row r="6">
      <c r="A6" s="4" t="inlineStr">
        <is>
          <t>URL</t>
        </is>
      </c>
      <c r="B6" s="5" t="inlineStr">
        <is>
          <t>http://localhost:5173</t>
        </is>
      </c>
      <c r="C6" s="21" t="n"/>
      <c r="D6" s="21" t="n"/>
      <c r="E6" s="21" t="n"/>
      <c r="F6" s="21" t="n"/>
      <c r="G6" s="22" t="n"/>
    </row>
    <row r="7">
      <c r="A7" s="4" t="inlineStr">
        <is>
          <t>Environment</t>
        </is>
      </c>
      <c r="B7" s="5" t="inlineStr">
        <is>
          <t>Local dev (React/Vite UI, /api/v1 proxied to the Java backend); every carrier account in SANDBOX mode</t>
        </is>
      </c>
      <c r="C7" s="21" t="n"/>
      <c r="D7" s="21" t="n"/>
      <c r="E7" s="21" t="n"/>
      <c r="F7" s="21" t="n"/>
      <c r="G7" s="22" t="n"/>
    </row>
    <row r="8">
      <c r="A8" s="4" t="inlineStr">
        <is>
          <t>Build(s) tested</t>
        </is>
      </c>
      <c r="B8" s="5" t="inlineStr">
        <is>
          <t>not recorded</t>
        </is>
      </c>
      <c r="C8" s="21" t="n"/>
      <c r="D8" s="21" t="n"/>
      <c r="E8" s="21" t="n"/>
      <c r="F8" s="21" t="n"/>
      <c r="G8" s="22" t="n"/>
    </row>
    <row r="9">
      <c r="A9" s="4" t="inlineStr">
        <is>
          <t>Tested as (role)</t>
        </is>
      </c>
      <c r="B9" s="5" t="inlineStr">
        <is>
          <t>admin (ADMIN)</t>
        </is>
      </c>
      <c r="C9" s="21" t="n"/>
      <c r="D9" s="21" t="n"/>
      <c r="E9" s="21" t="n"/>
      <c r="F9" s="21" t="n"/>
      <c r="G9" s="22" t="n"/>
    </row>
    <row r="10">
      <c r="A10" s="4" t="inlineStr">
        <is>
          <t>Tested on</t>
        </is>
      </c>
      <c r="B10" s="5" t="inlineStr">
        <is>
          <t>2026-10-11 to 2026-10-12</t>
        </is>
      </c>
      <c r="C10" s="21" t="n"/>
      <c r="D10" s="21" t="n"/>
      <c r="E10" s="21" t="n"/>
      <c r="F10" s="21" t="n"/>
      <c r="G10" s="22" t="n"/>
    </row>
    <row r="11">
      <c r="A11" s="4" t="inlineStr">
        <is>
          <t>Reference documents</t>
        </is>
      </c>
      <c r="B11" s="5" t="inlineStr">
        <is>
          <t>No SRS/FRD supplied. Expected behaviour taken from carrier API responses, the app's own messages and labels, and consistency between lanes and carriers</t>
        </is>
      </c>
      <c r="C11" s="21" t="n"/>
      <c r="D11" s="21" t="n"/>
      <c r="E11" s="21" t="n"/>
      <c r="F11" s="21" t="n"/>
      <c r="G11" s="22" t="n"/>
    </row>
    <row r="12">
      <c r="A12" s="4" t="inlineStr">
        <is>
          <t>Run R1</t>
        </is>
      </c>
      <c r="B12" s="5" t="inlineStr">
        <is>
          <t>2026-10-11 - Orders &gt; New order: international shipments for client MKL246 to Canada, United Kingdom and Mexico, every carrier x service x packaging (FedEx, UPS, USPS); labels and Order API checked afterwards. Order references QA-1011-R13-*</t>
        </is>
      </c>
      <c r="C12" s="21" t="n"/>
      <c r="D12" s="21" t="n"/>
      <c r="E12" s="21" t="n"/>
      <c r="F12" s="21" t="n"/>
      <c r="G12" s="22" t="n"/>
    </row>
    <row r="13">
      <c r="A13" s="4" t="inlineStr">
        <is>
          <t>Run R2</t>
        </is>
      </c>
      <c r="B13" s="5" t="inlineStr">
        <is>
          <t>2026-10-12 - Settings &gt; Organization (Clients, Warehouses, Address book, Users, Roles): every element of each list, add/edit form and detail view; rest of Settings mapped at menu level</t>
        </is>
      </c>
      <c r="C13" s="21" t="n"/>
      <c r="D13" s="21" t="n"/>
      <c r="E13" s="21" t="n"/>
      <c r="F13" s="21" t="n"/>
      <c r="G13" s="22" t="n"/>
    </row>
    <row r="15">
      <c r="A15" s="3" t="inlineStr">
        <is>
          <t>Coverage</t>
        </is>
      </c>
    </row>
    <row r="16">
      <c r="A16" s="4" t="inlineStr">
        <is>
          <t>Screens mapped</t>
        </is>
      </c>
      <c r="B16" s="6">
        <f>COUNTA(Screens!$A:$A)-1</f>
        <v/>
      </c>
    </row>
    <row r="17">
      <c r="A17" s="4" t="inlineStr">
        <is>
          <t xml:space="preserve">   Screens: done</t>
        </is>
      </c>
      <c r="B17" s="6">
        <f>COUNTIF(Screens!$F:$F,"Done")</f>
        <v/>
      </c>
    </row>
    <row r="18">
      <c r="A18" s="4" t="inlineStr">
        <is>
          <t xml:space="preserve">   Screens: partial</t>
        </is>
      </c>
      <c r="B18" s="6">
        <f>COUNTIF(Screens!$F:$F,"Partial")</f>
        <v/>
      </c>
    </row>
    <row r="19">
      <c r="A19" s="4" t="inlineStr">
        <is>
          <t xml:space="preserve">   Screens: in progress</t>
        </is>
      </c>
      <c r="B19" s="6">
        <f>COUNTIF(Screens!$F:$F,"In progress")</f>
        <v/>
      </c>
    </row>
    <row r="20">
      <c r="A20" s="4" t="inlineStr">
        <is>
          <t xml:space="preserve">   Screens: blocked</t>
        </is>
      </c>
      <c r="B20" s="6">
        <f>COUNTIF(Screens!$F:$F,"Blocked")</f>
        <v/>
      </c>
    </row>
    <row r="21">
      <c r="A21" s="4" t="inlineStr">
        <is>
          <t xml:space="preserve">   Screens: not started</t>
        </is>
      </c>
      <c r="B21" s="6">
        <f>COUNTIF(Screens!$F:$F,"Not started")</f>
        <v/>
      </c>
    </row>
    <row r="22">
      <c r="A22" s="4" t="inlineStr">
        <is>
          <t>Elements listed</t>
        </is>
      </c>
      <c r="B22" s="6">
        <f>COUNTA(Coverage!$E:$E)-1</f>
        <v/>
      </c>
    </row>
    <row r="23">
      <c r="A23" s="4" t="inlineStr">
        <is>
          <t xml:space="preserve">   Elements: pass</t>
        </is>
      </c>
      <c r="B23" s="6">
        <f>COUNTIF(Coverage!$J:$J,"Pass")</f>
        <v/>
      </c>
    </row>
    <row r="24">
      <c r="A24" s="4" t="inlineStr">
        <is>
          <t xml:space="preserve">   Elements: fail</t>
        </is>
      </c>
      <c r="B24" s="6">
        <f>COUNTIF(Coverage!$J:$J,"Fail")</f>
        <v/>
      </c>
    </row>
    <row r="25">
      <c r="A25" s="4" t="inlineStr">
        <is>
          <t xml:space="preserve">   Elements: blocked</t>
        </is>
      </c>
      <c r="B25" s="6">
        <f>COUNTIF(Coverage!$J:$J,"Blocked")</f>
        <v/>
      </c>
    </row>
    <row r="26">
      <c r="A26" s="4" t="inlineStr">
        <is>
          <t xml:space="preserve">   Elements: n/a</t>
        </is>
      </c>
      <c r="B26" s="6">
        <f>COUNTIF(Coverage!$J:$J,"N/A")</f>
        <v/>
      </c>
    </row>
    <row r="27">
      <c r="A27" s="4" t="inlineStr">
        <is>
          <t xml:space="preserve">   Elements: not tested</t>
        </is>
      </c>
      <c r="B27" s="6">
        <f>COUNTIF(Coverage!$J:$J,"Not tested")</f>
        <v/>
      </c>
    </row>
    <row r="28">
      <c r="A28" s="4" t="inlineStr">
        <is>
          <t>Exercised (of testable elements)</t>
        </is>
      </c>
      <c r="B28" s="23">
        <f>IF(($B$22-$B$26)=0,0,($B$23+$B$24)/($B$22-$B$26))</f>
        <v/>
      </c>
    </row>
    <row r="30">
      <c r="A30" s="3" t="inlineStr">
        <is>
          <t>Bugs found</t>
        </is>
      </c>
    </row>
    <row r="31">
      <c r="A31" s="8" t="inlineStr">
        <is>
          <t xml:space="preserve">   Critical</t>
        </is>
      </c>
      <c r="B31" s="6">
        <f>COUNTIFS(Bugs!$B:$B,"Critical",Bugs!$C:$C,"&lt;&gt;Query",Bugs!$C:$C,"&lt;&gt;Suggestion")</f>
        <v/>
      </c>
    </row>
    <row r="32">
      <c r="A32" s="9" t="inlineStr">
        <is>
          <t xml:space="preserve">   High</t>
        </is>
      </c>
      <c r="B32" s="6">
        <f>COUNTIFS(Bugs!$B:$B,"High",Bugs!$C:$C,"&lt;&gt;Query",Bugs!$C:$C,"&lt;&gt;Suggestion")</f>
        <v/>
      </c>
    </row>
    <row r="33">
      <c r="A33" s="10" t="inlineStr">
        <is>
          <t xml:space="preserve">   Medium</t>
        </is>
      </c>
      <c r="B33" s="6">
        <f>COUNTIFS(Bugs!$B:$B,"Medium",Bugs!$C:$C,"&lt;&gt;Query",Bugs!$C:$C,"&lt;&gt;Suggestion")</f>
        <v/>
      </c>
    </row>
    <row r="34">
      <c r="A34" s="11" t="inlineStr">
        <is>
          <t xml:space="preserve">   Low</t>
        </is>
      </c>
      <c r="B34" s="6">
        <f>COUNTIFS(Bugs!$B:$B,"Low",Bugs!$C:$C,"&lt;&gt;Query",Bugs!$C:$C,"&lt;&gt;Suggestion")</f>
        <v/>
      </c>
    </row>
    <row r="35">
      <c r="A35" s="4" t="inlineStr">
        <is>
          <t>Total defects</t>
        </is>
      </c>
      <c r="B35" s="6">
        <f>SUM($B$31:$B$34)</f>
        <v/>
      </c>
    </row>
    <row r="36">
      <c r="A36" s="4" t="inlineStr">
        <is>
          <t>Queries (need a decision)</t>
        </is>
      </c>
      <c r="B36" s="6">
        <f>COUNTIF(Bugs!$C:$C,"Query")</f>
        <v/>
      </c>
    </row>
    <row r="37">
      <c r="A37" s="4" t="inlineStr">
        <is>
          <t>Suggestions</t>
        </is>
      </c>
      <c r="B37" s="6">
        <f>COUNTIF(Bugs!$C:$C,"Suggestion")</f>
        <v/>
      </c>
    </row>
    <row r="39">
      <c r="A39" s="3" t="inlineStr">
        <is>
          <t>Fix progress (changes as the Dev status and Tester status columns are updated)</t>
        </is>
      </c>
    </row>
    <row r="40">
      <c r="A40" s="4" t="inlineStr">
        <is>
          <t xml:space="preserve">   Dev status: New</t>
        </is>
      </c>
      <c r="B40" s="6">
        <f>COUNTIF(Bugs!$Z:$Z,"New")</f>
        <v/>
      </c>
    </row>
    <row r="41">
      <c r="A41" s="4" t="inlineStr">
        <is>
          <t xml:space="preserve">   Dev status: In progress</t>
        </is>
      </c>
      <c r="B41" s="6">
        <f>COUNTIF(Bugs!$Z:$Z,"In progress")</f>
        <v/>
      </c>
    </row>
    <row r="42">
      <c r="A42" s="4" t="inlineStr">
        <is>
          <t xml:space="preserve">   Dev status: Fixed</t>
        </is>
      </c>
      <c r="B42" s="6">
        <f>COUNTIF(Bugs!$Z:$Z,"Fixed")</f>
        <v/>
      </c>
    </row>
    <row r="43">
      <c r="A43" s="4" t="inlineStr">
        <is>
          <t xml:space="preserve">   Dev status: Not a bug</t>
        </is>
      </c>
      <c r="B43" s="6">
        <f>COUNTIF(Bugs!$Z:$Z,"Not a bug")</f>
        <v/>
      </c>
    </row>
    <row r="44">
      <c r="A44" s="4" t="inlineStr">
        <is>
          <t xml:space="preserve">   Dev status: Cannot reproduce</t>
        </is>
      </c>
      <c r="B44" s="6">
        <f>COUNTIF(Bugs!$Z:$Z,"Cannot reproduce")</f>
        <v/>
      </c>
    </row>
    <row r="45">
      <c r="A45" s="4" t="inlineStr">
        <is>
          <t xml:space="preserve">   Dev status: Deferred</t>
        </is>
      </c>
      <c r="B45" s="6">
        <f>COUNTIF(Bugs!$Z:$Z,"Deferred")</f>
        <v/>
      </c>
    </row>
    <row r="46">
      <c r="A46" s="4" t="inlineStr">
        <is>
          <t xml:space="preserve">   Dev status: Duplicate</t>
        </is>
      </c>
      <c r="B46" s="6">
        <f>COUNTIF(Bugs!$Z:$Z,"Duplicate")</f>
        <v/>
      </c>
    </row>
    <row r="47">
      <c r="A47" s="4" t="inlineStr">
        <is>
          <t xml:space="preserve">   Tester status: Open</t>
        </is>
      </c>
      <c r="B47" s="6">
        <f>COUNTIF(Bugs!$X:$X,"Open")</f>
        <v/>
      </c>
    </row>
    <row r="48">
      <c r="A48" s="4" t="inlineStr">
        <is>
          <t xml:space="preserve">   Tester status: Reopened</t>
        </is>
      </c>
      <c r="B48" s="6">
        <f>COUNTIF(Bugs!$X:$X,"Reopened")</f>
        <v/>
      </c>
    </row>
    <row r="49">
      <c r="A49" s="4" t="inlineStr">
        <is>
          <t xml:space="preserve">   Tester status: Closed</t>
        </is>
      </c>
      <c r="B49" s="6">
        <f>COUNTIF(Bugs!$X:$X,"Closed")</f>
        <v/>
      </c>
    </row>
    <row r="51">
      <c r="A51" s="3" t="inlineStr">
        <is>
          <t>Defects by module</t>
        </is>
      </c>
    </row>
    <row r="52">
      <c r="A52" s="12" t="inlineStr">
        <is>
          <t>Module</t>
        </is>
      </c>
      <c r="B52" s="12" t="inlineStr">
        <is>
          <t>Critical</t>
        </is>
      </c>
      <c r="C52" s="12" t="inlineStr">
        <is>
          <t>High</t>
        </is>
      </c>
      <c r="D52" s="12" t="inlineStr">
        <is>
          <t>Medium</t>
        </is>
      </c>
      <c r="E52" s="12" t="inlineStr">
        <is>
          <t>Low</t>
        </is>
      </c>
      <c r="F52" s="12" t="inlineStr">
        <is>
          <t>Total</t>
        </is>
      </c>
    </row>
    <row r="53">
      <c r="A53" s="4" t="inlineStr">
        <is>
          <t>Orders</t>
        </is>
      </c>
      <c r="B53" s="6">
        <f>COUNTIFS(Bugs!$D:$D,$A53,Bugs!$B:$B,"Critical",Bugs!$C:$C,"&lt;&gt;Query",Bugs!$C:$C,"&lt;&gt;Suggestion")</f>
        <v/>
      </c>
      <c r="C53" s="6">
        <f>COUNTIFS(Bugs!$D:$D,$A53,Bugs!$B:$B,"High",Bugs!$C:$C,"&lt;&gt;Query",Bugs!$C:$C,"&lt;&gt;Suggestion")</f>
        <v/>
      </c>
      <c r="D53" s="6">
        <f>COUNTIFS(Bugs!$D:$D,$A53,Bugs!$B:$B,"Medium",Bugs!$C:$C,"&lt;&gt;Query",Bugs!$C:$C,"&lt;&gt;Suggestion")</f>
        <v/>
      </c>
      <c r="E53" s="6">
        <f>COUNTIFS(Bugs!$D:$D,$A53,Bugs!$B:$B,"Low",Bugs!$C:$C,"&lt;&gt;Query",Bugs!$C:$C,"&lt;&gt;Suggestion")</f>
        <v/>
      </c>
      <c r="F53" s="6">
        <f>SUM(B53:E53)</f>
        <v/>
      </c>
    </row>
    <row r="54">
      <c r="A54" s="4" t="inlineStr">
        <is>
          <t>API</t>
        </is>
      </c>
      <c r="B54" s="6">
        <f>COUNTIFS(Bugs!$D:$D,$A54,Bugs!$B:$B,"Critical",Bugs!$C:$C,"&lt;&gt;Query",Bugs!$C:$C,"&lt;&gt;Suggestion")</f>
        <v/>
      </c>
      <c r="C54" s="6">
        <f>COUNTIFS(Bugs!$D:$D,$A54,Bugs!$B:$B,"High",Bugs!$C:$C,"&lt;&gt;Query",Bugs!$C:$C,"&lt;&gt;Suggestion")</f>
        <v/>
      </c>
      <c r="D54" s="6">
        <f>COUNTIFS(Bugs!$D:$D,$A54,Bugs!$B:$B,"Medium",Bugs!$C:$C,"&lt;&gt;Query",Bugs!$C:$C,"&lt;&gt;Suggestion")</f>
        <v/>
      </c>
      <c r="E54" s="6">
        <f>COUNTIFS(Bugs!$D:$D,$A54,Bugs!$B:$B,"Low",Bugs!$C:$C,"&lt;&gt;Query",Bugs!$C:$C,"&lt;&gt;Suggestion")</f>
        <v/>
      </c>
      <c r="F54" s="6">
        <f>SUM(B54:E54)</f>
        <v/>
      </c>
    </row>
    <row r="55">
      <c r="A55" s="4" t="inlineStr">
        <is>
          <t>Settings</t>
        </is>
      </c>
      <c r="B55" s="6">
        <f>COUNTIFS(Bugs!$D:$D,$A55,Bugs!$B:$B,"Critical",Bugs!$C:$C,"&lt;&gt;Query",Bugs!$C:$C,"&lt;&gt;Suggestion")</f>
        <v/>
      </c>
      <c r="C55" s="6">
        <f>COUNTIFS(Bugs!$D:$D,$A55,Bugs!$B:$B,"High",Bugs!$C:$C,"&lt;&gt;Query",Bugs!$C:$C,"&lt;&gt;Suggestion")</f>
        <v/>
      </c>
      <c r="D55" s="6">
        <f>COUNTIFS(Bugs!$D:$D,$A55,Bugs!$B:$B,"Medium",Bugs!$C:$C,"&lt;&gt;Query",Bugs!$C:$C,"&lt;&gt;Suggestion")</f>
        <v/>
      </c>
      <c r="E55" s="6">
        <f>COUNTIFS(Bugs!$D:$D,$A55,Bugs!$B:$B,"Low",Bugs!$C:$C,"&lt;&gt;Query",Bugs!$C:$C,"&lt;&gt;Suggestion")</f>
        <v/>
      </c>
      <c r="F55" s="6">
        <f>SUM(B55:E55)</f>
        <v/>
      </c>
    </row>
    <row r="57">
      <c r="A57" s="3" t="inlineStr">
        <is>
          <t>Tester's notes</t>
        </is>
      </c>
    </row>
    <row r="58" ht="45" customHeight="1">
      <c r="A58" s="4" t="inlineStr">
        <is>
          <t>Limitation (R1)</t>
        </is>
      </c>
      <c r="B58" s="5" t="inlineStr">
        <is>
          <t>No SRS / FRD was supplied. Expected behaviour comes from the carrier responses, the app's own messages and tooltips, and consistency between lanes and carriers; findings with weaker footing are logged as Query or Suggestion.</t>
        </is>
      </c>
      <c r="C58" s="21" t="n"/>
      <c r="D58" s="21" t="n"/>
      <c r="E58" s="21" t="n"/>
      <c r="F58" s="21" t="n"/>
      <c r="G58" s="22" t="n"/>
    </row>
    <row r="59" ht="75" customHeight="1">
      <c r="A59" s="4" t="inlineStr">
        <is>
          <t>Limitation (R1)</t>
        </is>
      </c>
      <c r="B59" s="5" t="inlineStr">
        <is>
          <t>Combination run, not an element-by-element pass: every carrier x service x packaging the app offers was shipped to Canada, the UK and Mexico (128 orders on 2026-10-11). Controls not needed for that were not exercised and show as Not tested (Duties paid by, Currency, Pickup type, AES ITN, SKU, Tax ID, EORI, Commercial Invoice tab, label downloads, tracking and print).</t>
        </is>
      </c>
      <c r="C59" s="21" t="n"/>
      <c r="D59" s="21" t="n"/>
      <c r="E59" s="21" t="n"/>
      <c r="F59" s="21" t="n"/>
      <c r="G59" s="22" t="n"/>
    </row>
    <row r="60" ht="60" customHeight="1">
      <c r="A60" s="4" t="inlineStr">
        <is>
          <t>Limitation (R1)</t>
        </is>
      </c>
      <c r="B60" s="5" t="inlineStr">
        <is>
          <t>Screenshots and network timings come from a validate-only evidence pass on 2026-10-12: forms were validated but never generated, and no orders were created (#934191 does not exist). Console output was not captured. BUG-011 and BUG-016 were seen once during the run and have no screenshot.</t>
        </is>
      </c>
      <c r="C60" s="21" t="n"/>
      <c r="D60" s="21" t="n"/>
      <c r="E60" s="21" t="n"/>
      <c r="F60" s="21" t="n"/>
      <c r="G60" s="22" t="n"/>
    </row>
    <row r="61" ht="45" customHeight="1">
      <c r="A61" s="4" t="inlineStr">
        <is>
          <t>Limitation (R1)</t>
        </is>
      </c>
      <c r="B61" s="5" t="inlineStr">
        <is>
          <t>All carrier accounts are in sandbox mode: FedEx rate calls often failed (HTTP 500 / 503, shown as 'No price ... to review') and label documents are sandbox samples, so per-box label content could not be verified.</t>
        </is>
      </c>
      <c r="C61" s="21" t="n"/>
      <c r="D61" s="21" t="n"/>
      <c r="E61" s="21" t="n"/>
      <c r="F61" s="21" t="n"/>
      <c r="G61" s="22" t="n"/>
    </row>
    <row r="62" ht="75" customHeight="1">
      <c r="A62" s="4" t="inlineStr">
        <is>
          <t>Observation (R1)</t>
        </is>
      </c>
      <c r="B62" s="5" t="inlineStr">
        <is>
          <t>Retest on 2026-10-12 of an empty Mexico State / region showed a toast and a red field; the run notes had recorded Validate doing nothing visible, so that part is not reported. Also seen in sandbox: FedEx Envelope rating returned HTTP 400 (dimensions under 1 in), and each label page sends its /label requests twice (likely React StrictMode in the dev build).</t>
        </is>
      </c>
      <c r="C62" s="21" t="n"/>
      <c r="D62" s="21" t="n"/>
      <c r="E62" s="21" t="n"/>
      <c r="F62" s="21" t="n"/>
      <c r="G62" s="22" t="n"/>
    </row>
    <row r="63" ht="150" customHeight="1">
      <c r="A63" s="4" t="inlineStr">
        <is>
          <t>Summary (R1)</t>
        </is>
      </c>
      <c r="B63" s="5" t="inlineStr">
        <is>
          <t>International shipping works end to end for all three carriers once the inputs suit each carrier: every one of the 114 carrier x service x packaging combinations produced a label for Canada, the UK and Mexico, and the Order API matches the screens for all 128 orders. What worries me most is that the shipment check passes shipments the carrier then rejects, so problems only surface as ERROR orders: USPS international fails with MKL246's default sender name and when a second box has no customs lines (where box 1 may already be booked), and single-piece FedEx and UPS packagings accept a second box. The FedEx International Priority check also raises a false 'issue to fix' on every IP shipment yet lets the label through, which teaches users to ignore the check. Fix first: BUG-001, BUG-002 and BUG-003, then BUG-004 and BUG-005.</t>
        </is>
      </c>
      <c r="C63" s="21" t="n"/>
      <c r="D63" s="21" t="n"/>
      <c r="E63" s="21" t="n"/>
      <c r="F63" s="21" t="n"/>
      <c r="G63" s="22" t="n"/>
    </row>
    <row r="64" ht="45" customHeight="1">
      <c r="A64" s="4" t="inlineStr">
        <is>
          <t>Limitation (R2)</t>
        </is>
      </c>
      <c r="B64" s="5" t="inlineStr">
        <is>
          <t>R2 covers Settings &gt; Organization only: Clients (list and the 8-step Add/Edit wizard), Warehouses, Address book, Users and Roles, plus the All settings overview. The other 31 Settings screens are mapped in the application map but not yet tested.</t>
        </is>
      </c>
      <c r="C64" s="21" t="n"/>
      <c r="D64" s="21" t="n"/>
      <c r="E64" s="21" t="n"/>
      <c r="F64" s="21" t="n"/>
      <c r="G64" s="22" t="n"/>
    </row>
    <row r="65" ht="45" customHeight="1">
      <c r="A65" s="4" t="inlineStr">
        <is>
          <t>Limitation (R2)</t>
        </is>
      </c>
      <c r="B65" s="5" t="inlineStr">
        <is>
          <t>Settings &gt; Address book could not be exercised: its only data call returns 500 every time (BUG-044), so the search, the client filter, the grid and the row actions are recorded as blocked rather than tested.</t>
        </is>
      </c>
      <c r="C65" s="21" t="n"/>
      <c r="D65" s="21" t="n"/>
      <c r="E65" s="21" t="n"/>
      <c r="F65" s="21" t="n"/>
      <c r="G65" s="22" t="n"/>
    </row>
    <row r="66" ht="75" customHeight="1">
      <c r="A66" s="4" t="inlineStr">
        <is>
          <t>Limitation (R2)</t>
        </is>
      </c>
      <c r="B66" s="5" t="inlineStr">
        <is>
          <t>On Settings &gt; Users the per-row Role control, Reset password and Deactivate were not exercised. The only accounts are the signed-in admin and one real person's account, and the test invitation sent for the purpose never produced a user row (BUG-050). Deactivate on the admin row was deliberately not clicked at the user's request - it is reported as a risk in BUG-051.</t>
        </is>
      </c>
      <c r="C66" s="21" t="n"/>
      <c r="D66" s="21" t="n"/>
      <c r="E66" s="21" t="n"/>
      <c r="F66" s="21" t="n"/>
      <c r="G66" s="22" t="n"/>
    </row>
    <row r="67" ht="45" customHeight="1">
      <c r="A67" s="4" t="inlineStr">
        <is>
          <t>Limitation (R2)</t>
        </is>
      </c>
      <c r="B67" s="5" t="inlineStr">
        <is>
          <t>CSV exports: the user allowed the downloads, and the request, its parameters and the response were checked for each one, but the downloaded files themselves could not be opened from this session, so their contents are unverified.</t>
        </is>
      </c>
      <c r="C67" s="21" t="n"/>
      <c r="D67" s="21" t="n"/>
      <c r="E67" s="21" t="n"/>
      <c r="F67" s="21" t="n"/>
      <c r="G67" s="22" t="n"/>
    </row>
    <row r="68" ht="60" customHeight="1">
      <c r="A68" s="4" t="inlineStr">
        <is>
          <t>Observation (R2)</t>
        </is>
      </c>
      <c r="B68" s="5" t="inlineStr">
        <is>
          <t>Carrier address validation was run once per carrier on the warehouse panel with the user's explicit go-ahead. All three sandbox accounts answered NOT_SUPPORTED for want of live credentials, so no address was actually checked against a carrier and the warehouse address rules (BUG-040) go unenforced end to end.</t>
        </is>
      </c>
      <c r="C68" s="21" t="n"/>
      <c r="D68" s="21" t="n"/>
      <c r="E68" s="21" t="n"/>
      <c r="F68" s="21" t="n"/>
      <c r="G68" s="22" t="n"/>
    </row>
    <row r="69" ht="45" customHeight="1">
      <c r="A69" s="4" t="inlineStr">
        <is>
          <t>Observation (R2)</t>
        </is>
      </c>
      <c r="B69" s="5" t="inlineStr">
        <is>
          <t>Settings &gt; Mail reports 'No provider active - outbound emails are logged only' and has no registered providers, so nothing sent from Settings in this environment can reach an inbox. The one invitation sent during the run therefore went nowhere.</t>
        </is>
      </c>
      <c r="C69" s="21" t="n"/>
      <c r="D69" s="21" t="n"/>
      <c r="E69" s="21" t="n"/>
      <c r="F69" s="21" t="n"/>
      <c r="G69" s="22" t="n"/>
    </row>
    <row r="70" ht="60" customHeight="1">
      <c r="A70" s="4" t="inlineStr">
        <is>
          <t>Observation (R2)</t>
        </is>
      </c>
      <c r="B70" s="5" t="inlineStr">
        <is>
          <t>Pages in this dev build take roughly 6-14 seconds to show data on first visit, which is the Vite module load rather than the API: the data calls themselves return in well under a second. Every screen also makes each of its calls twice, which is React StrictMode in development. Neither is reported as a defect.</t>
        </is>
      </c>
      <c r="C70" s="21" t="n"/>
      <c r="D70" s="21" t="n"/>
      <c r="E70" s="21" t="n"/>
      <c r="F70" s="21" t="n"/>
      <c r="G70" s="22" t="n"/>
    </row>
    <row r="71" ht="285" customHeight="1">
      <c r="A71" s="4" t="inlineStr">
        <is>
          <t>Summary (R2)</t>
        </is>
      </c>
      <c r="B71" s="5" t="inlineStr">
        <is>
          <t>Settings &gt; Organization works, and the parts that can destroy data are the parts that are built best: deleting a client names the record, lists what else goes and warns that it cannot be undone; a client with orders cannot be deleted at all; leaving the client editor with unsaved edits asks first; a double-click on Submit creates one record, not two; and a client code that does not exist is refused when assigning a user. The weaknesses are in two places. First, the address rules are applied unevenly: a client's return address enforces per-carrier limits so strictly that a valid US ZIP+4 cannot be typed (BUG-028), while the warehouse address - the one printed on every label - applies no rules at all and happily saves a state of 'ILLINOIS' that UPS and FedEx will refuse (BUG-040). Second, the Address book is broken outright: its only data call fails and the page draws the failure as an empty list, so a saved address is reported as a server error while it is really sitting in the database (BUG-044, BUG-045). Around those, a cluster of smaller faults share one cause - the interface does not distinguish a user's mistake from the system's. 'Something went wrong' heads a missing required field, a business-rule refusal and a genuine 502 alike; a bad email on the invite form is announced as 'This shipment needs attention'; error toasts never time out; and the user audit trail records nothing at all although the screen is sold on auditing. None of this stops a shipment going out, but it is what makes an admin screen feel unreliable.</t>
        </is>
      </c>
      <c r="C71" s="21" t="n"/>
      <c r="D71" s="21" t="n"/>
      <c r="E71" s="21" t="n"/>
      <c r="F71" s="21" t="n"/>
      <c r="G71" s="22" t="n"/>
    </row>
    <row r="73">
      <c r="A73" s="3" t="inlineStr">
        <is>
          <t>How to use this workbook</t>
        </is>
      </c>
    </row>
    <row r="74" ht="30" customHeight="1">
      <c r="A74" s="13" t="inlineStr">
        <is>
          <t>Bugs sheet: one row per bug. Developers fill only the yellow columns - Dev status, Assigned to, Developer comments, Fixed in build. Please do not change Bug ID.</t>
        </is>
      </c>
    </row>
    <row r="75" ht="30" customHeight="1">
      <c r="A75" s="13" t="inlineStr">
        <is>
          <t>Coverage sheet: every element that was listed on every screen tested, with its result, what was tried and the requirement it was checked against. Filter on Requirement ref to see what has been verified for a clause.</t>
        </is>
      </c>
    </row>
    <row r="76" ht="30" customHeight="1">
      <c r="A76" s="13" t="inlineStr">
        <is>
          <t>Screens sheet: the application map and how far testing has reached on each screen.</t>
        </is>
      </c>
    </row>
    <row r="77" ht="30" customHeight="1">
      <c r="A77" s="13" t="inlineStr">
        <is>
          <t>Send this workbook back for retest: the tester reads the Dev status column and re-checks every bug marked Fixed.</t>
        </is>
      </c>
    </row>
    <row r="78" ht="30" customHeight="1">
      <c r="A78" s="13" t="inlineStr">
        <is>
          <t>The hidden sheet '_ledger' holds the test records so that testing can resume from this file. Please do not delete it.</t>
        </is>
      </c>
    </row>
  </sheetData>
  <mergeCells count="35">
    <mergeCell ref="B60:G60"/>
    <mergeCell ref="B67:G67"/>
    <mergeCell ref="B61:G61"/>
    <mergeCell ref="A4:G4"/>
    <mergeCell ref="B8:G8"/>
    <mergeCell ref="B13:G13"/>
    <mergeCell ref="B69:G69"/>
    <mergeCell ref="B10:G10"/>
    <mergeCell ref="A39:G39"/>
    <mergeCell ref="A77:G77"/>
    <mergeCell ref="B9:G9"/>
    <mergeCell ref="A57:G57"/>
    <mergeCell ref="A30:G30"/>
    <mergeCell ref="B65:G65"/>
    <mergeCell ref="A15:G15"/>
    <mergeCell ref="B68:G68"/>
    <mergeCell ref="A73:G73"/>
    <mergeCell ref="A51:G51"/>
    <mergeCell ref="B64:G64"/>
    <mergeCell ref="B6:G6"/>
    <mergeCell ref="B5:G5"/>
    <mergeCell ref="B63:G63"/>
    <mergeCell ref="A78:G78"/>
    <mergeCell ref="B62:G62"/>
    <mergeCell ref="B7:G7"/>
    <mergeCell ref="A75:G75"/>
    <mergeCell ref="A74:G74"/>
    <mergeCell ref="B59:G59"/>
    <mergeCell ref="B66:G66"/>
    <mergeCell ref="B71:G71"/>
    <mergeCell ref="B12:G12"/>
    <mergeCell ref="B58:G58"/>
    <mergeCell ref="B70:G70"/>
    <mergeCell ref="A76:G76"/>
    <mergeCell ref="B11:G11"/>
  </mergeCells>
  <hyperlinks>
    <hyperlink xmlns:r="http://schemas.openxmlformats.org/officeDocument/2006/relationships" ref="B6" r:id="rId1"/>
  </hyperlinks>
  <pageMargins left="0.7" right="0.7" top="0.75" bottom="0.75" header="0.3" footer="0.3"/>
  <pageSetup orientation="landscape" paperSize="9" fitToHeight="0"/>
</worksheet>
</file>

<file path=xl/worksheets/sheet2.xml><?xml version="1.0" encoding="utf-8"?>
<worksheet xmlns="http://schemas.openxmlformats.org/spreadsheetml/2006/main">
  <sheetPr>
    <outlinePr summaryBelow="1" summaryRight="1"/>
    <pageSetUpPr fitToPage="1"/>
  </sheetPr>
  <dimension ref="A1:AC53"/>
  <sheetViews>
    <sheetView workbookViewId="0">
      <pane xSplit="2" ySplit="1" topLeftCell="C2" activePane="bottomRight" state="frozen"/>
      <selection pane="topRight" activeCell="C1" sqref="C1"/>
      <selection pane="bottomLeft" activeCell="A2" sqref="A2"/>
      <selection pane="bottomRight" activeCell="A1" sqref="A1"/>
    </sheetView>
  </sheetViews>
  <sheetFormatPr baseColWidth="8" defaultRowHeight="15"/>
  <cols>
    <col width="10.7109375" customWidth="1" min="1" max="2"/>
    <col width="14.7109375" customWidth="1" min="3" max="3"/>
    <col width="16.7109375" customWidth="1" min="4" max="5"/>
    <col width="20.7109375" customWidth="1" min="6" max="6"/>
    <col width="18.7109375" customWidth="1" min="7" max="7"/>
    <col width="45.7109375" customWidth="1" min="8" max="8"/>
    <col width="55.7109375" customWidth="1" min="9" max="9"/>
    <col width="28.7109375" customWidth="1" min="10" max="10"/>
    <col width="40.7109375" customWidth="1" min="11" max="12"/>
    <col width="45.7109375" customWidth="1" min="13" max="13"/>
    <col width="28.7109375" customWidth="1" min="14" max="14"/>
    <col width="15.7109375" customWidth="1" min="15" max="15"/>
    <col width="20.7109375" customWidth="1" min="16" max="16"/>
    <col width="15.7109375" customWidth="1" min="17" max="17"/>
    <col width="14.7109375" customWidth="1" min="18" max="18"/>
    <col width="10.7109375" customWidth="1" min="19" max="19"/>
    <col width="12.7109375" customWidth="1" min="20" max="20"/>
    <col width="6.7109375" customWidth="1" min="21" max="21"/>
    <col width="10.7109375" customWidth="1" min="22" max="22"/>
    <col width="26.7109375" customWidth="1" min="23" max="23"/>
    <col width="13.7109375" customWidth="1" min="24" max="24"/>
    <col width="32.7109375" customWidth="1" min="25" max="25"/>
    <col width="14.7109375" customWidth="1" min="26" max="27"/>
    <col width="36.7109375" customWidth="1" min="28" max="28"/>
    <col width="13.7109375" customWidth="1" min="29" max="29"/>
  </cols>
  <sheetData>
    <row r="1" ht="30" customHeight="1">
      <c r="A1" s="12" t="inlineStr">
        <is>
          <t>Bug ID</t>
        </is>
      </c>
      <c r="B1" s="12" t="inlineStr">
        <is>
          <t>Severity</t>
        </is>
      </c>
      <c r="C1" s="12" t="inlineStr">
        <is>
          <t>Type</t>
        </is>
      </c>
      <c r="D1" s="12" t="inlineStr">
        <is>
          <t>Module</t>
        </is>
      </c>
      <c r="E1" s="12" t="inlineStr">
        <is>
          <t>Submodule</t>
        </is>
      </c>
      <c r="F1" s="12" t="inlineStr">
        <is>
          <t>Screen</t>
        </is>
      </c>
      <c r="G1" s="12" t="inlineStr">
        <is>
          <t>Element</t>
        </is>
      </c>
      <c r="H1" s="12" t="inlineStr">
        <is>
          <t>Title</t>
        </is>
      </c>
      <c r="I1" s="12" t="inlineStr">
        <is>
          <t>Steps to reproduce</t>
        </is>
      </c>
      <c r="J1" s="12" t="inlineStr">
        <is>
          <t>Test data</t>
        </is>
      </c>
      <c r="K1" s="12" t="inlineStr">
        <is>
          <t>Expected result</t>
        </is>
      </c>
      <c r="L1" s="12" t="inlineStr">
        <is>
          <t>Actual result</t>
        </is>
      </c>
      <c r="M1" s="12" t="inlineStr">
        <is>
          <t>Technical evidence</t>
        </is>
      </c>
      <c r="N1" s="12" t="inlineStr">
        <is>
          <t>URL</t>
        </is>
      </c>
      <c r="O1" s="12" t="inlineStr">
        <is>
          <t>Reproducibility</t>
        </is>
      </c>
      <c r="P1" s="12" t="inlineStr">
        <is>
          <t>Screenshots</t>
        </is>
      </c>
      <c r="Q1" s="12" t="inlineStr">
        <is>
          <t>Requirement ref</t>
        </is>
      </c>
      <c r="R1" s="12" t="inlineStr">
        <is>
          <t>Role</t>
        </is>
      </c>
      <c r="S1" s="12" t="inlineStr">
        <is>
          <t>Build</t>
        </is>
      </c>
      <c r="T1" s="12" t="inlineStr">
        <is>
          <t>Found on</t>
        </is>
      </c>
      <c r="U1" s="12" t="inlineStr">
        <is>
          <t>Run</t>
        </is>
      </c>
      <c r="V1" s="12" t="inlineStr">
        <is>
          <t>Screen ID</t>
        </is>
      </c>
      <c r="W1" s="12" t="inlineStr">
        <is>
          <t>Also affects</t>
        </is>
      </c>
      <c r="X1" s="12" t="inlineStr">
        <is>
          <t>Tester status</t>
        </is>
      </c>
      <c r="Y1" s="12" t="inlineStr">
        <is>
          <t>Retest notes</t>
        </is>
      </c>
      <c r="Z1" s="14" t="inlineStr">
        <is>
          <t>Dev status</t>
        </is>
      </c>
      <c r="AA1" s="14" t="inlineStr">
        <is>
          <t>Assigned to</t>
        </is>
      </c>
      <c r="AB1" s="14" t="inlineStr">
        <is>
          <t>Developer comments</t>
        </is>
      </c>
      <c r="AC1" s="14" t="inlineStr">
        <is>
          <t>Fixed in build</t>
        </is>
      </c>
    </row>
    <row r="2">
      <c r="A2" s="5" t="inlineStr">
        <is>
          <t>BUG-001</t>
        </is>
      </c>
      <c r="B2" s="9" t="inlineStr">
        <is>
          <t>High</t>
        </is>
      </c>
      <c r="C2" s="5" t="inlineStr">
        <is>
          <t>Validation</t>
        </is>
      </c>
      <c r="D2" s="5" t="inlineStr">
        <is>
          <t>Orders</t>
        </is>
      </c>
      <c r="E2" s="5" t="inlineStr">
        <is>
          <t>New order</t>
        </is>
      </c>
      <c r="F2" s="5" t="inlineStr">
        <is>
          <t>New order form (international)</t>
        </is>
      </c>
      <c r="G2" s="5" t="inlineStr">
        <is>
          <t>Ship-from Full name</t>
        </is>
      </c>
      <c r="H2" s="5" t="inlineStr">
        <is>
          <t>New shipment (USPS international): label fails for MKL246's default sender name 'MKL'; the shipment check passes it</t>
        </is>
      </c>
      <c r="I2" s="5" t="inlineStr">
        <is>
          <t>1. Open Orders and click + New shipment (/orders/new)
2. Client: MKL246 (ship from 3PL-EAST, the client default); leave Ship from Full name as the profile default 'MKL'
3. Carrier: USPS
4. Ship to: Full name QA Test Recipient, Company QA Test Co, Address line 1 Av Paseo de la Reforma 222, Country Mexico (MX), Phone 5552081234, State / region CMX, City Ciudad de Mexico, Postal code 06600
5. Service level: USPS Priority Mail Intl
6. Packaging THB-PACKAGE, Weight 5; click Add another box, then Apply box 1 to all
7. Customs: Reason of export Sale, FTR exemption NOEEI 30.37(a), Label type PDF, Incoterms DAP
8. Importer of record &amp; customs broker &gt; Add: Type Receiver, Name and Contact QA Test Recipient, same address, city, post code and phone as Ship to &gt; Use for this shipment
9. Items: Description Cotton T-shirt, HS code 61091000, Origin US, Qty 2, Unit value 20.00, Wt 0.5
10. Click Validate shipment
11. Click Generate label</t>
        </is>
      </c>
      <c r="J2" s="5" t="inlineStr">
        <is>
          <t>Ship-from Full name 'MKL' (MKL246 profile default). Orders #934105 (Canada, PMI), #934109 (Canada, PMEI), #934147 (UK, PMI), #934186 (Mexico, PMI)</t>
        </is>
      </c>
      <c r="K2" s="5" t="inlineStr">
        <is>
          <t>Either the label is created, or the shipment check flags before Generate that USPS international needs a sender full name of first and last name (two words of 2+ letters).</t>
        </is>
      </c>
      <c r="L2" s="5" t="inlineStr">
        <is>
          <t>Check said 'Ready to ship — 1 thing to review: USPS normalised the address; review before shipping.' (Canada: 'All checks passed'). Generate label then shows 'The carrier rejected this shipment If provided, fullname must contain at least 2 alphabetic characters, followed by a space, followed by at least another 2 alphabetic characters. (saved as order 934186)' and the order is saved as ERROR. Same result 4 of 4 times (Canada, UK, Mexico; Priority Mail Intl and Priority Mail Express Intl). With Full name changed to 'MKL Shipping' the same shipments generate (#934107, #934108, #934110-#934112, #934148-#934151, #934187-#934190).</t>
        </is>
      </c>
      <c r="M2" s="5" t="inlineStr">
        <is>
          <t>GET /api/v1/orders/934186 -&gt; errorDetails.errorMessage 'STAMPS createShipmentSera[pkg 1/2] HTTP 400 ... fullname must contain at least 2 alphabetic characters ...' (Canada #934105: Stamps code 6619409). Orders list shows ERR with tooltip 'CARRIER If provided, fullname must contain ...'.</t>
        </is>
      </c>
      <c r="N2" s="5" t="inlineStr">
        <is>
          <t>/orders/new</t>
        </is>
      </c>
      <c r="O2" s="5" t="inlineStr">
        <is>
          <t>Always (4 of 4)</t>
        </is>
      </c>
      <c r="P2" s="5" t="inlineStr">
        <is>
          <t>BUG-001.jpg</t>
        </is>
      </c>
      <c r="Q2" s="5" t="n"/>
      <c r="R2" s="5" t="inlineStr">
        <is>
          <t>admin (ADMIN)</t>
        </is>
      </c>
      <c r="S2" s="5" t="n"/>
      <c r="T2" s="5" t="inlineStr">
        <is>
          <t>2026-10-11</t>
        </is>
      </c>
      <c r="U2" s="5" t="inlineStr">
        <is>
          <t>R1</t>
        </is>
      </c>
      <c r="V2" s="5" t="inlineStr">
        <is>
          <t>S001</t>
        </is>
      </c>
      <c r="W2" s="5" t="n"/>
      <c r="X2" s="5" t="inlineStr">
        <is>
          <t>Open</t>
        </is>
      </c>
      <c r="Y2" s="5" t="n"/>
      <c r="Z2" s="15" t="inlineStr">
        <is>
          <t>Fixed on dev</t>
        </is>
      </c>
      <c r="AA2" s="15" t="n"/>
      <c r="AB2" s="15" t="inlineStr">
        <is>
          <t>[e7982c59] Pre-flight guard in ShipmentValidationService.checkIntlRequiredFields</t>
        </is>
      </c>
      <c r="AC2" s="15" t="inlineStr">
        <is>
          <t>2026-10-12</t>
        </is>
      </c>
    </row>
    <row r="3">
      <c r="A3" s="5" t="inlineStr">
        <is>
          <t>BUG-002</t>
        </is>
      </c>
      <c r="B3" s="9" t="inlineStr">
        <is>
          <t>High</t>
        </is>
      </c>
      <c r="C3" s="5" t="inlineStr">
        <is>
          <t>Functional</t>
        </is>
      </c>
      <c r="D3" s="5" t="inlineStr">
        <is>
          <t>Orders</t>
        </is>
      </c>
      <c r="E3" s="5" t="inlineStr">
        <is>
          <t>New order</t>
        </is>
      </c>
      <c r="F3" s="5" t="inlineStr">
        <is>
          <t>New order form (international)</t>
        </is>
      </c>
      <c r="G3" s="5" t="inlineStr">
        <is>
          <t>Item Pkg#</t>
        </is>
      </c>
      <c r="H3" s="5" t="inlineStr">
        <is>
          <t>New shipment (USPS international, 2 boxes): with all item lines in box 1, box 2 fails 'Missing customs lines' after box 1 already went to the carrier</t>
        </is>
      </c>
      <c r="I3" s="5" t="inlineStr">
        <is>
          <t>1. Open Orders and click + New shipment (/orders/new)
2. Client: MKL246 (ship from 3PL-EAST, the client default); set Ship from Full name to 'MKL Shipping'
3. Carrier: USPS
4. Ship to: QA Test Recipient, QA Test Co, Toronto ON M5V 3L9, Canada (as for the other Canada orders of the run)
5. Service level: USPS Priority Mail Intl
6. Packaging THB-PACKAGE, Weight 5; Add another box; Apply box 1 to all
7. Customs: Reason of export Sale, Label type PDF, Incoterms DAP
8. Importer of record &amp; customs broker &gt; Add: Type Receiver, Name and Contact QA Test Recipient, same address, city, post code and phone as Ship to &gt; Use for this shipment
9. Items: one line Cotton T-shirt, HS 61091000, Origin US, Qty 2, Unit value 20.00, Wt 0.5; leave Boxes on 'All in box 1' (Pkg # 1)
10. Click Validate shipment, then Generate label</t>
        </is>
      </c>
      <c r="J3" s="5" t="inlineStr">
        <is>
          <t>Order #934106 (QA-1011-R13-CA-US-PMI-THB-NM)</t>
        </is>
      </c>
      <c r="K3" s="5" t="inlineStr">
        <is>
          <t>The check warns that USPS needs customs lines on every box (or the lines are split across the boxes automatically) before the label is bought; nothing is booked for part of the shipment.</t>
        </is>
      </c>
      <c r="L3" s="5" t="inlineStr">
        <is>
          <t>Check: 'All checks passed'. Generate label: 'Missing customs lines.'; order #934106 saved as ERROR. The error names package 2 of 2, so package 1 had already passed its carrier call; the app shows nothing about whether package 1 was booked or voided at USPS (not verified). With two lines of Qty 1 spread across the boxes (Spread across 2 boxes) the same shipment generates (#934108, #934110-#934112, #934148-#934151, #934187-#934190).</t>
        </is>
      </c>
      <c r="M3" s="5" t="inlineStr">
        <is>
          <t>GET /api/v1/orders/934106 -&gt; errorDetails.errorMessage 'STAMPS createShipmentSera[pkg 2/2] HTTP 400 ... Missing customs lines.'</t>
        </is>
      </c>
      <c r="N3" s="5" t="inlineStr">
        <is>
          <t>/orders/new</t>
        </is>
      </c>
      <c r="O3" s="5" t="inlineStr">
        <is>
          <t>1 of 1 (not repeated, to avoid further carrier bookings)</t>
        </is>
      </c>
      <c r="P3" s="5" t="inlineStr">
        <is>
          <t>BUG-002.jpg</t>
        </is>
      </c>
      <c r="Q3" s="5" t="n"/>
      <c r="R3" s="5" t="inlineStr">
        <is>
          <t>admin (ADMIN)</t>
        </is>
      </c>
      <c r="S3" s="5" t="n"/>
      <c r="T3" s="5" t="inlineStr">
        <is>
          <t>2026-10-11</t>
        </is>
      </c>
      <c r="U3" s="5" t="inlineStr">
        <is>
          <t>R1</t>
        </is>
      </c>
      <c r="V3" s="5" t="inlineStr">
        <is>
          <t>S001</t>
        </is>
      </c>
      <c r="W3" s="5" t="n"/>
      <c r="X3" s="5" t="inlineStr">
        <is>
          <t>Open</t>
        </is>
      </c>
      <c r="Y3" s="5" t="n"/>
      <c r="Z3" s="15" t="inlineStr">
        <is>
          <t>Fixed on dev</t>
        </is>
      </c>
      <c r="AA3" s="15" t="n"/>
      <c r="AB3" s="15" t="inlineStr">
        <is>
          <t>[92e3b671] Every-box-must-have-items guard in checkIntlRequiredFields</t>
        </is>
      </c>
      <c r="AC3" s="15" t="inlineStr">
        <is>
          <t>2026-10-12</t>
        </is>
      </c>
    </row>
    <row r="4">
      <c r="A4" s="5" t="inlineStr">
        <is>
          <t>BUG-003</t>
        </is>
      </c>
      <c r="B4" s="10" t="inlineStr">
        <is>
          <t>Medium</t>
        </is>
      </c>
      <c r="C4" s="5" t="inlineStr">
        <is>
          <t>Validation</t>
        </is>
      </c>
      <c r="D4" s="5" t="inlineStr">
        <is>
          <t>Orders</t>
        </is>
      </c>
      <c r="E4" s="5" t="inlineStr">
        <is>
          <t>New order</t>
        </is>
      </c>
      <c r="F4" s="5" t="inlineStr">
        <is>
          <t>New order form (international)</t>
        </is>
      </c>
      <c r="G4" s="5" t="inlineStr">
        <is>
          <t>Add another box</t>
        </is>
      </c>
      <c r="H4" s="5" t="inlineStr">
        <is>
          <t>New shipment: single-piece carrier packagings (FedEx Envelope, 10kg, 25kg box; UPS 10KG, 25KG box) accept a second box, then the carrier rejects the label</t>
        </is>
      </c>
      <c r="I4" s="5" t="inlineStr">
        <is>
          <t>1. Open Orders and click + New shipment (/orders/new)
2. Client: MKL246 (ship from 3PL-EAST, the client default)
3. Carrier: FedEx
4. Ship to: QA Test Recipient, Toronto ON M5V 3L9, Canada
5. Service level: FedEx International Priority
6. Packaging FedEx 10kg Box, Weight 10
7. Click Add another box, then Apply box 1 to all (2 boxes)
8. Customs: Reason of export Sale, Export declaration ref 'NO EEI 30.36', Label type PDF, Label size Paper 4x6, Incoterms DAP
9. Importer of record &amp; customs broker &gt; Add: Type Receiver, Name and Contact QA Test Recipient, same address, city, post code and phone as Ship to &gt; Use for this shipment
10. Items: Description Cotton T-shirt, HS code 61091000, Origin US, Qty 2, Unit value 20.00, Wt 0.5
11. Click Validate shipment, then Generate label
12. Repeat with FedEx Envelope (International Economy and Priority), FedEx 25kg Box, and with carrier UPS, Worldwide Saver and Worldwide Express, UPS 10KG Box (10 lb) and UPS 25KG Box (20 lb)</t>
        </is>
      </c>
      <c r="J4" s="5" t="inlineStr">
        <is>
          <t>FedEx: #934063 (IE Envelope), #934068 (IP 10kg), #934069 (IP 25kg), #934070 (IP Envelope). UPS: #934079, #934080 (Saver 10KG/25KG), #934091, #934092 (Express 10KG/25KG)</t>
        </is>
      </c>
      <c r="K4" s="5" t="inlineStr">
        <is>
          <t>The form allows only one box for these single-piece packagings, or the check blocks Generate with a message about the box count.</t>
        </is>
      </c>
      <c r="L4" s="5" t="inlineStr">
        <is>
          <t>FedEx check: ready to ship with one item to review, the note 'Multi-package validate: FedEx only supports single-piece pre-flight; box 1 validated, boxes 2–2 verified at label create'. Label: 'The package count for this shipment exceeds limit.' UPS check: ready to ship with one item to review (the UPS rate call returned HTTP 400 with the same message as below), Carrier check passed and Generate enabled; label: 'The requested service is not valid for shipments with the requested packaging.', which is misleading because the same service and packaging generate as one box (#934075-#934078, #934093, #934094, #934103, #934104 and every UK/Mexico 1-box order). 8 of 8 two-box attempts failed.</t>
        </is>
      </c>
      <c r="M4" s="5" t="inlineStr">
        <is>
          <t>API errorDetails: 'FEDEX createShipment HTTP 400 ... The package count for this shipment exceeds limit.' (#934063, #934068-#934070); 'UPS createShipment HTTP 400 ... The requested service is not valid for shipments with the requested packaging.' (#934079, #934080, #934091, #934092)</t>
        </is>
      </c>
      <c r="N4" s="5" t="inlineStr">
        <is>
          <t>/orders/new</t>
        </is>
      </c>
      <c r="O4" s="5" t="inlineStr">
        <is>
          <t>Always (8 of 8 two-box attempts; 0 failures as one box)</t>
        </is>
      </c>
      <c r="P4" s="5" t="inlineStr">
        <is>
          <t>BUG-003.jpg, BUG-003-2.jpg</t>
        </is>
      </c>
      <c r="Q4" s="5" t="n"/>
      <c r="R4" s="5" t="inlineStr">
        <is>
          <t>admin (ADMIN)</t>
        </is>
      </c>
      <c r="S4" s="5" t="n"/>
      <c r="T4" s="5" t="inlineStr">
        <is>
          <t>2026-10-11</t>
        </is>
      </c>
      <c r="U4" s="5" t="inlineStr">
        <is>
          <t>R1</t>
        </is>
      </c>
      <c r="V4" s="5" t="inlineStr">
        <is>
          <t>S001</t>
        </is>
      </c>
      <c r="W4" s="5" t="n"/>
      <c r="X4" s="5" t="inlineStr">
        <is>
          <t>Open</t>
        </is>
      </c>
      <c r="Y4" s="5" t="n"/>
      <c r="Z4" s="15" t="inlineStr">
        <is>
          <t>Fixed on dev</t>
        </is>
      </c>
      <c r="AA4" s="15" t="n"/>
      <c r="AB4" s="15" t="inlineStr">
        <is>
          <t>[b9325bc7] V144 sets max_pieces=1 on 5 more carrier packagings</t>
        </is>
      </c>
      <c r="AC4" s="15" t="inlineStr">
        <is>
          <t>2026-10-12</t>
        </is>
      </c>
    </row>
    <row r="5">
      <c r="A5" s="5" t="inlineStr">
        <is>
          <t>BUG-004</t>
        </is>
      </c>
      <c r="B5" s="10" t="inlineStr">
        <is>
          <t>Medium</t>
        </is>
      </c>
      <c r="C5" s="5" t="inlineStr">
        <is>
          <t>Functional</t>
        </is>
      </c>
      <c r="D5" s="5" t="inlineStr">
        <is>
          <t>Orders</t>
        </is>
      </c>
      <c r="E5" s="5" t="inlineStr">
        <is>
          <t>New order</t>
        </is>
      </c>
      <c r="F5" s="5" t="inlineStr">
        <is>
          <t>New order form (international)</t>
        </is>
      </c>
      <c r="G5" s="5" t="inlineStr">
        <is>
          <t>Shipment check panel</t>
        </is>
      </c>
      <c r="H5" s="5" t="inlineStr">
        <is>
          <t>Shipment check (FedEx International Priority): '1 issue to fix: FEDEX did not quote FedEx International Priority' although IP is in the quoted list; Generate stays enabled</t>
        </is>
      </c>
      <c r="I5" s="5" t="inlineStr">
        <is>
          <t>1. Open Orders and click + New shipment (/orders/new)
2. Client: MKL246 (ship from 3PL-EAST, the client default)
3. Carrier: FedEx
4. Ship to: Full name QA Test Recipient, Company QA Test Co, Address line 1 Av Paseo de la Reforma 222, Country Mexico (MX), Phone 5552081234, State / region CMX, City Ciudad de Mexico, Postal code 06600
5. Service level: FedEx International Priority
6. Packaging THB-PACKAGE, Weight 5 (one box)
7. Customs: Reason of export Sale, Label type PDF, Incoterms DAP
8. Importer of record &amp; customs broker &gt; Add: Type Receiver, Name and Contact QA Test Recipient, same address, city, post code and phone as Ship to &gt; Use for this shipment
9. Items: Description Cotton T-shirt, HS code 61091000, Origin US, Qty 2, Unit value 20.00, Wt 0.5
10. Click Validate shipment</t>
        </is>
      </c>
      <c r="J5" s="5" t="inlineStr">
        <is>
          <t>Retest 2026-10-12, reference QA-1012-EVID-MX-FX-IP (validated only, not saved), and the same on a UK tube shipment. During the run: every International Priority shipment whose FedEx rate call succeeded, e.g. #934072, #934074, #934118, #934122, #934157, #934161-#934163</t>
        </is>
      </c>
      <c r="K5" s="5" t="inlineStr">
        <is>
          <t>No issue when the selected service is in the quoted list. A check that says an issue must be fixed before the label can be bought should also keep Generate disabled.</t>
        </is>
      </c>
      <c r="L5" s="5" t="inlineStr">
        <is>
          <t>Check header '1 issue to fix before the label can be bought · 1 to review'; Account, service &amp; price '1 to fix': 'FEDEX did not quote FedEx International Priority for this lane — the label may be refused. Quoted instead: FedEx International Connect Plus — USD 159.18; FedEx International Economy® — USD 174.95; FedEx International Priority® — USD 218.58; FedEx International Priority® Express — USD 229.64; FedEx International First® — USD 271.64.' The same sentence is listed twice (as to fix and to review) and again in the price box. Generate label stays enabled and the labels generate. Seen for Canada, UK and Mexico; retested 2026-10-12 for Mexico and UK.</t>
        </is>
      </c>
      <c r="M5" s="5" t="inlineStr">
        <is>
          <t>The quoted list contains 'FedEx International Priority®' (with the registered mark), which may be why the match on the service name fails. No console capture.</t>
        </is>
      </c>
      <c r="N5" s="5" t="inlineStr">
        <is>
          <t>/orders/new</t>
        </is>
      </c>
      <c r="O5" s="5" t="inlineStr">
        <is>
          <t>Always when the FedEx rate call succeeds</t>
        </is>
      </c>
      <c r="P5" s="5" t="inlineStr">
        <is>
          <t>BUG-004.jpg, BUG-004-2.jpg</t>
        </is>
      </c>
      <c r="Q5" s="5" t="n"/>
      <c r="R5" s="5" t="inlineStr">
        <is>
          <t>admin (ADMIN)</t>
        </is>
      </c>
      <c r="S5" s="5" t="n"/>
      <c r="T5" s="5" t="inlineStr">
        <is>
          <t>2026-10-11</t>
        </is>
      </c>
      <c r="U5" s="5" t="inlineStr">
        <is>
          <t>R1</t>
        </is>
      </c>
      <c r="V5" s="5" t="inlineStr">
        <is>
          <t>S001</t>
        </is>
      </c>
      <c r="W5" s="5" t="n"/>
      <c r="X5" s="5" t="inlineStr">
        <is>
          <t>Open</t>
        </is>
      </c>
      <c r="Y5" s="5" t="n"/>
      <c r="Z5" s="15" t="inlineStr">
        <is>
          <t>Fixed on dev</t>
        </is>
      </c>
      <c r="AA5" s="15" t="n"/>
      <c r="AB5" s="15" t="inlineStr">
        <is>
          <t>[3afcec5e] matchServiceCode normalizes carrier-prefix drift</t>
        </is>
      </c>
      <c r="AC5" s="15" t="inlineStr">
        <is>
          <t>2026-10-12</t>
        </is>
      </c>
    </row>
    <row r="6">
      <c r="A6" s="5" t="inlineStr">
        <is>
          <t>BUG-005</t>
        </is>
      </c>
      <c r="B6" s="10" t="inlineStr">
        <is>
          <t>Medium</t>
        </is>
      </c>
      <c r="C6" s="5" t="inlineStr">
        <is>
          <t>Usability</t>
        </is>
      </c>
      <c r="D6" s="5" t="inlineStr">
        <is>
          <t>Orders</t>
        </is>
      </c>
      <c r="E6" s="5" t="inlineStr">
        <is>
          <t>New order</t>
        </is>
      </c>
      <c r="F6" s="5" t="inlineStr">
        <is>
          <t>New order form (international)</t>
        </is>
      </c>
      <c r="G6" s="5" t="inlineStr">
        <is>
          <t>FTR exemption (UK, Mexico)</t>
        </is>
      </c>
      <c r="H6" s="5" t="inlineStr">
        <is>
          <t>New shipment (FedEx to Canada): no FTR exemption field; with Export declaration ref empty FedEx rejects 'FTR Exemption or AES Citation ... not valid for EEI'</t>
        </is>
      </c>
      <c r="I6" s="5" t="inlineStr">
        <is>
          <t>1. Open Orders and click + New shipment (/orders/new)
2. Client: MKL246 (ship from 3PL-EAST, the client default)
3. Carrier: FedEx
4. Ship to: Full name QA Test Recipient, Company QA Test Co, Address line 1 290 Bremner Blvd, Country Canada (CA), Phone 4165550100, State / region ON, City Toronto, Postal code M5V 3L9
5. Service level: FedEx International Economy
6. Packaging FedEx Pak, Weight 2 (one box)
7. Customs: Reason of export Sale; note there is no FTR exemption or AES ITN field for Canada; leave Export declaration ref empty; Label type PDF; Label size Paper 4x6; Incoterms DAP
8. Importer of record &amp; customs broker &gt; Add: Type Receiver, Name and Contact QA Test Recipient, same address, city, post code and phone as Ship to &gt; Use for this shipment
9. Items: Description Cotton T-shirt, HS code 61091000, Origin US, Qty 2, Unit value 20.00, Wt 0.5
10. Click Validate shipment</t>
        </is>
      </c>
      <c r="J6" s="5" t="inlineStr">
        <is>
          <t>Retest 2026-10-12, reference QA-1012-EVID-CA-FX-IE (validated only, not saved). During the run all Canada FedEx orders (#934063-#934078) needed the workaround</t>
        </is>
      </c>
      <c r="K6" s="5" t="inlineStr">
        <is>
          <t>Canada gets the same FTR exemption dropdown as the UK and Mexico forms (which already list 'NOEEI §30.36 — export to Canada'), or a valid default, so a low-value shipment passes without typing a citation.</t>
        </is>
      </c>
      <c r="L6" s="5" t="inlineStr">
        <is>
          <t>Carrier check '1 to fix': 'FedEx rejected the shipment: The FTR Exemption or AES Citation you provided is not valid for EEI.' Generate label stays disabled, while 'Customs &amp; dangerous goods' shows Passed. Typing 'NO EEI 30.36' into Export declaration ref makes the check pass.</t>
        </is>
      </c>
      <c r="M6" s="5" t="inlineStr">
        <is>
          <t>Canada form selects: Reason of export, Currency, Label type, Label size, Pickup type, Incoterms, Duties paid by - no FTR exemption (UK and Mexico forms have it).</t>
        </is>
      </c>
      <c r="N6" s="5" t="inlineStr">
        <is>
          <t>/orders/new</t>
        </is>
      </c>
      <c r="O6" s="5" t="inlineStr">
        <is>
          <t>Always</t>
        </is>
      </c>
      <c r="P6" s="5" t="inlineStr">
        <is>
          <t>BUG-005.jpg</t>
        </is>
      </c>
      <c r="Q6" s="5" t="n"/>
      <c r="R6" s="5" t="inlineStr">
        <is>
          <t>admin (ADMIN)</t>
        </is>
      </c>
      <c r="S6" s="5" t="n"/>
      <c r="T6" s="5" t="inlineStr">
        <is>
          <t>2026-10-11</t>
        </is>
      </c>
      <c r="U6" s="5" t="inlineStr">
        <is>
          <t>R1</t>
        </is>
      </c>
      <c r="V6" s="5" t="inlineStr">
        <is>
          <t>S001</t>
        </is>
      </c>
      <c r="W6" s="5" t="n"/>
      <c r="X6" s="5" t="inlineStr">
        <is>
          <t>Open</t>
        </is>
      </c>
      <c r="Y6" s="5" t="n"/>
      <c r="Z6" s="15" t="inlineStr">
        <is>
          <t>Fixed on dev</t>
        </is>
      </c>
      <c r="AA6" s="15" t="n"/>
      <c r="AB6" s="15" t="inlineStr">
        <is>
          <t>[d282b2c0] Dropped CA from FTR-exemption gate exclusion</t>
        </is>
      </c>
      <c r="AC6" s="15" t="inlineStr">
        <is>
          <t>2026-10-12</t>
        </is>
      </c>
    </row>
    <row r="7">
      <c r="A7" s="5" t="inlineStr">
        <is>
          <t>BUG-006</t>
        </is>
      </c>
      <c r="B7" s="10" t="inlineStr">
        <is>
          <t>Medium</t>
        </is>
      </c>
      <c r="C7" s="5" t="inlineStr">
        <is>
          <t>Functional</t>
        </is>
      </c>
      <c r="D7" s="5" t="inlineStr">
        <is>
          <t>Orders</t>
        </is>
      </c>
      <c r="E7" s="5" t="inlineStr">
        <is>
          <t>New order</t>
        </is>
      </c>
      <c r="F7" s="5" t="inlineStr">
        <is>
          <t>New order form (international)</t>
        </is>
      </c>
      <c r="G7" s="5" t="inlineStr">
        <is>
          <t>Add N boxes like the last</t>
        </is>
      </c>
      <c r="H7" s="5" t="inlineStr">
        <is>
          <t>New shipment: 'Add N boxes like the last' copies the weight but leaves Length / Width / Height empty for a carrier box</t>
        </is>
      </c>
      <c r="I7" s="5" t="inlineStr">
        <is>
          <t>1. Open Orders and click + New shipment (/orders/new)
2. Client: MKL246 (ship from 3PL-EAST, the client default)
3. Carrier: UPS
4. Ship to country Mexico
5. Service level: UPS Worldwide Saver
6. Packaging UPS Large Express Box, Weight 4
7. Set the box count next to 'boxes like the last' to 1
8. Click 'boxes like the last' (tooltip: 'Adds boxes copying the last box's weight and dimensions (box 1's when there is no extra box yet)')</t>
        </is>
      </c>
      <c r="J7" s="5" t="inlineStr">
        <is>
          <t>Seen on MX-UP-WWS-LBOX (#934168) during the run; retested 2026-10-12 (form not saved)</t>
        </is>
      </c>
      <c r="K7" s="5" t="inlineStr">
        <is>
          <t>Box 2 gets weight 4 lb and the box's dimensions 18 x 13 x 3 in, as the tooltip says.</t>
        </is>
      </c>
      <c r="L7" s="5" t="inlineStr">
        <is>
          <t>Box 2 shows Weight 4 and empty L, W and H fields. Apply box 1 to all fills them (18 x 13 x 3).</t>
        </is>
      </c>
      <c r="M7" s="5" t="inlineStr">
        <is>
          <t>Box card after the click: 'BOX 2 ... Weight (lb) 4, L (in) [empty], W (in) [empty], H (in) [empty]'</t>
        </is>
      </c>
      <c r="N7" s="5" t="inlineStr">
        <is>
          <t>/orders/new</t>
        </is>
      </c>
      <c r="O7" s="5" t="inlineStr">
        <is>
          <t>Always (2 of 2)</t>
        </is>
      </c>
      <c r="P7" s="5" t="inlineStr">
        <is>
          <t>BUG-006.jpg</t>
        </is>
      </c>
      <c r="Q7" s="5" t="n"/>
      <c r="R7" s="5" t="inlineStr">
        <is>
          <t>admin (ADMIN)</t>
        </is>
      </c>
      <c r="S7" s="5" t="n"/>
      <c r="T7" s="5" t="inlineStr">
        <is>
          <t>2026-10-11</t>
        </is>
      </c>
      <c r="U7" s="5" t="inlineStr">
        <is>
          <t>R1</t>
        </is>
      </c>
      <c r="V7" s="5" t="inlineStr">
        <is>
          <t>S001</t>
        </is>
      </c>
      <c r="W7" s="5" t="n"/>
      <c r="X7" s="5" t="inlineStr">
        <is>
          <t>Open</t>
        </is>
      </c>
      <c r="Y7" s="5" t="n"/>
      <c r="Z7" s="15" t="inlineStr">
        <is>
          <t>Fixed on dev</t>
        </is>
      </c>
      <c r="AA7" s="15" t="n"/>
      <c r="AB7" s="15" t="inlineStr">
        <is>
          <t>[2e532f1b] Bulk-add seeds L/W/H from preset.length/width/height when no prior extra</t>
        </is>
      </c>
      <c r="AC7" s="15" t="inlineStr">
        <is>
          <t>2026-10-12</t>
        </is>
      </c>
    </row>
    <row r="8">
      <c r="A8" s="5" t="inlineStr">
        <is>
          <t>BUG-007</t>
        </is>
      </c>
      <c r="B8" s="10" t="inlineStr">
        <is>
          <t>Medium</t>
        </is>
      </c>
      <c r="C8" s="5" t="inlineStr">
        <is>
          <t>Functional</t>
        </is>
      </c>
      <c r="D8" s="5" t="inlineStr">
        <is>
          <t>Orders</t>
        </is>
      </c>
      <c r="E8" s="5" t="inlineStr">
        <is>
          <t>Label</t>
        </is>
      </c>
      <c r="F8" s="5" t="inlineStr">
        <is>
          <t>Label documents</t>
        </is>
      </c>
      <c r="G8" s="5" t="inlineStr">
        <is>
          <t>Label preview</t>
        </is>
      </c>
      <c r="H8" s="5" t="inlineStr">
        <is>
          <t>Label documents #934118: label stored as a FedEx document link instead of the PDF; each label request takes 3-4 s and the page shows 'Loading label document...' for about 8 s</t>
        </is>
      </c>
      <c r="I8" s="5" t="inlineStr">
        <is>
          <t>1. Open /label/934118 (Orders &gt; order #934118 &gt; View label)
2. Watch the label area and the Download / Print buttons
3. Compare with /label/934119 (same carrier, service and lane)</t>
        </is>
      </c>
      <c r="J8" s="5" t="inlineStr">
        <is>
          <t>Order #934118 (QA-1011-R13-GB-FX-IP-10KG-1B), FedEx International Priority to the UK</t>
        </is>
      </c>
      <c r="K8" s="5" t="inlineStr">
        <is>
          <t>The label is stored like the other 114 labels and the page shows it within a second.</t>
        </is>
      </c>
      <c r="L8" s="5" t="inlineStr">
        <is>
          <t>'Loading label document...' with Download PDF, Download .zpl, Copy ZPL and Print Label disabled until about 12 s after opening the page (about 3 s for #934119), then the label renders. The order's labelDetails.labelFilePath holds 'https://wwwtest.fedex.com/document/v1/cache/retrieve/SH...' (124 characters) while the other 114 generated orders hold the base64 PDF. Whether that FedEx link expires was not verified.</t>
        </is>
      </c>
      <c r="M8" s="5" t="inlineStr">
        <is>
          <t>GET /api/v1/orders/934118/label 3.6-4.3 s, GET /api/v1/orders/934118/label/pdf 3.4 s; for #934119: 55-109 ms and 21 ms (browser resource timing, 2026-10-12).</t>
        </is>
      </c>
      <c r="N8" s="5" t="inlineStr">
        <is>
          <t>/label/934118</t>
        </is>
      </c>
      <c r="O8" s="5" t="inlineStr">
        <is>
          <t>Always for #934118 (1 of 115 labels)</t>
        </is>
      </c>
      <c r="P8" s="5" t="inlineStr">
        <is>
          <t>BUG-007.jpg</t>
        </is>
      </c>
      <c r="Q8" s="5" t="n"/>
      <c r="R8" s="5" t="inlineStr">
        <is>
          <t>admin (ADMIN)</t>
        </is>
      </c>
      <c r="S8" s="5" t="n"/>
      <c r="T8" s="5" t="inlineStr">
        <is>
          <t>2026-10-11</t>
        </is>
      </c>
      <c r="U8" s="5" t="inlineStr">
        <is>
          <t>R1</t>
        </is>
      </c>
      <c r="V8" s="5" t="inlineStr">
        <is>
          <t>S003</t>
        </is>
      </c>
      <c r="W8" s="5" t="inlineStr">
        <is>
          <t>API &gt; Orders &gt; Order detail (GET /api/v1/orders/{id})</t>
        </is>
      </c>
      <c r="X8" s="5" t="inlineStr">
        <is>
          <t>Open</t>
        </is>
      </c>
      <c r="Y8" s="5" t="n"/>
      <c r="Z8" s="15" t="inlineStr">
        <is>
          <t>Fixed on dev — via existing admin endpoint</t>
        </is>
      </c>
      <c r="AA8" s="15" t="n"/>
      <c r="AB8" s="15" t="inlineStr">
        <is>
          <t>[b5cc0327] Order 934118 label stored as FedEx doc URL instead of base64 PDF. Fix: POST /api/v1/admin/labels/934118/backfill-formats (endpoint 39f012dc) decodes URL and persists ZPL+PDF+PNG. Operator action, not code.; [15a5ba88] Admin backfill endpoint POST /api/v1/admin/labels/934118/backfill-formats (shipped 39f012dc) decodes the FedEx doc URL into base64 ZPL/PDF/PNG and persists all three. Operator-driven fix for the one-off; long-term self-heal (resolver rewrites URL→base64 on first successful fetch) deferred as scope.</t>
        </is>
      </c>
      <c r="AC8" s="15" t="inlineStr">
        <is>
          <t>2026-10-12</t>
        </is>
      </c>
    </row>
    <row r="9">
      <c r="A9" s="5" t="inlineStr">
        <is>
          <t>BUG-008</t>
        </is>
      </c>
      <c r="B9" s="11" t="inlineStr">
        <is>
          <t>Low</t>
        </is>
      </c>
      <c r="C9" s="5" t="inlineStr">
        <is>
          <t>Usability</t>
        </is>
      </c>
      <c r="D9" s="5" t="inlineStr">
        <is>
          <t>Orders</t>
        </is>
      </c>
      <c r="E9" s="5" t="inlineStr">
        <is>
          <t>New order</t>
        </is>
      </c>
      <c r="F9" s="5" t="inlineStr">
        <is>
          <t>New order form (international)</t>
        </is>
      </c>
      <c r="G9" s="5" t="inlineStr">
        <is>
          <t>State / region (UK, Mexico)</t>
        </is>
      </c>
      <c r="H9" s="5" t="inlineStr">
        <is>
          <t>New shipment (ship to Mexico): State / region is required but has no * marker, a US placeholder 'NY', and accepts only ISO codes as free text</t>
        </is>
      </c>
      <c r="I9" s="5" t="inlineStr">
        <is>
          <t>1. Open Orders and click + New shipment (/orders/new)
2. Client: MKL246 (ship from 3PL-EAST, the client default)
3. Carrier: FedEx
4. Ship to country Mexico; fill name, address, city Ciudad de Mexico, postal code 06600; leave State / region empty
5. Complete the rest of the form and click Validate shipment
6. Enter DF in State / region and click Validate shipment again</t>
        </is>
      </c>
      <c r="J9" s="5" t="inlineStr">
        <is>
          <t>Retest 2026-10-12 (QA-1012-EVID-MX-FX-IP, not saved); during the run every Mexico order needed CMX</t>
        </is>
      </c>
      <c r="K9" s="5" t="inlineStr">
        <is>
          <t>Required fields carry the * marker used elsewhere on the form, and Mexico offers a state dropdown like Canada's province list, so a valid code is picked rather than guessed.</t>
        </is>
      </c>
      <c r="L9" s="5" t="inlineStr">
        <is>
          <t>The label 'STATE / REGION' has no * (City * and Postal code * do), and the placeholder is 'NY'. Empty: toast '1 field needs attention — Ship to state: state / region is required' and the field turns red. 'DF' is accepted by the field and only rejected by the check; 'CMX' works. The run notes recorded Validate doing nothing visible; on retest the toast appeared, so that part is not reported.</t>
        </is>
      </c>
      <c r="M9" s="5" t="n"/>
      <c r="N9" s="5" t="inlineStr">
        <is>
          <t>/orders/new</t>
        </is>
      </c>
      <c r="O9" s="5" t="inlineStr">
        <is>
          <t>Always</t>
        </is>
      </c>
      <c r="P9" s="5" t="inlineStr">
        <is>
          <t>BUG-008.jpg</t>
        </is>
      </c>
      <c r="Q9" s="5" t="n"/>
      <c r="R9" s="5" t="inlineStr">
        <is>
          <t>admin (ADMIN)</t>
        </is>
      </c>
      <c r="S9" s="5" t="n"/>
      <c r="T9" s="5" t="inlineStr">
        <is>
          <t>2026-10-11</t>
        </is>
      </c>
      <c r="U9" s="5" t="inlineStr">
        <is>
          <t>R1</t>
        </is>
      </c>
      <c r="V9" s="5" t="inlineStr">
        <is>
          <t>S001</t>
        </is>
      </c>
      <c r="W9" s="5" t="n"/>
      <c r="X9" s="5" t="inlineStr">
        <is>
          <t>Open</t>
        </is>
      </c>
      <c r="Y9" s="5" t="n"/>
      <c r="Z9" s="15" t="inlineStr">
        <is>
          <t>Deferred</t>
        </is>
      </c>
      <c r="AA9" s="15" t="n"/>
      <c r="AB9" s="15" t="inlineStr">
        <is>
          <t>[b5cc0327] Mexico state no * marker + US placeholder. Fix: NewShipmentPage - add required flag for intl state-required countries + country-specific placeholder/dropdown. ~20 LoC.</t>
        </is>
      </c>
      <c r="AC9" s="15" t="inlineStr">
        <is>
          <t>2026-10-12</t>
        </is>
      </c>
    </row>
    <row r="10">
      <c r="A10" s="5" t="inlineStr">
        <is>
          <t>BUG-009</t>
        </is>
      </c>
      <c r="B10" s="11" t="inlineStr">
        <is>
          <t>Low</t>
        </is>
      </c>
      <c r="C10" s="5" t="inlineStr">
        <is>
          <t>Content</t>
        </is>
      </c>
      <c r="D10" s="5" t="inlineStr">
        <is>
          <t>Orders</t>
        </is>
      </c>
      <c r="E10" s="5" t="inlineStr">
        <is>
          <t>New order</t>
        </is>
      </c>
      <c r="F10" s="5" t="inlineStr">
        <is>
          <t>New order form (international)</t>
        </is>
      </c>
      <c r="G10" s="5" t="inlineStr">
        <is>
          <t>Shipment check panel</t>
        </is>
      </c>
      <c r="H10" s="5" t="inlineStr">
        <is>
          <t>Shipment check (Mexico): state message says 'Use the 2-letter code (e.g. CMX, JAL, NLE)' but every example is three letters</t>
        </is>
      </c>
      <c r="I10" s="5" t="inlineStr">
        <is>
          <t>1. Open Orders and click + New shipment (/orders/new)
2. Client: MKL246 (ship from 3PL-EAST, the client default)
3. Carrier: FedEx
4. Ship to country Mexico with State / region DF
5. Complete the form and click Validate shipment</t>
        </is>
      </c>
      <c r="J10" s="5" t="inlineStr">
        <is>
          <t>QA-1012-EVID-MX-FX-IP (validated only)</t>
        </is>
      </c>
      <c r="K10" s="5" t="inlineStr">
        <is>
          <t>The message asks for the 3-letter state code (CMX, JAL, NLE).</t>
        </is>
      </c>
      <c r="L10" s="5" t="inlineStr">
        <is>
          <t>Addresses '1 to fix': 'State/province "DF" isn't a valid MX code. Use the 2-letter code (e.g. CMX, JAL, NLE), not the full name.'</t>
        </is>
      </c>
      <c r="M10" s="5" t="n"/>
      <c r="N10" s="5" t="inlineStr">
        <is>
          <t>/orders/new</t>
        </is>
      </c>
      <c r="O10" s="5" t="inlineStr">
        <is>
          <t>Always</t>
        </is>
      </c>
      <c r="P10" s="5" t="inlineStr">
        <is>
          <t>BUG-009.jpg</t>
        </is>
      </c>
      <c r="Q10" s="5" t="n"/>
      <c r="R10" s="5" t="inlineStr">
        <is>
          <t>admin (ADMIN)</t>
        </is>
      </c>
      <c r="S10" s="5" t="n"/>
      <c r="T10" s="5" t="inlineStr">
        <is>
          <t>2026-10-12</t>
        </is>
      </c>
      <c r="U10" s="5" t="inlineStr">
        <is>
          <t>R1</t>
        </is>
      </c>
      <c r="V10" s="5" t="inlineStr">
        <is>
          <t>S001</t>
        </is>
      </c>
      <c r="W10" s="5" t="n"/>
      <c r="X10" s="5" t="inlineStr">
        <is>
          <t>Open</t>
        </is>
      </c>
      <c r="Y10" s="5" t="n"/>
      <c r="Z10" s="15" t="inlineStr">
        <is>
          <t>Fixed on dev</t>
        </is>
      </c>
      <c r="AA10" s="15" t="n"/>
      <c r="AB10" s="15" t="inlineStr">
        <is>
          <t>[ea6f10cd] Hint reworded; examples carry length info</t>
        </is>
      </c>
      <c r="AC10" s="15" t="inlineStr">
        <is>
          <t>2026-10-12</t>
        </is>
      </c>
    </row>
    <row r="11">
      <c r="A11" s="5" t="inlineStr">
        <is>
          <t>BUG-010</t>
        </is>
      </c>
      <c r="B11" s="11" t="inlineStr">
        <is>
          <t>Low</t>
        </is>
      </c>
      <c r="C11" s="5" t="inlineStr">
        <is>
          <t>Content</t>
        </is>
      </c>
      <c r="D11" s="5" t="inlineStr">
        <is>
          <t>Orders</t>
        </is>
      </c>
      <c r="E11" s="5" t="inlineStr">
        <is>
          <t>New order</t>
        </is>
      </c>
      <c r="F11" s="5" t="inlineStr">
        <is>
          <t>New order form (international)</t>
        </is>
      </c>
      <c r="G11" s="5" t="inlineStr">
        <is>
          <t>Importer of record &amp; customs broker: Add</t>
        </is>
      </c>
      <c r="H11" s="5" t="inlineStr">
        <is>
          <t>New shipment (Mexico): Importer section shows the badge 'RESOLVED FOR MX' next to the warning 'No importer/broker profile covers MX for MKL246'</t>
        </is>
      </c>
      <c r="I11" s="5" t="inlineStr">
        <is>
          <t>1. Open Orders and click + New shipment (/orders/new)
2. Client: MKL246 (ship from 3PL-EAST, the client default)
3. Carrier: USPS (also seen with FedEx)
4. Ship to country Mexico
5. Look at the Importer of record &amp; customs broker section before adding an override</t>
        </is>
      </c>
      <c r="J11" s="5" t="inlineStr">
        <is>
          <t>Seen 2026-10-12 (forms not saved)</t>
        </is>
      </c>
      <c r="K11" s="5" t="inlineStr">
        <is>
          <t>The badge and the message agree: no profile means no 'resolved' badge (the FedEx ship-to card also shows 'Importer/broker resolved for MX').</t>
        </is>
      </c>
      <c r="L11" s="5" t="inlineStr">
        <is>
          <t>Badge 'RESOLVED FOR MX' and, below it, 'No importer/broker profile covers MX for MKL246. Click Add to enter importer/broker for this shipment only'.</t>
        </is>
      </c>
      <c r="M11" s="5" t="n"/>
      <c r="N11" s="5" t="inlineStr">
        <is>
          <t>/orders/new</t>
        </is>
      </c>
      <c r="O11" s="5" t="inlineStr">
        <is>
          <t>Always</t>
        </is>
      </c>
      <c r="P11" s="5" t="inlineStr">
        <is>
          <t>BUG-010.jpg</t>
        </is>
      </c>
      <c r="Q11" s="5" t="n"/>
      <c r="R11" s="5" t="inlineStr">
        <is>
          <t>admin (ADMIN)</t>
        </is>
      </c>
      <c r="S11" s="5" t="n"/>
      <c r="T11" s="5" t="inlineStr">
        <is>
          <t>2026-10-12</t>
        </is>
      </c>
      <c r="U11" s="5" t="inlineStr">
        <is>
          <t>R1</t>
        </is>
      </c>
      <c r="V11" s="5" t="inlineStr">
        <is>
          <t>S001</t>
        </is>
      </c>
      <c r="W11" s="5" t="n"/>
      <c r="X11" s="5" t="inlineStr">
        <is>
          <t>Open</t>
        </is>
      </c>
      <c r="Y11" s="5" t="n"/>
      <c r="Z11" s="15" t="inlineStr">
        <is>
          <t>Deferred</t>
        </is>
      </c>
      <c r="AA11" s="15" t="n"/>
      <c r="AB11" s="15" t="inlineStr">
        <is>
          <t>[b5cc0327] Importer badge RESOLVED FOR MX next to no-profile warning. Fix: render badge only when customsProfile != null for country. One-line JSX.</t>
        </is>
      </c>
      <c r="AC11" s="15" t="inlineStr">
        <is>
          <t>2026-10-12</t>
        </is>
      </c>
    </row>
    <row r="12">
      <c r="A12" s="5" t="inlineStr">
        <is>
          <t>BUG-011</t>
        </is>
      </c>
      <c r="B12" s="11" t="inlineStr">
        <is>
          <t>Low</t>
        </is>
      </c>
      <c r="C12" s="5" t="inlineStr">
        <is>
          <t>Usability</t>
        </is>
      </c>
      <c r="D12" s="5" t="inlineStr">
        <is>
          <t>Orders</t>
        </is>
      </c>
      <c r="E12" s="5" t="inlineStr">
        <is>
          <t>New order</t>
        </is>
      </c>
      <c r="F12" s="5" t="inlineStr">
        <is>
          <t>New order form (international)</t>
        </is>
      </c>
      <c r="G12" s="5" t="inlineStr">
        <is>
          <t>Item HS code and lookup</t>
        </is>
      </c>
      <c r="H12" s="5" t="inlineStr">
        <is>
          <t>New shipment (Canada): HS code lookup suggests the 6-digit 610910, which the form then rejects as too short</t>
        </is>
      </c>
      <c r="I12" s="5" t="inlineStr">
        <is>
          <t>1. Open Orders and click + New shipment (/orders/new)
2. Client: MKL246 (ship from 3PL-EAST, the client default)
3. Carrier: FedEx
4. Ship to country Canada
5. Items: Description Cotton T-shirt; take the HS code the lookup suggests</t>
        </is>
      </c>
      <c r="J12" s="5" t="inlineStr">
        <is>
          <t>First Canada shipment of the run (2026-10-11)</t>
        </is>
      </c>
      <c r="K12" s="5" t="inlineStr">
        <is>
          <t>The lookup offers a code long enough for the destination (8+ digits for Canada).</t>
        </is>
      </c>
      <c r="L12" s="5" t="inlineStr">
        <is>
          <t>Lookup gives 610910; inline error 'CA needs at least an 8-digit HS code (you entered 6)'. 61091000 typed by hand is accepted.</t>
        </is>
      </c>
      <c r="M12" s="5" t="n"/>
      <c r="N12" s="5" t="inlineStr">
        <is>
          <t>/orders/new</t>
        </is>
      </c>
      <c r="O12" s="5" t="inlineStr">
        <is>
          <t>Seen once (not retested)</t>
        </is>
      </c>
      <c r="P12" s="5" t="inlineStr">
        <is>
          <t>Not captured</t>
        </is>
      </c>
      <c r="Q12" s="5" t="n"/>
      <c r="R12" s="5" t="inlineStr">
        <is>
          <t>admin (ADMIN)</t>
        </is>
      </c>
      <c r="S12" s="5" t="n"/>
      <c r="T12" s="5" t="inlineStr">
        <is>
          <t>2026-10-11</t>
        </is>
      </c>
      <c r="U12" s="5" t="inlineStr">
        <is>
          <t>R1</t>
        </is>
      </c>
      <c r="V12" s="5" t="inlineStr">
        <is>
          <t>S001</t>
        </is>
      </c>
      <c r="W12" s="5" t="n"/>
      <c r="X12" s="5" t="inlineStr">
        <is>
          <t>Open</t>
        </is>
      </c>
      <c r="Y12" s="5" t="n"/>
      <c r="Z12" s="15" t="inlineStr">
        <is>
          <t>Deferred</t>
        </is>
      </c>
      <c r="AA12" s="15" t="n"/>
      <c r="AB12" s="15" t="inlineStr">
        <is>
          <t>[ea6f10cd] HS lookup returns 6-digit (HS international standard). CA/MX/EU want 8+. Fix needs: (a) HsCodeCombobox pads to destination's min-length with trailing zeros on select, OR (b) backend lookup endpoint accepts destCountry param and returns full-precision. (b) is cleaner. Scope &gt; 1 file.</t>
        </is>
      </c>
      <c r="AC12" s="15" t="inlineStr">
        <is>
          <t>2026-10-12</t>
        </is>
      </c>
    </row>
    <row r="13">
      <c r="A13" s="5" t="inlineStr">
        <is>
          <t>BUG-012</t>
        </is>
      </c>
      <c r="B13" s="11" t="inlineStr">
        <is>
          <t>Low</t>
        </is>
      </c>
      <c r="C13" s="5" t="inlineStr">
        <is>
          <t>Content</t>
        </is>
      </c>
      <c r="D13" s="5" t="inlineStr">
        <is>
          <t>Orders</t>
        </is>
      </c>
      <c r="E13" s="5" t="inlineStr">
        <is>
          <t>New order</t>
        </is>
      </c>
      <c r="F13" s="5" t="inlineStr">
        <is>
          <t>New order form (international)</t>
        </is>
      </c>
      <c r="G13" s="5" t="inlineStr">
        <is>
          <t>Ship-from address (from client profile)</t>
        </is>
      </c>
      <c r="H13" s="5" t="inlineStr">
        <is>
          <t>Client MKL246 ship-from address: Address line 1 '8191 Logistics Dr,' ends with a stray comma</t>
        </is>
      </c>
      <c r="I13" s="5" t="inlineStr">
        <is>
          <t>1. Open Orders and click + New shipment (/orders/new)
2. Client: MKL246 (ship from 3PL-EAST, the client default)
3. Look at Ship from &gt; Address line 1</t>
        </is>
      </c>
      <c r="J13" s="5" t="inlineStr">
        <is>
          <t>MKL246 / 3PL-EAST ship-from profile</t>
        </is>
      </c>
      <c r="K13" s="5" t="inlineStr">
        <is>
          <t>Address line 1 without trailing punctuation; it is printed on labels and sent to the carriers.</t>
        </is>
      </c>
      <c r="L13" s="5" t="inlineStr">
        <is>
          <t>'8191 Logistics Dr,'</t>
        </is>
      </c>
      <c r="M13" s="5" t="n"/>
      <c r="N13" s="5" t="inlineStr">
        <is>
          <t>/orders/new</t>
        </is>
      </c>
      <c r="O13" s="5" t="inlineStr">
        <is>
          <t>Always</t>
        </is>
      </c>
      <c r="P13" s="5" t="inlineStr">
        <is>
          <t>BUG-012.jpg</t>
        </is>
      </c>
      <c r="Q13" s="5" t="n"/>
      <c r="R13" s="5" t="inlineStr">
        <is>
          <t>admin (ADMIN)</t>
        </is>
      </c>
      <c r="S13" s="5" t="n"/>
      <c r="T13" s="5" t="inlineStr">
        <is>
          <t>2026-10-11</t>
        </is>
      </c>
      <c r="U13" s="5" t="inlineStr">
        <is>
          <t>R1</t>
        </is>
      </c>
      <c r="V13" s="5" t="inlineStr">
        <is>
          <t>S001</t>
        </is>
      </c>
      <c r="W13" s="5" t="n"/>
      <c r="X13" s="5" t="inlineStr">
        <is>
          <t>Open</t>
        </is>
      </c>
      <c r="Y13" s="5" t="n"/>
      <c r="Z13" s="15" t="inlineStr">
        <is>
          <t>Fixed on dev</t>
        </is>
      </c>
      <c r="AA13" s="15" t="n"/>
      <c r="AB13" s="15" t="inlineStr">
        <is>
          <t>[37d3d048] V145 strips trailing comma/whitespace from clients.address_line1; [48bf59ec] V145 strips trailing comma/whitespace from clients.address_line1</t>
        </is>
      </c>
      <c r="AC13" s="15" t="inlineStr">
        <is>
          <t>2026-10-12</t>
        </is>
      </c>
    </row>
    <row r="14">
      <c r="A14" s="5" t="inlineStr">
        <is>
          <t>BUG-013</t>
        </is>
      </c>
      <c r="B14" s="11" t="inlineStr">
        <is>
          <t>Low</t>
        </is>
      </c>
      <c r="C14" s="5" t="inlineStr">
        <is>
          <t>Usability</t>
        </is>
      </c>
      <c r="D14" s="5" t="inlineStr">
        <is>
          <t>Orders</t>
        </is>
      </c>
      <c r="E14" s="5" t="inlineStr">
        <is>
          <t>New order</t>
        </is>
      </c>
      <c r="F14" s="5" t="inlineStr">
        <is>
          <t>New order form (international)</t>
        </is>
      </c>
      <c r="G14" s="5" t="inlineStr">
        <is>
          <t>Add item</t>
        </is>
      </c>
      <c r="H14" s="5" t="inlineStr">
        <is>
          <t>New shipment &gt; Items: 'Add item' inserts the new blank line above the existing one</t>
        </is>
      </c>
      <c r="I14" s="5" t="inlineStr">
        <is>
          <t>1. Open Orders and click + New shipment (/orders/new)
2. Client: MKL246 (ship from 3PL-EAST, the client default)
3. Carrier: USPS; ship to country Mexico
4. Fill item line 1: Cotton T-shirt, 61091000, US, 1, 20.00, 0.5
5. Click + Add item</t>
        </is>
      </c>
      <c r="J14" s="5" t="inlineStr">
        <is>
          <t>Seen during the run (USPS split shipments) and on retest 2026-10-12</t>
        </is>
      </c>
      <c r="K14" s="5" t="inlineStr">
        <is>
          <t>The new line is added below the existing line, or focus moves into the new line.</t>
        </is>
      </c>
      <c r="L14" s="5" t="inlineStr">
        <is>
          <t>A blank line appears as row 1 and the filled line moves to row 2, so the next values typed into the top row go into the new line.</t>
        </is>
      </c>
      <c r="M14" s="5" t="n"/>
      <c r="N14" s="5" t="inlineStr">
        <is>
          <t>/orders/new</t>
        </is>
      </c>
      <c r="O14" s="5" t="inlineStr">
        <is>
          <t>Always</t>
        </is>
      </c>
      <c r="P14" s="5" t="inlineStr">
        <is>
          <t>BUG-013.jpg, BUG-013-2.jpg</t>
        </is>
      </c>
      <c r="Q14" s="5" t="n"/>
      <c r="R14" s="5" t="inlineStr">
        <is>
          <t>admin (ADMIN)</t>
        </is>
      </c>
      <c r="S14" s="5" t="n"/>
      <c r="T14" s="5" t="inlineStr">
        <is>
          <t>2026-10-11</t>
        </is>
      </c>
      <c r="U14" s="5" t="inlineStr">
        <is>
          <t>R1</t>
        </is>
      </c>
      <c r="V14" s="5" t="inlineStr">
        <is>
          <t>S001</t>
        </is>
      </c>
      <c r="W14" s="5" t="n"/>
      <c r="X14" s="5" t="inlineStr">
        <is>
          <t>Open</t>
        </is>
      </c>
      <c r="Y14" s="5" t="n"/>
      <c r="Z14" s="15" t="inlineStr">
        <is>
          <t>Fixed on dev</t>
        </is>
      </c>
      <c r="AA14" s="15" t="n"/>
      <c r="AB14" s="15" t="inlineStr">
        <is>
          <t>[37d3d048] setItems append not prepend</t>
        </is>
      </c>
      <c r="AC14" s="15" t="inlineStr">
        <is>
          <t>2026-10-12</t>
        </is>
      </c>
    </row>
    <row r="15">
      <c r="A15" s="5" t="inlineStr">
        <is>
          <t>BUG-014</t>
        </is>
      </c>
      <c r="B15" s="11" t="inlineStr">
        <is>
          <t>Low</t>
        </is>
      </c>
      <c r="C15" s="5" t="inlineStr">
        <is>
          <t>UI</t>
        </is>
      </c>
      <c r="D15" s="5" t="inlineStr">
        <is>
          <t>Orders</t>
        </is>
      </c>
      <c r="E15" s="5" t="inlineStr">
        <is>
          <t>New order</t>
        </is>
      </c>
      <c r="F15" s="5" t="inlineStr">
        <is>
          <t>New order form (international)</t>
        </is>
      </c>
      <c r="G15" s="5" t="inlineStr">
        <is>
          <t>Boxes: Spread across 2 boxes</t>
        </is>
      </c>
      <c r="H15" s="5" t="inlineStr">
        <is>
          <t>New shipment: the 'Lines spread across 2 boxes' toast covers the Validate shipment and Generate label buttons</t>
        </is>
      </c>
      <c r="I15" s="5" t="inlineStr">
        <is>
          <t>1. Open Orders and click + New shipment (/orders/new)
2. Client: MKL246 (ship from 3PL-EAST, the client default)
3. Carrier: USPS; ship to country Mexico
4. Add another box (2 boxes)
5. Two item lines (Add item)
6. Click Boxes &gt; Spread across 2 boxes</t>
        </is>
      </c>
      <c r="J15" s="5" t="inlineStr">
        <is>
          <t>Seen during the run and on retest 2026-10-12</t>
        </is>
      </c>
      <c r="K15" s="5" t="inlineStr">
        <is>
          <t>Confirmation toasts do not sit over the footer's main buttons.</t>
        </is>
      </c>
      <c r="L15" s="5" t="inlineStr">
        <is>
          <t>Toast 'Done — Lines spread across 2 boxes in order — adjust any line's Pkg # if needed.' covers Validate shipment and Generate label at the bottom right; during the run the Validate click did not go through until the toast was closed.</t>
        </is>
      </c>
      <c r="M15" s="5" t="n"/>
      <c r="N15" s="5" t="inlineStr">
        <is>
          <t>/orders/new</t>
        </is>
      </c>
      <c r="O15" s="5" t="inlineStr">
        <is>
          <t>Always</t>
        </is>
      </c>
      <c r="P15" s="5" t="inlineStr">
        <is>
          <t>BUG-014.jpg</t>
        </is>
      </c>
      <c r="Q15" s="5" t="n"/>
      <c r="R15" s="5" t="inlineStr">
        <is>
          <t>admin (ADMIN)</t>
        </is>
      </c>
      <c r="S15" s="5" t="n"/>
      <c r="T15" s="5" t="inlineStr">
        <is>
          <t>2026-10-11</t>
        </is>
      </c>
      <c r="U15" s="5" t="inlineStr">
        <is>
          <t>R1</t>
        </is>
      </c>
      <c r="V15" s="5" t="inlineStr">
        <is>
          <t>S001</t>
        </is>
      </c>
      <c r="W15" s="5" t="n"/>
      <c r="X15" s="5" t="inlineStr">
        <is>
          <t>Open</t>
        </is>
      </c>
      <c r="Y15" s="5" t="n"/>
      <c r="Z15" s="15" t="inlineStr">
        <is>
          <t>Deferred</t>
        </is>
      </c>
      <c r="AA15" s="15" t="n"/>
      <c r="AB15" s="15" t="inlineStr">
        <is>
          <t>[b5cc0327] Toast overlays Validate/Generate buttons. Fix: raise z-index of footer buttons OR shift toast position bottom-16. CSS one-liner.</t>
        </is>
      </c>
      <c r="AC15" s="15" t="inlineStr">
        <is>
          <t>2026-10-12</t>
        </is>
      </c>
    </row>
    <row r="16">
      <c r="A16" s="5" t="inlineStr">
        <is>
          <t>BUG-015</t>
        </is>
      </c>
      <c r="B16" s="11" t="inlineStr">
        <is>
          <t>Low</t>
        </is>
      </c>
      <c r="C16" s="5" t="inlineStr">
        <is>
          <t>Functional</t>
        </is>
      </c>
      <c r="D16" s="5" t="inlineStr">
        <is>
          <t>Orders</t>
        </is>
      </c>
      <c r="E16" s="5" t="inlineStr">
        <is>
          <t>Label</t>
        </is>
      </c>
      <c r="F16" s="5" t="inlineStr">
        <is>
          <t>Label documents</t>
        </is>
      </c>
      <c r="G16" s="5" t="inlineStr">
        <is>
          <t>Label preview</t>
        </is>
      </c>
      <c r="H16" s="5" t="inlineStr">
        <is>
          <t>Label documents: every page load gets HTTP 503 from HEAD /label/preview.png before falling back to the PDF</t>
        </is>
      </c>
      <c r="I16" s="5" t="inlineStr">
        <is>
          <t>1. Open /label/934119 (or any generated order's label page)
2. Read the network requests</t>
        </is>
      </c>
      <c r="J16" s="5" t="inlineStr">
        <is>
          <t>Orders #934118, #934119, #934190 (2026-10-12)</t>
        </is>
      </c>
      <c r="K16" s="5" t="inlineStr">
        <is>
          <t>The preview request succeeds, or the page asks for the PDF directly; no 5xx on a normal page load.</t>
        </is>
      </c>
      <c r="L16" s="5" t="inlineStr">
        <is>
          <t>HEAD /api/v1/orders/{id}/label/preview.png?pkg=1 -&gt; 503, twice per load, then GET /label/pdf -&gt; 200 and the label shows. Each /label request is also sent twice (possibly React StrictMode in the dev build).</t>
        </is>
      </c>
      <c r="M16" s="5" t="inlineStr">
        <is>
          <t>HEAD /api/v1/orders/934119/label/preview.png?pkg=1 -&gt; 503 (x2); GET /api/v1/orders/934119/label -&gt; 200 (x2); GET /api/v1/orders/934119/label/pdf -&gt; 200</t>
        </is>
      </c>
      <c r="N16" s="5" t="inlineStr">
        <is>
          <t>/label/{orderNo}</t>
        </is>
      </c>
      <c r="O16" s="5" t="inlineStr">
        <is>
          <t>Always (3 of 3 pages)</t>
        </is>
      </c>
      <c r="P16" s="5" t="inlineStr">
        <is>
          <t>Not captured</t>
        </is>
      </c>
      <c r="Q16" s="5" t="n"/>
      <c r="R16" s="5" t="inlineStr">
        <is>
          <t>admin (ADMIN)</t>
        </is>
      </c>
      <c r="S16" s="5" t="n"/>
      <c r="T16" s="5" t="inlineStr">
        <is>
          <t>2026-10-12</t>
        </is>
      </c>
      <c r="U16" s="5" t="inlineStr">
        <is>
          <t>R1</t>
        </is>
      </c>
      <c r="V16" s="5" t="inlineStr">
        <is>
          <t>S003</t>
        </is>
      </c>
      <c r="W16" s="5" t="n"/>
      <c r="X16" s="5" t="inlineStr">
        <is>
          <t>Open</t>
        </is>
      </c>
      <c r="Y16" s="5" t="n"/>
      <c r="Z16" s="15" t="inlineStr">
        <is>
          <t>Deferred</t>
        </is>
      </c>
      <c r="AA16" s="15" t="n"/>
      <c r="AB16" s="15" t="inlineStr">
        <is>
          <t>[b5cc0327] HEAD /label/preview.png 503. Fix: handler responds to GET only; add method={HEAD,GET}. ~5 LoC in OrderController.</t>
        </is>
      </c>
      <c r="AC16" s="15" t="inlineStr">
        <is>
          <t>2026-10-12</t>
        </is>
      </c>
    </row>
    <row r="17">
      <c r="A17" s="5" t="inlineStr">
        <is>
          <t>BUG-016</t>
        </is>
      </c>
      <c r="B17" s="11" t="inlineStr">
        <is>
          <t>Low</t>
        </is>
      </c>
      <c r="C17" s="5" t="inlineStr">
        <is>
          <t>Content</t>
        </is>
      </c>
      <c r="D17" s="5" t="inlineStr">
        <is>
          <t>Orders</t>
        </is>
      </c>
      <c r="E17" s="5" t="inlineStr">
        <is>
          <t>New order</t>
        </is>
      </c>
      <c r="F17" s="5" t="inlineStr">
        <is>
          <t>New order form (international)</t>
        </is>
      </c>
      <c r="G17" s="5" t="inlineStr">
        <is>
          <t>Validate shipment</t>
        </is>
      </c>
      <c r="H17" s="5" t="inlineStr">
        <is>
          <t>Validate shipment: a server failure shows the raw toast 'Something went wrong HTTP error! status: 502'</t>
        </is>
      </c>
      <c r="I17" s="5" t="inlineStr">
        <is>
          <t>1. Open Orders and click + New shipment (/orders/new)
2. Client: MKL246 (ship from 3PL-EAST, the client default)
3. Carrier: FedEx
4. Ship to: Full name QA Test Recipient, Company QA Test Co, Address line 1 Av Paseo de la Reforma 222, Country Mexico (MX), Phone 5552081234, State / region CMX, City Ciudad de Mexico, Postal code 06600
5. Service level: FedEx International Economy; Packaging FedEx Pak; 2 boxes
6. Fill customs, importer and items as for the other Mexico FedEx orders
7. Click Validate shipment</t>
        </is>
      </c>
      <c r="J17" s="5" t="inlineStr">
        <is>
          <t>First Validate of MX-FX-IE-PAK (order later created as #934153)</t>
        </is>
      </c>
      <c r="K17" s="5" t="inlineStr">
        <is>
          <t>A plain message that the check could not run and to try again; no HTTP wording.</t>
        </is>
      </c>
      <c r="L17" s="5" t="inlineStr">
        <is>
          <t>Toast 'Something went wrong HTTP error! status: 502'; no check panel and no order. Clicking Validate again worked.</t>
        </is>
      </c>
      <c r="M17" s="5" t="n"/>
      <c r="N17" s="5" t="inlineStr">
        <is>
          <t>/orders/new</t>
        </is>
      </c>
      <c r="O17" s="5" t="inlineStr">
        <is>
          <t>1 of about 40 FedEx validations</t>
        </is>
      </c>
      <c r="P17" s="5" t="inlineStr">
        <is>
          <t>Not captured</t>
        </is>
      </c>
      <c r="Q17" s="5" t="n"/>
      <c r="R17" s="5" t="inlineStr">
        <is>
          <t>admin (ADMIN)</t>
        </is>
      </c>
      <c r="S17" s="5" t="n"/>
      <c r="T17" s="5" t="inlineStr">
        <is>
          <t>2026-10-11</t>
        </is>
      </c>
      <c r="U17" s="5" t="inlineStr">
        <is>
          <t>R1</t>
        </is>
      </c>
      <c r="V17" s="5" t="inlineStr">
        <is>
          <t>S001</t>
        </is>
      </c>
      <c r="W17" s="5" t="n"/>
      <c r="X17" s="5" t="inlineStr">
        <is>
          <t>Open</t>
        </is>
      </c>
      <c r="Y17" s="5" t="n"/>
      <c r="Z17" s="15" t="inlineStr">
        <is>
          <t>Deferred</t>
        </is>
      </c>
      <c r="AA17" s="15" t="n"/>
      <c r="AB17" s="15" t="inlineStr">
        <is>
          <t>[b5cc0327] Raw '502' toast. Fix: notify.apiError strips 'HTTP error! status:' prefix + maps 5xx to friendly text. ~10 LoC in notify.ts.</t>
        </is>
      </c>
      <c r="AC17" s="15" t="inlineStr">
        <is>
          <t>2026-10-12</t>
        </is>
      </c>
    </row>
    <row r="18">
      <c r="A18" s="5" t="inlineStr">
        <is>
          <t>BUG-017</t>
        </is>
      </c>
      <c r="B18" s="5" t="n"/>
      <c r="C18" s="5" t="inlineStr">
        <is>
          <t>Query</t>
        </is>
      </c>
      <c r="D18" s="5" t="inlineStr">
        <is>
          <t>API</t>
        </is>
      </c>
      <c r="E18" s="5" t="inlineStr">
        <is>
          <t>Orders</t>
        </is>
      </c>
      <c r="F18" s="5" t="inlineStr">
        <is>
          <t>Order detail (GET /api/v1/orders/{id})</t>
        </is>
      </c>
      <c r="G18" s="5" t="inlineStr">
        <is>
          <t>shippingDetails.weight</t>
        </is>
      </c>
      <c r="H18" s="5" t="inlineStr">
        <is>
          <t>Order API: shippingDetails.weight holds one box's weight on two-box orders, not the shipment total - intended?</t>
        </is>
      </c>
      <c r="I18" s="5" t="inlineStr">
        <is>
          <t>1. GET /api/v1/orders/934190 (2 boxes of 2 lb)
2. Read data.shippingDetails.weight and data.orderDetails.packageCount</t>
        </is>
      </c>
      <c r="J18" s="5" t="inlineStr">
        <is>
          <t>All 97 two-box orders of the run, e.g. #934190 (2 x 2 lb), #934172 (THB 2 x 5 lb)</t>
        </is>
      </c>
      <c r="K18" s="5" t="inlineStr">
        <is>
          <t>If the field is the order weight, it should be the total (4 lb, 10 lb); if it is per box, the name or docs should say so and per-box weights should be available.</t>
        </is>
      </c>
      <c r="L18" s="5" t="inlineStr">
        <is>
          <t>weight 2 for #934190 and 5 for #934172; on all 97 two-box orders it equals one box's weight.</t>
        </is>
      </c>
      <c r="M18" s="5" t="n"/>
      <c r="N18" s="5" t="inlineStr">
        <is>
          <t>/api/v1/orders/{id}</t>
        </is>
      </c>
      <c r="O18" s="5" t="inlineStr">
        <is>
          <t>Always (97 of 97)</t>
        </is>
      </c>
      <c r="P18" s="5" t="inlineStr">
        <is>
          <t>Not captured</t>
        </is>
      </c>
      <c r="Q18" s="5" t="n"/>
      <c r="R18" s="5" t="inlineStr">
        <is>
          <t>admin (ADMIN)</t>
        </is>
      </c>
      <c r="S18" s="5" t="n"/>
      <c r="T18" s="5" t="inlineStr">
        <is>
          <t>2026-10-11</t>
        </is>
      </c>
      <c r="U18" s="5" t="inlineStr">
        <is>
          <t>R1</t>
        </is>
      </c>
      <c r="V18" s="5" t="inlineStr">
        <is>
          <t>S004</t>
        </is>
      </c>
      <c r="W18" s="5" t="n"/>
      <c r="X18" s="5" t="inlineStr">
        <is>
          <t>Open</t>
        </is>
      </c>
      <c r="Y18" s="5" t="n"/>
      <c r="Z18" s="15" t="inlineStr">
        <is>
          <t>Query answered</t>
        </is>
      </c>
      <c r="AA18" s="15" t="n"/>
      <c r="AB18" s="15" t="inlineStr">
        <is>
          <t>[ea6f10cd] By design: shippingDetails.weight is the LEAD piece's weight (back-compat with pre-MPS clients). Shipment total available via packages[].weight sum. Rename to leadPackageWeight queued for next DTO version.</t>
        </is>
      </c>
      <c r="AC18" s="15" t="inlineStr">
        <is>
          <t>2026-10-12</t>
        </is>
      </c>
    </row>
    <row r="19">
      <c r="A19" s="5" t="inlineStr">
        <is>
          <t>BUG-018</t>
        </is>
      </c>
      <c r="B19" s="5" t="n"/>
      <c r="C19" s="5" t="inlineStr">
        <is>
          <t>Query</t>
        </is>
      </c>
      <c r="D19" s="5" t="inlineStr">
        <is>
          <t>Orders</t>
        </is>
      </c>
      <c r="E19" s="5" t="inlineStr">
        <is>
          <t>New order</t>
        </is>
      </c>
      <c r="F19" s="5" t="inlineStr">
        <is>
          <t>New order form (international)</t>
        </is>
      </c>
      <c r="G19" s="5" t="inlineStr">
        <is>
          <t>Shipment check panel</t>
        </is>
      </c>
      <c r="H19" s="5" t="inlineStr">
        <is>
          <t>Shipment check (USPS to UK and Mexico): every check says 'USPS normalised the address; review before shipping' without showing what changed</t>
        </is>
      </c>
      <c r="I19" s="5" t="inlineStr">
        <is>
          <t>1. Open Orders and click + New shipment (/orders/new)
2. Client: MKL246 (ship from 3PL-EAST, the client default)
3. Carrier: USPS
4. Ship to the UK (1 Canada Square, London E14 5AB) or Mexico (as above)
5. Complete the form and click Validate shipment</t>
        </is>
      </c>
      <c r="J19" s="5" t="inlineStr">
        <is>
          <t>UK #934147-#934151, Mexico #934186-#934190 (10 of 10); not shown for Canada</t>
        </is>
      </c>
      <c r="K19" s="5" t="inlineStr">
        <is>
          <t>Show the normalised address (or the difference) so it can be reviewed, and only flag it when something changed.</t>
        </is>
      </c>
      <c r="L19" s="5" t="inlineStr">
        <is>
          <t>'Ready to ship — 1 thing to review: USPS normalised the address; review before shipping.' with no address shown.</t>
        </is>
      </c>
      <c r="M19" s="5" t="n"/>
      <c r="N19" s="5" t="inlineStr">
        <is>
          <t>/orders/new</t>
        </is>
      </c>
      <c r="O19" s="5" t="inlineStr">
        <is>
          <t>Always (10 of 10 UK/Mexico USPS checks)</t>
        </is>
      </c>
      <c r="P19" s="5" t="inlineStr">
        <is>
          <t>Not captured</t>
        </is>
      </c>
      <c r="Q19" s="5" t="n"/>
      <c r="R19" s="5" t="inlineStr">
        <is>
          <t>admin (ADMIN)</t>
        </is>
      </c>
      <c r="S19" s="5" t="n"/>
      <c r="T19" s="5" t="inlineStr">
        <is>
          <t>2026-10-11</t>
        </is>
      </c>
      <c r="U19" s="5" t="inlineStr">
        <is>
          <t>R1</t>
        </is>
      </c>
      <c r="V19" s="5" t="inlineStr">
        <is>
          <t>S001</t>
        </is>
      </c>
      <c r="W19" s="5" t="n"/>
      <c r="X19" s="5" t="inlineStr">
        <is>
          <t>Open</t>
        </is>
      </c>
      <c r="Y19" s="5" t="n"/>
      <c r="Z19" s="15" t="inlineStr">
        <is>
          <t>Needs product input</t>
        </is>
      </c>
      <c r="AA19" s="15" t="n"/>
      <c r="AB19" s="15" t="inlineStr">
        <is>
          <t>[ea6f10cd] SERA /addresses/validate returns normalized_address but today's FE only echoes the generic 'normalised' message. Enhancement: parse diff + show changed fields inline. Deferred — needs UX design.</t>
        </is>
      </c>
      <c r="AC19" s="15" t="inlineStr">
        <is>
          <t>2026-10-12</t>
        </is>
      </c>
    </row>
    <row r="20">
      <c r="A20" s="5" t="inlineStr">
        <is>
          <t>BUG-019</t>
        </is>
      </c>
      <c r="B20" s="5" t="n"/>
      <c r="C20" s="5" t="inlineStr">
        <is>
          <t>Query</t>
        </is>
      </c>
      <c r="D20" s="5" t="inlineStr">
        <is>
          <t>Orders</t>
        </is>
      </c>
      <c r="E20" s="5" t="inlineStr">
        <is>
          <t>New order</t>
        </is>
      </c>
      <c r="F20" s="5" t="inlineStr">
        <is>
          <t>New order form (international)</t>
        </is>
      </c>
      <c r="G20" s="5" t="inlineStr">
        <is>
          <t>Shipment check panel</t>
        </is>
      </c>
      <c r="H20" s="5" t="inlineStr">
        <is>
          <t>Shipment check (FedEx to UK): billed-weight notes of 68, 52 and 22 lb seen during the run, about 3-9 times the figures for the same boxes to Mexico</t>
        </is>
      </c>
      <c r="I20" s="5" t="inlineStr">
        <is>
          <t>1. Open Orders and click + New shipment (/orders/new)
2. Client: MKL246 (ship from 3PL-EAST, the client default)
3. Carrier: FedEx
4. Ship to: 1 Canada Square, London E14 5AB, United Kingdom
5. Service level: FedEx International Priority
6. Packaging FedEx Tube, Weight 3; Add another box; Apply box 1 to all
7. Complete customs, importer and items; click Validate shipment</t>
        </is>
      </c>
      <c r="J20" s="5" t="inlineStr">
        <is>
          <t>Run: #934115 and #934122 (2 tubes 38x6x6 in): 68 lb; #934121 (2 Paks): 52 lb; #934117 and #934124 (2 boxes 12x9x4 in): 22 lb. Mexico for the same boxes: 19.68, 5.52 and 6.22 lb</t>
        </is>
      </c>
      <c r="K20" s="5" t="inlineStr">
        <is>
          <t>The same boxes give the same billed weight on every lane (19.68 lb for the two tubes).</t>
        </is>
      </c>
      <c r="L20" s="5" t="inlineStr">
        <is>
          <t>During the run the UK checks showed billed weights of 68 lb (two tubes), 52 lb (two Paks) and 22 lb (two 12x9x4 in boxes: '22 lb - charged on box size, not the 4 lb it weighs'). On retest 2026-10-12 the same UK tube shipment showed the expected 19.68 lb, so it did not reproduce. Raised so the team can check whether the figure comes from the FedEx sandbox response or the app.</t>
        </is>
      </c>
      <c r="M20" s="5" t="n"/>
      <c r="N20" s="5" t="inlineStr">
        <is>
          <t>/orders/new</t>
        </is>
      </c>
      <c r="O20" s="5" t="inlineStr">
        <is>
          <t>5 times during the run; 0 of 1 on retest</t>
        </is>
      </c>
      <c r="P20" s="5" t="inlineStr">
        <is>
          <t>BUG-019.jpg</t>
        </is>
      </c>
      <c r="Q20" s="5" t="n"/>
      <c r="R20" s="5" t="inlineStr">
        <is>
          <t>admin (ADMIN)</t>
        </is>
      </c>
      <c r="S20" s="5" t="n"/>
      <c r="T20" s="5" t="inlineStr">
        <is>
          <t>2026-10-11</t>
        </is>
      </c>
      <c r="U20" s="5" t="inlineStr">
        <is>
          <t>R1</t>
        </is>
      </c>
      <c r="V20" s="5" t="inlineStr">
        <is>
          <t>S001</t>
        </is>
      </c>
      <c r="W20" s="5" t="n"/>
      <c r="X20" s="5" t="inlineStr">
        <is>
          <t>Open</t>
        </is>
      </c>
      <c r="Y20" s="5" t="n"/>
      <c r="Z20" s="15" t="inlineStr">
        <is>
          <t>Query answered</t>
        </is>
      </c>
      <c r="AA20" s="15" t="n"/>
      <c r="AB20" s="15" t="inlineStr">
        <is>
          <t>[ea6f10cd] Transient: 0 of 1 on retest. Likely stale rate cache or an older dim/weight carried over between validations. If recurs, capture rateShopRequest JSON on both ends.</t>
        </is>
      </c>
      <c r="AC20" s="15" t="inlineStr">
        <is>
          <t>2026-10-12</t>
        </is>
      </c>
    </row>
    <row r="21">
      <c r="A21" s="5" t="inlineStr">
        <is>
          <t>BUG-020</t>
        </is>
      </c>
      <c r="B21" s="5" t="n"/>
      <c r="C21" s="5" t="inlineStr">
        <is>
          <t>Suggestion</t>
        </is>
      </c>
      <c r="D21" s="5" t="inlineStr">
        <is>
          <t>Orders</t>
        </is>
      </c>
      <c r="E21" s="5" t="inlineStr">
        <is>
          <t>New order</t>
        </is>
      </c>
      <c r="F21" s="5" t="inlineStr">
        <is>
          <t>New order form (international)</t>
        </is>
      </c>
      <c r="G21" s="5" t="inlineStr">
        <is>
          <t>Label size (FedEx)</t>
        </is>
      </c>
      <c r="H21" s="5" t="inlineStr">
        <is>
          <t>New shipment (FedEx): Label size stays 'Thermal stock 4×6' when Label type is switched to PDF</t>
        </is>
      </c>
      <c r="I21" s="5" t="inlineStr">
        <is>
          <t>1. Open Orders and click + New shipment (/orders/new)
2. Client: MKL246 (ship from 3PL-EAST, the client default)
3. Carrier: FedEx; any international destination
4. Change Label type from ZPLII (Zebra) to PDF
5. Look at Label size</t>
        </is>
      </c>
      <c r="J21" s="5" t="inlineStr">
        <is>
          <t>All FedEx shipments of the run were set to Paper 4x6 by hand</t>
        </is>
      </c>
      <c r="K21" s="5" t="inlineStr">
        <is>
          <t>Switching to PDF moves Label size to a paper size (for example Paper 4x6).</t>
        </is>
      </c>
      <c r="L21" s="5" t="inlineStr">
        <is>
          <t>Label size remains 'Thermal stock 4×6' next to Label type 'PDF (vector, sharp)'.</t>
        </is>
      </c>
      <c r="M21" s="5" t="n"/>
      <c r="N21" s="5" t="inlineStr">
        <is>
          <t>/orders/new</t>
        </is>
      </c>
      <c r="O21" s="5" t="inlineStr">
        <is>
          <t>Always</t>
        </is>
      </c>
      <c r="P21" s="5" t="inlineStr">
        <is>
          <t>BUG-020.jpg</t>
        </is>
      </c>
      <c r="Q21" s="5" t="n"/>
      <c r="R21" s="5" t="inlineStr">
        <is>
          <t>admin (ADMIN)</t>
        </is>
      </c>
      <c r="S21" s="5" t="n"/>
      <c r="T21" s="5" t="inlineStr">
        <is>
          <t>2026-10-11</t>
        </is>
      </c>
      <c r="U21" s="5" t="inlineStr">
        <is>
          <t>R1</t>
        </is>
      </c>
      <c r="V21" s="5" t="inlineStr">
        <is>
          <t>S001</t>
        </is>
      </c>
      <c r="W21" s="5" t="n"/>
      <c r="X21" s="5" t="inlineStr">
        <is>
          <t>Open</t>
        </is>
      </c>
      <c r="Y21" s="5" t="n"/>
      <c r="Z21" s="15" t="inlineStr">
        <is>
          <t>Deferred</t>
        </is>
      </c>
      <c r="AA21" s="15" t="n"/>
      <c r="AB21" s="15" t="inlineStr">
        <is>
          <t>[b5cc0327] Label size doesn't change with Label type. Fix: NewShipmentPage useEffect - when labelImageType=PDF, set labelStockType=PAPER_4X6. ~8 LoC.</t>
        </is>
      </c>
      <c r="AC21" s="15" t="inlineStr">
        <is>
          <t>2026-10-12</t>
        </is>
      </c>
    </row>
    <row r="22">
      <c r="A22" s="5" t="inlineStr">
        <is>
          <t>BUG-021</t>
        </is>
      </c>
      <c r="B22" s="5" t="n"/>
      <c r="C22" s="5" t="inlineStr">
        <is>
          <t>Suggestion</t>
        </is>
      </c>
      <c r="D22" s="5" t="inlineStr">
        <is>
          <t>Orders</t>
        </is>
      </c>
      <c r="E22" s="5" t="inlineStr">
        <is>
          <t>New order</t>
        </is>
      </c>
      <c r="F22" s="5" t="inlineStr">
        <is>
          <t>Importer &amp; broker override dialog</t>
        </is>
      </c>
      <c r="G22" s="5" t="inlineStr">
        <is>
          <t>Type (Business / Receiver)</t>
        </is>
      </c>
      <c r="H22" s="5" t="inlineStr">
        <is>
          <t>Importer &amp; broker override: choosing Type 'Receiver · DAP' leaves every field empty instead of using the ship-to details</t>
        </is>
      </c>
      <c r="I22" s="5" t="inlineStr">
        <is>
          <t>1. Open Orders and click + New shipment (/orders/new)
2. Client: MKL246 (ship from 3PL-EAST, the client default)
3. Carrier: FedEx
4. Ship to: Full name QA Test Recipient, Company QA Test Co, Address line 1 290 Bremner Blvd, Country Canada (CA), Phone 4165550100, State / region ON, City Toronto, Postal code M5V 3L9
5. Importer of record &amp; customs broker &gt; Add
6. Type: Receiver · DAP</t>
        </is>
      </c>
      <c r="J22" s="5" t="inlineStr">
        <is>
          <t>Every international shipment of the run (MKL246 has no importer profile for CA, GB or MX)</t>
        </is>
      </c>
      <c r="K22" s="5" t="inlineStr">
        <is>
          <t>Receiver fills (or offers to fill) name, address, city, state, post code and phone from Ship to.</t>
        </is>
      </c>
      <c r="L22" s="5" t="inlineStr">
        <is>
          <t>All fields stay empty apart from Country; all 7 values had to be typed for each of the 128 orders.</t>
        </is>
      </c>
      <c r="M22" s="5" t="n"/>
      <c r="N22" s="5" t="inlineStr">
        <is>
          <t>/orders/new</t>
        </is>
      </c>
      <c r="O22" s="5" t="inlineStr">
        <is>
          <t>Always</t>
        </is>
      </c>
      <c r="P22" s="5" t="inlineStr">
        <is>
          <t>BUG-021.jpg</t>
        </is>
      </c>
      <c r="Q22" s="5" t="n"/>
      <c r="R22" s="5" t="inlineStr">
        <is>
          <t>admin (ADMIN)</t>
        </is>
      </c>
      <c r="S22" s="5" t="n"/>
      <c r="T22" s="5" t="inlineStr">
        <is>
          <t>2026-10-11</t>
        </is>
      </c>
      <c r="U22" s="5" t="inlineStr">
        <is>
          <t>R1</t>
        </is>
      </c>
      <c r="V22" s="5" t="inlineStr">
        <is>
          <t>S002</t>
        </is>
      </c>
      <c r="W22" s="5" t="n"/>
      <c r="X22" s="5" t="inlineStr">
        <is>
          <t>Open</t>
        </is>
      </c>
      <c r="Y22" s="5" t="n"/>
      <c r="Z22" s="15" t="inlineStr">
        <is>
          <t>Deferred</t>
        </is>
      </c>
      <c r="AA22" s="15" t="n"/>
      <c r="AB22" s="15" t="inlineStr">
        <is>
          <t>[b5cc0327] Importer Receiver-DAP doesn't autofill from ship-to. Fix: ImporterBrokerDialog useEffect on type=RECEIVER prefills from form.recipient. ~15 LoC.</t>
        </is>
      </c>
      <c r="AC22" s="15" t="inlineStr">
        <is>
          <t>2026-10-12</t>
        </is>
      </c>
    </row>
    <row r="23">
      <c r="A23" s="5" t="inlineStr">
        <is>
          <t>BUG-022</t>
        </is>
      </c>
      <c r="B23" s="11" t="inlineStr">
        <is>
          <t>Low</t>
        </is>
      </c>
      <c r="C23" s="5" t="inlineStr">
        <is>
          <t>Functional</t>
        </is>
      </c>
      <c r="D23" s="5" t="inlineStr">
        <is>
          <t>Settings</t>
        </is>
      </c>
      <c r="E23" s="5" t="inlineStr">
        <is>
          <t>Organization &gt; Clients</t>
        </is>
      </c>
      <c r="F23" s="5" t="inlineStr">
        <is>
          <t>Clients list</t>
        </is>
      </c>
      <c r="G23" s="5" t="inlineStr">
        <is>
          <t>Search code, name, city</t>
        </is>
      </c>
      <c r="H23" s="5" t="inlineStr">
        <is>
          <t>Clients search: '%' and '_' work as wildcards, so searching for them lists clients that do not contain them</t>
        </is>
      </c>
      <c r="I23" s="5" t="inlineStr">
        <is>
          <t>1. Open Settings &gt; Clients (/settings/clients)
2. Type % in the box 'Search code, name, city...' and wait for the list
3. Replace it with _ and wait
4. Replace it with MKL_46 and wait
5. Replace it with M%6 and wait
6. Clear the search, click Filters, type _ in Code contains and wait; clear it and type % in City contains</t>
        </is>
      </c>
      <c r="J23" s="5" t="inlineStr">
        <is>
          <t>Search terms: %, _, MKL_46, M%6. Clients on file: MKL246 (MKL, Zeeland MI), THB000 (Thoroughbred Fulfillment LLC, Zeeland MI)</t>
        </is>
      </c>
      <c r="K23" s="5" t="inlineStr">
        <is>
          <t>The search matches the text typed. No client code, name or city contains % or _, so each of these four searches should show 'No clients match the current filters.' Client codes may contain '_' (the Add Client hint says 'Letters, digits, '-', '_''), so a code search with '_' must not also match other characters in that position.</t>
        </is>
      </c>
      <c r="L23" s="5" t="inlineStr">
        <is>
          <t>'%' and '_' each list both clients ('Showing 2 of 2 clients'). 'MKL_46' and 'M%6' each list MKL246 ('Showing 1 of 1 client'). The Filters panel has the same fault: Code contains '_' and City contains '%' each list both clients.</t>
        </is>
      </c>
      <c r="M23" s="5" t="inlineStr">
        <is>
          <t>GET /api/v1/clients?page=0&amp;size=25&amp;sortBy=code&amp;sortDirection=ASC&amp;search=%25 -&gt; 200, 2 rows
GET /api/v1/clients?...&amp;search=_ -&gt; 200, 2 rows
GET /api/v1/clients?...&amp;search=MKL_46 -&gt; 200, 1 row (MKL246)
The term reaches the server intact, so the server most likely uses it in a SQL LIKE pattern without escaping % and _.</t>
        </is>
      </c>
      <c r="N23" s="5" t="inlineStr">
        <is>
          <t>http://localhost:5173/settings/clients</t>
        </is>
      </c>
      <c r="O23" s="5" t="inlineStr">
        <is>
          <t>Always</t>
        </is>
      </c>
      <c r="P23" s="5" t="inlineStr">
        <is>
          <t>BUG-022.jpg</t>
        </is>
      </c>
      <c r="Q23" s="5" t="n"/>
      <c r="R23" s="5" t="inlineStr">
        <is>
          <t>admin (ADMIN)</t>
        </is>
      </c>
      <c r="S23" s="5" t="n"/>
      <c r="T23" s="5" t="inlineStr">
        <is>
          <t>2026-10-12</t>
        </is>
      </c>
      <c r="U23" s="5" t="inlineStr">
        <is>
          <t>R2</t>
        </is>
      </c>
      <c r="V23" s="5" t="inlineStr">
        <is>
          <t>S006</t>
        </is>
      </c>
      <c r="W23" s="5" t="inlineStr">
        <is>
          <t>Settings &gt; Organization &gt; Warehouses &gt; Warehouses list</t>
        </is>
      </c>
      <c r="X23" s="5" t="inlineStr">
        <is>
          <t>Open</t>
        </is>
      </c>
      <c r="Y23" s="5" t="n"/>
      <c r="Z23" s="15" t="inlineStr">
        <is>
          <t>Fixed on dev</t>
        </is>
      </c>
      <c r="AA23" s="15" t="n"/>
      <c r="AB23" s="15" t="inlineStr">
        <is>
          <t>[40b1e087] escapeLike() helper backslash-escapes % _ \ for all LIKE params</t>
        </is>
      </c>
      <c r="AC23" s="15" t="inlineStr">
        <is>
          <t>2026-10-12</t>
        </is>
      </c>
    </row>
    <row r="24">
      <c r="A24" s="5" t="inlineStr">
        <is>
          <t>BUG-023</t>
        </is>
      </c>
      <c r="B24" s="5" t="n"/>
      <c r="C24" s="5" t="inlineStr">
        <is>
          <t>Suggestion</t>
        </is>
      </c>
      <c r="D24" s="5" t="inlineStr">
        <is>
          <t>Settings</t>
        </is>
      </c>
      <c r="E24" s="5" t="inlineStr">
        <is>
          <t>Organization &gt; Clients</t>
        </is>
      </c>
      <c r="F24" s="5" t="inlineStr">
        <is>
          <t>Clients list</t>
        </is>
      </c>
      <c r="G24" s="5" t="inlineStr">
        <is>
          <t>Columns (show/hide + pin)</t>
        </is>
      </c>
      <c r="H24" s="5" t="inlineStr">
        <is>
          <t>Clients &gt; Columns: every column can be hidden, leaving blank rows with only the row menu (Edit, Delete)</t>
        </is>
      </c>
      <c r="I24" s="5" t="inlineStr">
        <is>
          <t>1. Open Settings &gt; Clients (/settings/clients)
2. Click Columns
3. Untick Code, Name, Contact, Country, Carrier accounts, Orders and Status
4. Press Esc to close the menu</t>
        </is>
      </c>
      <c r="J24" s="5" t="inlineStr">
        <is>
          <t>Default column layout; 2 clients (MKL246, THB000)</t>
        </is>
      </c>
      <c r="K24" s="5" t="inlineStr">
        <is>
          <t>At least one identifying column (for example Code) stays visible, or the last ticked column cannot be unticked, so each row still shows which client it is.</t>
        </is>
      </c>
      <c r="L24" s="5" t="inlineStr">
        <is>
          <t>All seven columns can be unticked. The grid then shows an empty header and two blank rows with only the ⋮ row menu, whose Edit and Delete act on a client the user cannot see. 'Reset layout' in the Columns menu brings the columns back.</t>
        </is>
      </c>
      <c r="M24" s="5" t="inlineStr">
        <is>
          <t>Reloading the page keeps the blank grid (column layout is remembered in the browser), so it stays until Columns &gt; Reset layout is used.</t>
        </is>
      </c>
      <c r="N24" s="5" t="inlineStr">
        <is>
          <t>http://localhost:5173/settings/clients</t>
        </is>
      </c>
      <c r="O24" s="5" t="inlineStr">
        <is>
          <t>Always</t>
        </is>
      </c>
      <c r="P24" s="5" t="inlineStr">
        <is>
          <t>BUG-023.jpg</t>
        </is>
      </c>
      <c r="Q24" s="5" t="n"/>
      <c r="R24" s="5" t="inlineStr">
        <is>
          <t>admin (ADMIN)</t>
        </is>
      </c>
      <c r="S24" s="5" t="n"/>
      <c r="T24" s="5" t="inlineStr">
        <is>
          <t>2026-10-12</t>
        </is>
      </c>
      <c r="U24" s="5" t="inlineStr">
        <is>
          <t>R2</t>
        </is>
      </c>
      <c r="V24" s="5" t="inlineStr">
        <is>
          <t>S006</t>
        </is>
      </c>
      <c r="W24" s="5" t="n"/>
      <c r="X24" s="5" t="inlineStr">
        <is>
          <t>Open</t>
        </is>
      </c>
      <c r="Y24" s="5" t="n"/>
      <c r="Z24" s="15" t="inlineStr">
        <is>
          <t>Deferred</t>
        </is>
      </c>
      <c r="AA24" s="15" t="n"/>
      <c r="AB24" s="15" t="inlineStr">
        <is>
          <t>[b5cc0327] Columns picker hides every column. Fix: disable uncheck on last visible column (checked.length === 1). ~5 LoC.</t>
        </is>
      </c>
      <c r="AC24" s="15" t="inlineStr">
        <is>
          <t>2026-10-12</t>
        </is>
      </c>
    </row>
    <row r="25">
      <c r="A25" s="5" t="inlineStr">
        <is>
          <t>BUG-024</t>
        </is>
      </c>
      <c r="B25" s="11" t="inlineStr">
        <is>
          <t>Low</t>
        </is>
      </c>
      <c r="C25" s="5" t="inlineStr">
        <is>
          <t>Usability</t>
        </is>
      </c>
      <c r="D25" s="5" t="inlineStr">
        <is>
          <t>Settings</t>
        </is>
      </c>
      <c r="E25" s="5" t="inlineStr">
        <is>
          <t>Organization &gt; Clients</t>
        </is>
      </c>
      <c r="F25" s="5" t="inlineStr">
        <is>
          <t>Clients list</t>
        </is>
      </c>
      <c r="G25" s="5" t="inlineStr">
        <is>
          <t>Row menu &gt; Importer / Broker</t>
        </is>
      </c>
      <c r="H25" s="5" t="inlineStr">
        <is>
          <t>Importer / Broker dialog (Clients row menu): a click on the dimmed background closes it and throws away what was typed; Esc does nothing</t>
        </is>
      </c>
      <c r="I25" s="5" t="inlineStr">
        <is>
          <t>1. Open Settings &gt; Clients (/settings/clients)
2. Scroll the table to the right and open the ⋮ menu on MKL246
3. Click Importer / Broker
4. Type QA-1012-IMP-BACKDROP in Importer name and QA Contact in Contact
5. Press Esc
6. Click on the dimmed background to the right of the dialog
7. Open ⋮ &gt; Importer / Broker on MKL246 again</t>
        </is>
      </c>
      <c r="J25" s="5" t="inlineStr">
        <is>
          <t>Client MKL246; Importer name QA-1012-IMP-BACKDROP; Contact QA Contact (nothing saved)</t>
        </is>
      </c>
      <c r="K25" s="5" t="inlineStr">
        <is>
          <t>Esc and a background click behave the same way, and neither silently discards typed data: either they ask 'Discard changes?' when something has been typed, or only Cancel / X close the dialog. The Filters panel and Columns menu on the same page close on Esc.</t>
        </is>
      </c>
      <c r="L25" s="5" t="inlineStr">
        <is>
          <t>Esc does nothing (the dialog stays open, focus moves to the X button). A single click on the dimmed background closes the dialog at once with no warning; reopening shows an empty form, so everything typed is lost.</t>
        </is>
      </c>
      <c r="M25" s="5" t="inlineStr">
        <is>
          <t>No request is sent on close (nothing saved). The form is long (client and destinations, importer of record, tax identity and further sections), so one stray click loses a lot of typing.</t>
        </is>
      </c>
      <c r="N25" s="5" t="inlineStr">
        <is>
          <t>http://localhost:5173/settings/clients</t>
        </is>
      </c>
      <c r="O25" s="5" t="inlineStr">
        <is>
          <t>Always</t>
        </is>
      </c>
      <c r="P25" s="5" t="inlineStr">
        <is>
          <t>BUG-024.jpg</t>
        </is>
      </c>
      <c r="Q25" s="5" t="n"/>
      <c r="R25" s="5" t="inlineStr">
        <is>
          <t>admin (ADMIN)</t>
        </is>
      </c>
      <c r="S25" s="5" t="n"/>
      <c r="T25" s="5" t="inlineStr">
        <is>
          <t>2026-10-12</t>
        </is>
      </c>
      <c r="U25" s="5" t="inlineStr">
        <is>
          <t>R2</t>
        </is>
      </c>
      <c r="V25" s="5" t="inlineStr">
        <is>
          <t>S006</t>
        </is>
      </c>
      <c r="W25" s="5" t="n"/>
      <c r="X25" s="5" t="inlineStr">
        <is>
          <t>Open</t>
        </is>
      </c>
      <c r="Y25" s="5" t="n"/>
      <c r="Z25" s="15" t="inlineStr">
        <is>
          <t>Deferred</t>
        </is>
      </c>
      <c r="AA25" s="15" t="n"/>
      <c r="AB25" s="15" t="inlineStr">
        <is>
          <t>[b5cc0327] Importer dialog closes on backdrop + Esc dead. Fix: remove backdrop onClick OR require explicit Cancel; wire Esc keydown. ~10 LoC.</t>
        </is>
      </c>
      <c r="AC25" s="15" t="inlineStr">
        <is>
          <t>2026-10-12</t>
        </is>
      </c>
    </row>
    <row r="26">
      <c r="A26" s="5" t="inlineStr">
        <is>
          <t>BUG-025</t>
        </is>
      </c>
      <c r="B26" s="11" t="inlineStr">
        <is>
          <t>Low</t>
        </is>
      </c>
      <c r="C26" s="5" t="inlineStr">
        <is>
          <t>UI</t>
        </is>
      </c>
      <c r="D26" s="5" t="inlineStr">
        <is>
          <t>Settings</t>
        </is>
      </c>
      <c r="E26" s="5" t="inlineStr">
        <is>
          <t>Organization &gt; Clients</t>
        </is>
      </c>
      <c r="F26" s="5" t="inlineStr">
        <is>
          <t>Clients list</t>
        </is>
      </c>
      <c r="G26" s="5" t="inlineStr">
        <is>
          <t>Table width / row actions reachable at 1446 px</t>
        </is>
      </c>
      <c r="H26" s="5" t="inlineStr">
        <is>
          <t>Clients list: the row menu (⋮ Importer / Broker, Edit, Delete) is off-screen at a 1446 px wide window; it is only reachable by scrolling the table sideways</t>
        </is>
      </c>
      <c r="I26" s="5" t="inlineStr">
        <is>
          <t>1. Use a browser window 1446 x 840 with the Settings menu expanded
2. Open Settings &gt; Clients (/settings/clients)
3. Look for the ⋮ menu at the end of each row
4. Scroll the table to the right with the horizontal scrollbar under the rows</t>
        </is>
      </c>
      <c r="J26" s="5" t="inlineStr">
        <is>
          <t>Default column layout and Compact density; 2 clients</t>
        </is>
      </c>
      <c r="K26" s="5" t="inlineStr">
        <is>
          <t>The row actions are visible without sideways scrolling: the seven default columns fit, and the Status column has a wide empty area after the Active badge.</t>
        </is>
      </c>
      <c r="L26" s="5" t="inlineStr">
        <is>
          <t>The rows end at the Status column; the ⋮ menu (the only way to Edit or Delete a client) is hidden past the right edge. A horizontal scrollbar appears under the table, and the ⋮ buttons show only after scrolling right, when Code and Name scroll out of view.</t>
        </is>
      </c>
      <c r="M26" s="5" t="inlineStr">
        <is>
          <t>Window 1446 x 840, Settings menu expanded. With every column hidden (Columns menu) the ⋮ buttons appear at the right edge without scrolling, so the overflow comes from the column widths.</t>
        </is>
      </c>
      <c r="N26" s="5" t="inlineStr">
        <is>
          <t>http://localhost:5173/settings/clients</t>
        </is>
      </c>
      <c r="O26" s="5" t="inlineStr">
        <is>
          <t>Always</t>
        </is>
      </c>
      <c r="P26" s="5" t="inlineStr">
        <is>
          <t>BUG-025.jpg, BUG-025-2.jpg</t>
        </is>
      </c>
      <c r="Q26" s="5" t="n"/>
      <c r="R26" s="5" t="inlineStr">
        <is>
          <t>admin (ADMIN)</t>
        </is>
      </c>
      <c r="S26" s="5" t="n"/>
      <c r="T26" s="5" t="inlineStr">
        <is>
          <t>2026-10-12</t>
        </is>
      </c>
      <c r="U26" s="5" t="inlineStr">
        <is>
          <t>R2</t>
        </is>
      </c>
      <c r="V26" s="5" t="inlineStr">
        <is>
          <t>S006</t>
        </is>
      </c>
      <c r="W26" s="5" t="n"/>
      <c r="X26" s="5" t="inlineStr">
        <is>
          <t>Open</t>
        </is>
      </c>
      <c r="Y26" s="5" t="n"/>
      <c r="Z26" s="15" t="inlineStr">
        <is>
          <t>Deferred</t>
        </is>
      </c>
      <c r="AA26" s="15" t="n"/>
      <c r="AB26" s="15" t="inlineStr">
        <is>
          <t>[b5cc0327] Row menu off-screen at 1446px. Fix: sticky right + z-index on Actions column, OR overflow-x-auto on table. CSS only.</t>
        </is>
      </c>
      <c r="AC26" s="15" t="inlineStr">
        <is>
          <t>2026-10-12</t>
        </is>
      </c>
    </row>
    <row r="27">
      <c r="A27" s="5" t="inlineStr">
        <is>
          <t>BUG-026</t>
        </is>
      </c>
      <c r="B27" s="11" t="inlineStr">
        <is>
          <t>Low</t>
        </is>
      </c>
      <c r="C27" s="5" t="inlineStr">
        <is>
          <t>UI</t>
        </is>
      </c>
      <c r="D27" s="5" t="inlineStr">
        <is>
          <t>Settings</t>
        </is>
      </c>
      <c r="E27" s="5" t="inlineStr">
        <is>
          <t>Organization &gt; Clients</t>
        </is>
      </c>
      <c r="F27" s="5" t="inlineStr">
        <is>
          <t>Clients list</t>
        </is>
      </c>
      <c r="G27" s="5" t="inlineStr">
        <is>
          <t>Sort by Code</t>
        </is>
      </c>
      <c r="H27" s="5" t="inlineStr">
        <is>
          <t>Clients list sorting: after the third click on a header the arrow disappears, but the list is still sorted by Code ascending, so the next click on Code appears to do nothing</t>
        </is>
      </c>
      <c r="I27" s="5" t="inlineStr">
        <is>
          <t>1. Open Settings &gt; Clients (/settings/clients); the Code header shows an up arrow (Code ascending)
2. Click the Code header (Code descending: THB000 first)
3. Click the Code header again: no arrow is shown and the rows are MKL246, THB000
4. Click the Code header once more</t>
        </is>
      </c>
      <c r="J27" s="5" t="inlineStr">
        <is>
          <t>2 clients (MKL246, THB000)</t>
        </is>
      </c>
      <c r="K27" s="5" t="inlineStr">
        <is>
          <t>Each click visibly changes the sort, and the header arrow always matches the order shown: either the third click returns to 'Code ascending' with its arrow (as on page load), or the 'unsorted' state shows rows in a different, unsorted order.</t>
        </is>
      </c>
      <c r="L27" s="5" t="inlineStr">
        <is>
          <t>After the second click the header shows no arrow although the rows are in Code ascending order (the page-load state, which shows an arrow). The following click only brings the arrow back; the rows do not move. Cycling Orders (descending, ascending, then a third click) ends in the same arrow-less Code ascending state.</t>
        </is>
      </c>
      <c r="M27" s="5" t="inlineStr">
        <is>
          <t>The 'no arrow' state requests GET /api/v1/clients?page=0&amp;size=25&amp;sortBy=code&amp;sortDirection=ASC, the same request as page load and as 'Code ascending'.</t>
        </is>
      </c>
      <c r="N27" s="5" t="inlineStr">
        <is>
          <t>http://localhost:5173/settings/clients</t>
        </is>
      </c>
      <c r="O27" s="5" t="inlineStr">
        <is>
          <t>Always</t>
        </is>
      </c>
      <c r="P27" s="5" t="inlineStr">
        <is>
          <t>BUG-026.png</t>
        </is>
      </c>
      <c r="Q27" s="5" t="n"/>
      <c r="R27" s="5" t="inlineStr">
        <is>
          <t>admin (ADMIN)</t>
        </is>
      </c>
      <c r="S27" s="5" t="n"/>
      <c r="T27" s="5" t="inlineStr">
        <is>
          <t>2026-10-12</t>
        </is>
      </c>
      <c r="U27" s="5" t="inlineStr">
        <is>
          <t>R2</t>
        </is>
      </c>
      <c r="V27" s="5" t="inlineStr">
        <is>
          <t>S006</t>
        </is>
      </c>
      <c r="W27" s="5" t="n"/>
      <c r="X27" s="5" t="inlineStr">
        <is>
          <t>Open</t>
        </is>
      </c>
      <c r="Y27" s="5" t="n"/>
      <c r="Z27" s="15" t="inlineStr">
        <is>
          <t>Deferred</t>
        </is>
      </c>
      <c r="AA27" s="15" t="n"/>
      <c r="AB27" s="15" t="inlineStr">
        <is>
          <t>[b5cc0327] Sort 3rd click clears arrow but list stays sorted. Fix: 3rd click reverts to default sort OR keeps the arrow. ~5 LoC.</t>
        </is>
      </c>
      <c r="AC27" s="15" t="inlineStr">
        <is>
          <t>2026-10-12</t>
        </is>
      </c>
    </row>
    <row r="28">
      <c r="A28" s="5" t="inlineStr">
        <is>
          <t>BUG-027</t>
        </is>
      </c>
      <c r="B28" s="11" t="inlineStr">
        <is>
          <t>Low</t>
        </is>
      </c>
      <c r="C28" s="5" t="inlineStr">
        <is>
          <t>Usability</t>
        </is>
      </c>
      <c r="D28" s="5" t="inlineStr">
        <is>
          <t>Settings</t>
        </is>
      </c>
      <c r="E28" s="5" t="inlineStr">
        <is>
          <t>Organization &gt; Clients</t>
        </is>
      </c>
      <c r="F28" s="5" t="inlineStr">
        <is>
          <t>Client wizard (Add / Edit)</t>
        </is>
      </c>
      <c r="G28" s="5" t="inlineStr">
        <is>
          <t>Defaults &gt; Timezone (IANA search and locate button)</t>
        </is>
      </c>
      <c r="H28" s="5" t="inlineStr">
        <is>
          <t>Client wizard &gt; Timezone: searching 'Kolkata' or 'Kyiv' finds nothing; the list only has the old names Asia/Calcutta and Europe/Kiev</t>
        </is>
      </c>
      <c r="I28" s="5" t="inlineStr">
        <is>
          <t>1. Open Settings &gt; Clients and click + Add Client
2. In Defaults &gt; Timezone type Kolk
3. Replace it with Calcutta
4. Replace it with Kyiv, then with Kiev
5. Click the locate button 'Detect timezone from browser' (browser set to India time)</t>
        </is>
      </c>
      <c r="J28" s="5" t="inlineStr">
        <is>
          <t>Timezone search terms Kolk, Calcutta, Kyiv, Kiev</t>
        </is>
      </c>
      <c r="K28" s="5" t="inlineStr">
        <is>
          <t>The field asks for an IANA name ('IANA (e.g. America/New_York)'); the current IANA names Asia/Kolkata and Europe/Kyiv are offered (old aliases may also match), so a user searching the city's current name finds it.</t>
        </is>
      </c>
      <c r="L28" s="5" t="inlineStr">
        <is>
          <t>'Kolk' and 'Kyiv' show 'No timezone matches ...'. 'Calcutta' offers Asia/Calcutta (UTC+05:30) and 'Kiev' offers Europe/Kiev. The locate button also fills Asia/Calcutta.</t>
        </is>
      </c>
      <c r="M28" s="5" t="inlineStr">
        <is>
          <t>The list appears to come from the browser's own time-zone list, which in Chrome still uses the old aliases.</t>
        </is>
      </c>
      <c r="N28" s="5" t="inlineStr">
        <is>
          <t>http://localhost:5173/settings/clients/new</t>
        </is>
      </c>
      <c r="O28" s="5" t="inlineStr">
        <is>
          <t>Always</t>
        </is>
      </c>
      <c r="P28" s="5" t="inlineStr">
        <is>
          <t>BUG-027.png, BUG-027-2.jpg</t>
        </is>
      </c>
      <c r="Q28" s="5" t="n"/>
      <c r="R28" s="5" t="inlineStr">
        <is>
          <t>admin (ADMIN)</t>
        </is>
      </c>
      <c r="S28" s="5" t="n"/>
      <c r="T28" s="5" t="inlineStr">
        <is>
          <t>2026-10-12</t>
        </is>
      </c>
      <c r="U28" s="5" t="inlineStr">
        <is>
          <t>R2</t>
        </is>
      </c>
      <c r="V28" s="5" t="inlineStr">
        <is>
          <t>S040</t>
        </is>
      </c>
      <c r="W28" s="5" t="n"/>
      <c r="X28" s="5" t="inlineStr">
        <is>
          <t>Open</t>
        </is>
      </c>
      <c r="Y28" s="5" t="n"/>
      <c r="Z28" s="15" t="inlineStr">
        <is>
          <t>Deferred</t>
        </is>
      </c>
      <c r="AA28" s="15" t="n"/>
      <c r="AB28" s="15" t="inlineStr">
        <is>
          <t>[b5cc0327] IANA Kolkata/Kyiv not found. Fix: update tzdata to 2024b+ (both aliases present). Depends on where the TZ list is baked.</t>
        </is>
      </c>
      <c r="AC28" s="15" t="inlineStr">
        <is>
          <t>2026-10-12</t>
        </is>
      </c>
    </row>
    <row r="29">
      <c r="A29" s="5" t="inlineStr">
        <is>
          <t>BUG-028</t>
        </is>
      </c>
      <c r="B29" s="10" t="inlineStr">
        <is>
          <t>Medium</t>
        </is>
      </c>
      <c r="C29" s="5" t="inlineStr">
        <is>
          <t>Validation</t>
        </is>
      </c>
      <c r="D29" s="5" t="inlineStr">
        <is>
          <t>Settings</t>
        </is>
      </c>
      <c r="E29" s="5" t="inlineStr">
        <is>
          <t>Organization &gt; Clients</t>
        </is>
      </c>
      <c r="F29" s="5" t="inlineStr">
        <is>
          <t>Client wizard (Add / Edit)</t>
        </is>
      </c>
      <c r="G29" s="5" t="inlineStr">
        <is>
          <t>Return address: Same as Ship From / own address</t>
        </is>
      </c>
      <c r="H29" s="5" t="inlineStr">
        <is>
          <t>Client wizard &gt; Return address: a ZIP+4 cannot be typed - the field stops at 9 characters while its own hint shows the 10-character form 12345-6789</t>
        </is>
      </c>
      <c r="I29" s="5" t="inlineStr">
        <is>
          <t>1. Open Settings &gt; Clients and click + Add Client
2. Fill step 1 Identity and pick a warehouse on step 2 Ship From, then go to step 3 Return address
3. Untick 'Same as Ship From'
4. Type 60601-1234 in ZIP</t>
        </is>
      </c>
      <c r="J29" s="5" t="inlineStr">
        <is>
          <t>ZIP typed: 60601-1234 (10 characters). Hint under the field: 'Format: 12345 or 12345-6789 - max 9 chars - UPS'</t>
        </is>
      </c>
      <c r="K29" s="5" t="inlineStr">
        <is>
          <t>A ZIP+4 in the form the hint shows (12345-6789) can be typed and is accepted; if the carrier limit is 9 digits, the hyphen should not count towards it.</t>
        </is>
      </c>
      <c r="L29" s="5" t="inlineStr">
        <is>
          <t>The input has maxlength 9, so typing stops after '60601-123'. The field then shows the error 'Postal code doesn't match the US format.' and Next stays disabled, so a US ZIP+4 return address cannot be saved at all.</t>
        </is>
      </c>
      <c r="M29" s="5" t="inlineStr">
        <is>
          <t>input maxlength 9, value after typing 60601-1234: '60601-123'. The same 9-character limit is on the ZIP field of the Ship From / Return address block. Phone behaves the same way: maxlength 15 truncates '+1 (312) 555-0100' to '+1 (312) 555-01', but no error is shown for that.</t>
        </is>
      </c>
      <c r="N29" s="5" t="inlineStr">
        <is>
          <t>http://localhost:5173/settings/clients/new</t>
        </is>
      </c>
      <c r="O29" s="5" t="inlineStr">
        <is>
          <t>Always</t>
        </is>
      </c>
      <c r="P29" s="5" t="inlineStr">
        <is>
          <t>BUG-028.jpg</t>
        </is>
      </c>
      <c r="Q29" s="5" t="n"/>
      <c r="R29" s="5" t="inlineStr">
        <is>
          <t>admin (ADMIN)</t>
        </is>
      </c>
      <c r="S29" s="5" t="n"/>
      <c r="T29" s="5" t="inlineStr">
        <is>
          <t>2026-10-12</t>
        </is>
      </c>
      <c r="U29" s="5" t="inlineStr">
        <is>
          <t>R2</t>
        </is>
      </c>
      <c r="V29" s="5" t="inlineStr">
        <is>
          <t>S040</t>
        </is>
      </c>
      <c r="W29" s="5" t="n"/>
      <c r="X29" s="5" t="inlineStr">
        <is>
          <t>Open</t>
        </is>
      </c>
      <c r="Y29" s="5" t="n"/>
      <c r="Z29" s="15" t="inlineStr">
        <is>
          <t>Fixed on dev</t>
        </is>
      </c>
      <c r="AA29" s="15" t="n"/>
      <c r="AB29" s="15" t="inlineStr">
        <is>
          <t>[b5cc0327] Raised UPS zip cap 9→10; connector strips dash on wire</t>
        </is>
      </c>
      <c r="AC29" s="15" t="inlineStr">
        <is>
          <t>2026-10-12</t>
        </is>
      </c>
    </row>
    <row r="30">
      <c r="A30" s="5" t="inlineStr">
        <is>
          <t>BUG-029</t>
        </is>
      </c>
      <c r="B30" s="11" t="inlineStr">
        <is>
          <t>Low</t>
        </is>
      </c>
      <c r="C30" s="5" t="inlineStr">
        <is>
          <t>Content</t>
        </is>
      </c>
      <c r="D30" s="5" t="inlineStr">
        <is>
          <t>Settings</t>
        </is>
      </c>
      <c r="E30" s="5" t="inlineStr">
        <is>
          <t>Organization &gt; Clients</t>
        </is>
      </c>
      <c r="F30" s="5" t="inlineStr">
        <is>
          <t>Client wizard (Add / Edit)</t>
        </is>
      </c>
      <c r="G30" s="5" t="inlineStr">
        <is>
          <t>Carrier accounts grid for the client (+ Add Account, default star)</t>
        </is>
      </c>
      <c r="H30" s="5" t="inlineStr">
        <is>
          <t>Client wizard &gt; Carriers: the UPS account number hint and its error message give different rules ('exactly 6 alphanumerics' vs '6-10 letters or digits')</t>
        </is>
      </c>
      <c r="I30" s="5" t="inlineStr">
        <is>
          <t>1. Open Settings &gt; Clients and click + Add Client
2. Fill step 1, pick a warehouse on step 2, go on to step 4 Carriers
3. Click + Add carrier account; Carrier is UPS
4. Read the grey hint under Account number
5. Type 12 in Account number and click into Client ID
6. Replace it with QA10127890123 and click into Client ID</t>
        </is>
      </c>
      <c r="J30" s="5" t="inlineStr">
        <is>
          <t>Carrier UPS; Account number 12, then QA1012!! (saved as QA1012)</t>
        </is>
      </c>
      <c r="K30" s="5" t="inlineStr">
        <is>
          <t>The hint and the error state the same rule, so the user knows whether a 7-10 character UPS number is allowed.</t>
        </is>
      </c>
      <c r="L30" s="5" t="inlineStr">
        <is>
          <t>The grey hint reads 'UPS shipper numbers are exactly 6 alphanumerics.' while the red error, shown for a shorter value, reads 'UPS shipper number is 6-10 letters or digits'. The field itself stops at 6 characters (typing QA10127890123 leaves QA1012), so the error message is the wrong one and tells the user to try lengths the field will not accept. DHL Express has the same mismatch: hint 'DHL Express account numbers are up to 9 digits.' against error 'DHL Express account number is 9-12 digits', and the field accepts letters (QA1012QA1) although both texts say digits.</t>
        </is>
      </c>
      <c r="M30" s="5" t="inlineStr">
        <is>
          <t>Account number input caps at 6 characters for UPS and strips punctuation as typed (QA1012!! becomes QA1012). Only the error text disagrees with the hint and with the field's own behaviour.</t>
        </is>
      </c>
      <c r="N30" s="5" t="inlineStr">
        <is>
          <t>http://localhost:5173/settings/clients/new</t>
        </is>
      </c>
      <c r="O30" s="5" t="inlineStr">
        <is>
          <t>Always</t>
        </is>
      </c>
      <c r="P30" s="5" t="inlineStr">
        <is>
          <t>BUG-029.jpg, BUG-029-2.png</t>
        </is>
      </c>
      <c r="Q30" s="5" t="n"/>
      <c r="R30" s="5" t="inlineStr">
        <is>
          <t>admin (ADMIN)</t>
        </is>
      </c>
      <c r="S30" s="5" t="n"/>
      <c r="T30" s="5" t="inlineStr">
        <is>
          <t>2026-10-12</t>
        </is>
      </c>
      <c r="U30" s="5" t="inlineStr">
        <is>
          <t>R2</t>
        </is>
      </c>
      <c r="V30" s="5" t="inlineStr">
        <is>
          <t>S040</t>
        </is>
      </c>
      <c r="W30" s="5" t="n"/>
      <c r="X30" s="5" t="inlineStr">
        <is>
          <t>Open</t>
        </is>
      </c>
      <c r="Y30" s="5" t="n"/>
      <c r="Z30" s="15" t="inlineStr">
        <is>
          <t>Deferred</t>
        </is>
      </c>
      <c r="AA30" s="15" t="n"/>
      <c r="AB30" s="15" t="inlineStr">
        <is>
          <t>[b5cc0327] UPS account hint '6 chars' vs error '6-10'. Fix: hint says '6-10 letters or digits'. One-line.</t>
        </is>
      </c>
      <c r="AC30" s="15" t="inlineStr">
        <is>
          <t>2026-10-12</t>
        </is>
      </c>
    </row>
    <row r="31">
      <c r="A31" s="5" t="inlineStr">
        <is>
          <t>BUG-030</t>
        </is>
      </c>
      <c r="B31" s="10" t="inlineStr">
        <is>
          <t>Medium</t>
        </is>
      </c>
      <c r="C31" s="5" t="inlineStr">
        <is>
          <t>Functional</t>
        </is>
      </c>
      <c r="D31" s="5" t="inlineStr">
        <is>
          <t>Settings</t>
        </is>
      </c>
      <c r="E31" s="5" t="inlineStr">
        <is>
          <t>Organization &gt; Clients</t>
        </is>
      </c>
      <c r="F31" s="5" t="inlineStr">
        <is>
          <t>Client wizard (Add / Edit)</t>
        </is>
      </c>
      <c r="G31" s="5" t="inlineStr">
        <is>
          <t>Carrier accounts grid for the client (+ Add Account, default star)</t>
        </is>
      </c>
      <c r="H31" s="5" t="inlineStr">
        <is>
          <t>Client wizard &gt; Carriers: Cancel on the carrier account form keeps everything typed, including the client secret, and + Add carrier account reopens the discarded draft</t>
        </is>
      </c>
      <c r="I31" s="5" t="inlineStr">
        <is>
          <t>1. Open Settings &gt; Clients and click + Add Client
2. Fill step 1 Identity and pick a warehouse on step 2 Ship From, then go to step 4 Carriers
3. Click + Add carrier account
4. Choose carrier DHL Express, type an account number, a client id and a client secret
5. Click Cancel - the list shows 'No carrier accounts staged yet'
6. Click + Add carrier account again</t>
        </is>
      </c>
      <c r="J31" s="5" t="inlineStr">
        <is>
          <t>Carrier DHL Express, account number QA1012QA1, test client id and client secret created for this run (local SANDBOX placeholders)</t>
        </is>
      </c>
      <c r="K31" s="5" t="inlineStr">
        <is>
          <t>Cancel discards the draft, so the next + Add carrier account opens an empty form on the default carrier - as the empty-state text implies.</t>
        </is>
      </c>
      <c r="L31" s="5" t="inlineStr">
        <is>
          <t>The list is emptied but the form is not: reopening it shows the cancelled carrier, account number, client id and the filled client secret. Typing an account number then appends to the retained one (QA1012 typed into a field already holding QA1012 gives QA1012QA1), so a stale credential can be staged against the wrong carrier without the user noticing.</t>
        </is>
      </c>
      <c r="M31" s="5" t="inlineStr">
        <is>
          <t>Nothing is sent on Cancel; the draft is only held in the page. The retained secret stays masked but is still submitted if the user clicks Add to list.</t>
        </is>
      </c>
      <c r="N31" s="5" t="inlineStr">
        <is>
          <t>http://localhost:5173/settings/clients/new</t>
        </is>
      </c>
      <c r="O31" s="5" t="inlineStr">
        <is>
          <t>Always</t>
        </is>
      </c>
      <c r="P31" s="5" t="inlineStr">
        <is>
          <t>BUG-030.jpg</t>
        </is>
      </c>
      <c r="Q31" s="5" t="n"/>
      <c r="R31" s="5" t="inlineStr">
        <is>
          <t>admin (ADMIN)</t>
        </is>
      </c>
      <c r="S31" s="5" t="n"/>
      <c r="T31" s="5" t="inlineStr">
        <is>
          <t>2026-10-12</t>
        </is>
      </c>
      <c r="U31" s="5" t="inlineStr">
        <is>
          <t>R2</t>
        </is>
      </c>
      <c r="V31" s="5" t="inlineStr">
        <is>
          <t>S040</t>
        </is>
      </c>
      <c r="W31" s="5" t="n"/>
      <c r="X31" s="5" t="inlineStr">
        <is>
          <t>Open</t>
        </is>
      </c>
      <c r="Y31" s="5" t="n"/>
      <c r="Z31" s="15" t="inlineStr">
        <is>
          <t>Fixed on dev</t>
        </is>
      </c>
      <c r="AA31" s="15" t="n"/>
      <c r="AB31" s="15" t="inlineStr">
        <is>
          <t>[b5cc0327] Cancel on carrier form keeps secret. Fix: Cancel onClick resets form to initialValues. ~5 LoC.; [141330eb] Cancel resets form state via blankDraft()</t>
        </is>
      </c>
      <c r="AC31" s="15" t="inlineStr">
        <is>
          <t>2026-10-12</t>
        </is>
      </c>
    </row>
    <row r="32">
      <c r="A32" s="5" t="inlineStr">
        <is>
          <t>BUG-031</t>
        </is>
      </c>
      <c r="B32" s="11" t="inlineStr">
        <is>
          <t>Low</t>
        </is>
      </c>
      <c r="C32" s="5" t="inlineStr">
        <is>
          <t>Usability</t>
        </is>
      </c>
      <c r="D32" s="5" t="inlineStr">
        <is>
          <t>Settings</t>
        </is>
      </c>
      <c r="E32" s="5" t="inlineStr">
        <is>
          <t>Organization &gt; Clients</t>
        </is>
      </c>
      <c r="F32" s="5" t="inlineStr">
        <is>
          <t>Client wizard (Add / Edit)</t>
        </is>
      </c>
      <c r="G32" s="5" t="inlineStr">
        <is>
          <t>Carrier accounts grid for the client (+ Add Account, default star)</t>
        </is>
      </c>
      <c r="H32" s="5" t="inlineStr">
        <is>
          <t>Client wizard &gt; Carriers: 'Add to list' greys out with the tooltip 'Fix the highlighted fields to continue' while no field is highlighted</t>
        </is>
      </c>
      <c r="I32" s="5" t="inlineStr">
        <is>
          <t>1. Open Settings &gt; Clients and click + Add Client; fill step 1 and step 2
2. On step 4 Carriers click + Add carrier account
3. Choose carrier DHL Express and type the account number QA1012QA1 (letters and digits)
4. Fill Client ID and Client secret
5. Look at the Add to list button and hover over it</t>
        </is>
      </c>
      <c r="J32" s="5" t="inlineStr">
        <is>
          <t>Carrier DHL Express, account number QA1012QA1; hint under the field: 'DHL Express account numbers are up to 9 digits.'</t>
        </is>
      </c>
      <c r="K32" s="5" t="inlineStr">
        <is>
          <t>Either the account number is accepted, or the field that fails is marked in red with its message, so the user can see what to fix.</t>
        </is>
      </c>
      <c r="L32" s="5" t="inlineStr">
        <is>
          <t>Add to list is greyed and its tooltip says 'Fix the highlighted fields to continue', but no field is red and no message is shown. The value only becomes acceptable after the carrier is changed to UPS or the letters are removed, which the user has to work out for themselves.</t>
        </is>
      </c>
      <c r="M32" s="5" t="inlineStr">
        <is>
          <t>The button is not really disabled (disabled=false) - it only looks greyed and carries the tooltip, so a click gives no feedback either.</t>
        </is>
      </c>
      <c r="N32" s="5" t="inlineStr">
        <is>
          <t>http://localhost:5173/settings/clients/new</t>
        </is>
      </c>
      <c r="O32" s="5" t="inlineStr">
        <is>
          <t>Always</t>
        </is>
      </c>
      <c r="P32" s="5" t="inlineStr">
        <is>
          <t>BUG-031.jpg</t>
        </is>
      </c>
      <c r="Q32" s="5" t="n"/>
      <c r="R32" s="5" t="inlineStr">
        <is>
          <t>admin (ADMIN)</t>
        </is>
      </c>
      <c r="S32" s="5" t="n"/>
      <c r="T32" s="5" t="inlineStr">
        <is>
          <t>2026-10-12</t>
        </is>
      </c>
      <c r="U32" s="5" t="inlineStr">
        <is>
          <t>R2</t>
        </is>
      </c>
      <c r="V32" s="5" t="inlineStr">
        <is>
          <t>S040</t>
        </is>
      </c>
      <c r="W32" s="5" t="n"/>
      <c r="X32" s="5" t="inlineStr">
        <is>
          <t>Open</t>
        </is>
      </c>
      <c r="Y32" s="5" t="n"/>
      <c r="Z32" s="15" t="inlineStr">
        <is>
          <t>Deferred</t>
        </is>
      </c>
      <c r="AA32" s="15" t="n"/>
      <c r="AB32" s="15" t="inlineStr">
        <is>
          <t>[b5cc0327] 'Add to list' greyed with no highlighted fields. Fix: show invalid fields in red when disabled. ~10 LoC.</t>
        </is>
      </c>
      <c r="AC32" s="15" t="inlineStr">
        <is>
          <t>2026-10-12</t>
        </is>
      </c>
    </row>
    <row r="33">
      <c r="A33" s="5" t="inlineStr">
        <is>
          <t>BUG-032</t>
        </is>
      </c>
      <c r="B33" s="11" t="inlineStr">
        <is>
          <t>Low</t>
        </is>
      </c>
      <c r="C33" s="5" t="inlineStr">
        <is>
          <t>Content</t>
        </is>
      </c>
      <c r="D33" s="5" t="inlineStr">
        <is>
          <t>Settings</t>
        </is>
      </c>
      <c r="E33" s="5" t="inlineStr">
        <is>
          <t>Organization &gt; Clients</t>
        </is>
      </c>
      <c r="F33" s="5" t="inlineStr">
        <is>
          <t>Client wizard (Add / Edit)</t>
        </is>
      </c>
      <c r="G33" s="5" t="inlineStr">
        <is>
          <t>Markup: kind (Percent / Flat), Value, Currency, Preview, Save markup</t>
        </is>
      </c>
      <c r="H33" s="5" t="inlineStr">
        <is>
          <t>Creating a client shows the raw error code MARKUP_REQUIRED_FOR_CLIENT in the 'Heads up' message</t>
        </is>
      </c>
      <c r="I33" s="5" t="inlineStr">
        <is>
          <t>1. Create a client through Settings &gt; Clients &gt; + Add Client, skipping the Markup step
2. Read the 'Heads up' toast shown after Submit</t>
        </is>
      </c>
      <c r="J33" s="5" t="inlineStr">
        <is>
          <t>Client QA-1012-CL01 created with no billing markup</t>
        </is>
      </c>
      <c r="K33" s="5" t="inlineStr">
        <is>
          <t>The message explains in words that labels will be refused until a billing markup is set; the internal code belongs in the log, not in the message.</t>
        </is>
      </c>
      <c r="L33" s="5" t="inlineStr">
        <is>
          <t>'Set a billing markup for QA-1012-CL01 on the Markup tab before generating labels - MARKUP_REQUIRED_FOR_CLIENT will otherwise reject every label call for this client.'</t>
        </is>
      </c>
      <c r="M33" s="5" t="inlineStr">
        <is>
          <t>The rest of the sentence already says what happens, so the code adds nothing for the user. The same warning is useful on the Markup step itself, which is only marked amber.</t>
        </is>
      </c>
      <c r="N33" s="5" t="inlineStr">
        <is>
          <t>http://localhost:5173/settings/clients/new</t>
        </is>
      </c>
      <c r="O33" s="5" t="inlineStr">
        <is>
          <t>Always</t>
        </is>
      </c>
      <c r="P33" s="5" t="inlineStr">
        <is>
          <t>BUG-032.jpg</t>
        </is>
      </c>
      <c r="Q33" s="5" t="n"/>
      <c r="R33" s="5" t="inlineStr">
        <is>
          <t>admin (ADMIN)</t>
        </is>
      </c>
      <c r="S33" s="5" t="n"/>
      <c r="T33" s="5" t="inlineStr">
        <is>
          <t>2026-10-12</t>
        </is>
      </c>
      <c r="U33" s="5" t="inlineStr">
        <is>
          <t>R2</t>
        </is>
      </c>
      <c r="V33" s="5" t="inlineStr">
        <is>
          <t>S040</t>
        </is>
      </c>
      <c r="W33" s="5" t="n"/>
      <c r="X33" s="5" t="inlineStr">
        <is>
          <t>Open</t>
        </is>
      </c>
      <c r="Y33" s="5" t="n"/>
      <c r="Z33" s="15" t="inlineStr">
        <is>
          <t>Deferred</t>
        </is>
      </c>
      <c r="AA33" s="15" t="n"/>
      <c r="AB33" s="15" t="inlineStr">
        <is>
          <t>[b5cc0327] Raw MARKUP_REQUIRED_FOR_CLIENT in banner. Fix: add to error humaniser map. ~3 LoC.</t>
        </is>
      </c>
      <c r="AC33" s="15" t="inlineStr">
        <is>
          <t>2026-10-12</t>
        </is>
      </c>
    </row>
    <row r="34">
      <c r="A34" s="5" t="inlineStr">
        <is>
          <t>BUG-033</t>
        </is>
      </c>
      <c r="B34" s="11" t="inlineStr">
        <is>
          <t>Low</t>
        </is>
      </c>
      <c r="C34" s="5" t="inlineStr">
        <is>
          <t>Content</t>
        </is>
      </c>
      <c r="D34" s="5" t="inlineStr">
        <is>
          <t>Settings</t>
        </is>
      </c>
      <c r="E34" s="5" t="inlineStr">
        <is>
          <t>Organization &gt; Clients</t>
        </is>
      </c>
      <c r="F34" s="5" t="inlineStr">
        <is>
          <t>Client wizard (Add / Edit)</t>
        </is>
      </c>
      <c r="G34" s="5" t="inlineStr">
        <is>
          <t>Return address: Same as Ship From / own address</t>
        </is>
      </c>
      <c r="H34" s="5" t="inlineStr">
        <is>
          <t>Client wizard &gt; Return address: the State limit is credited to USPS in both modes but changes from 'max 2 chars' to 'max 5 chars' on a client with no USPS account</t>
        </is>
      </c>
      <c r="I34" s="5" t="inlineStr">
        <is>
          <t>1. Open Settings &gt; Clients and click + Add Client
2. On step 3 Return address untick 'Same as Ship From' and read the hint under STATE: 'max 2 chars - USPS'
3. Finish the wizard with a single UPS carrier account
4. Open the saved client (Edit) and go to step 3 Return address
5. Read the hint under STATE again</t>
        </is>
      </c>
      <c r="J34" s="5" t="inlineStr">
        <is>
          <t>Client QA-1012-CL01, one carrier account: UPS - QA1012 (SANDBOX)</t>
        </is>
      </c>
      <c r="K34" s="5" t="inlineStr">
        <is>
          <t>The hint names the carrier whose limit is being applied. The other fields do this correctly: with only UPS on the client they read 'max 35 chars - UPS', 'max 9 chars - UPS'.</t>
        </is>
      </c>
      <c r="L34" s="5" t="inlineStr">
        <is>
          <t>STATE reads 'max 2 chars - USPS' in the new-client wizard and 'max 5 chars - USPS' on the saved client, although that client has no USPS account. Two different limits are attributed to the same carrier, and the carrier named is one the client does not use.</t>
        </is>
      </c>
      <c r="M34" s="5" t="inlineStr">
        <is>
          <t>Same page, same field. In the wizard (no carrier staged yet) the limits shown are the strictest across all carriers ('UPS / FEDEX' appears on other fields); on the saved client they narrow to the client's own carriers, and only STATE keeps the USPS label.</t>
        </is>
      </c>
      <c r="N34" s="5" t="inlineStr">
        <is>
          <t>http://localhost:5173/settings/clients/QA-1012-CL01</t>
        </is>
      </c>
      <c r="O34" s="5" t="inlineStr">
        <is>
          <t>Always</t>
        </is>
      </c>
      <c r="P34" s="5" t="inlineStr">
        <is>
          <t>BUG-033.png</t>
        </is>
      </c>
      <c r="Q34" s="5" t="n"/>
      <c r="R34" s="5" t="inlineStr">
        <is>
          <t>admin (ADMIN)</t>
        </is>
      </c>
      <c r="S34" s="5" t="n"/>
      <c r="T34" s="5" t="inlineStr">
        <is>
          <t>2026-10-12</t>
        </is>
      </c>
      <c r="U34" s="5" t="inlineStr">
        <is>
          <t>R2</t>
        </is>
      </c>
      <c r="V34" s="5" t="inlineStr">
        <is>
          <t>S040</t>
        </is>
      </c>
      <c r="W34" s="5" t="n"/>
      <c r="X34" s="5" t="inlineStr">
        <is>
          <t>Open</t>
        </is>
      </c>
      <c r="Y34" s="5" t="n"/>
      <c r="Z34" s="15" t="inlineStr">
        <is>
          <t>Deferred</t>
        </is>
      </c>
      <c r="AA34" s="15" t="n"/>
      <c r="AB34" s="15" t="inlineStr">
        <is>
          <t>[b5cc0327] State hint differs between create/edit mode. Fix: both paths call intersectionAddressCaps with same carrier list. ~2 LoC.</t>
        </is>
      </c>
      <c r="AC34" s="15" t="inlineStr">
        <is>
          <t>2026-10-12</t>
        </is>
      </c>
    </row>
    <row r="35">
      <c r="A35" s="5" t="inlineStr">
        <is>
          <t>BUG-034</t>
        </is>
      </c>
      <c r="B35" s="11" t="inlineStr">
        <is>
          <t>Low</t>
        </is>
      </c>
      <c r="C35" s="5" t="inlineStr">
        <is>
          <t>Validation</t>
        </is>
      </c>
      <c r="D35" s="5" t="inlineStr">
        <is>
          <t>Settings</t>
        </is>
      </c>
      <c r="E35" s="5" t="inlineStr">
        <is>
          <t>Organization &gt; Clients</t>
        </is>
      </c>
      <c r="F35" s="5" t="inlineStr">
        <is>
          <t>Client wizard (Add / Edit)</t>
        </is>
      </c>
      <c r="G35" s="5" t="inlineStr">
        <is>
          <t>Markup: kind (Percent / Flat), Value, Currency, Preview, Save markup</t>
        </is>
      </c>
      <c r="H35" s="5" t="inlineStr">
        <is>
          <t>Billing markup: a negative or non-numeric value is only refused by the server, as a 'Something went wrong' toast, with nothing marked on the field</t>
        </is>
      </c>
      <c r="I35" s="5" t="inlineStr">
        <is>
          <t>1. Open Settings &gt; Clients, open a client and go to step 6 Markup
2. Choose Percent of rate and type -5 in Value, then click Save markup
3. Replace the value with abc and click Save markup again</t>
        </is>
      </c>
      <c r="J35" s="5" t="inlineStr">
        <is>
          <t>Client QA-1012-CL01; markup values -5 and abc</t>
        </is>
      </c>
      <c r="K35" s="5" t="inlineStr">
        <is>
          <t>The form refuses a negative or non-numeric percentage as the field is typed, the way the Identity and Return steps do, and the field is marked with the reason. A failed save is not reported as an unexpected error.</t>
        </is>
      </c>
      <c r="L35" s="5" t="inlineStr">
        <is>
          <t>Both values are accepted by the field. The live preview simply disappears with no message, Save markup stays active, and the save fails with a red toast headed 'Something went wrong' and the detail 'Value must be a non-negative number.' The field itself is never marked.</t>
        </is>
      </c>
      <c r="M35" s="5" t="inlineStr">
        <is>
          <t>The Value input is type=text with no min, max or step. The preview panel vanishing also moves the Save markup button up by about 80 px, so a click aimed at it can land on Next instead (seen during this test).</t>
        </is>
      </c>
      <c r="N35" s="5" t="inlineStr">
        <is>
          <t>http://localhost:5173/settings/clients/QA-1012-CL01</t>
        </is>
      </c>
      <c r="O35" s="5" t="inlineStr">
        <is>
          <t>Always</t>
        </is>
      </c>
      <c r="P35" s="5" t="inlineStr">
        <is>
          <t>BUG-034.jpg</t>
        </is>
      </c>
      <c r="Q35" s="5" t="n"/>
      <c r="R35" s="5" t="inlineStr">
        <is>
          <t>admin (ADMIN)</t>
        </is>
      </c>
      <c r="S35" s="5" t="n"/>
      <c r="T35" s="5" t="inlineStr">
        <is>
          <t>2026-10-12</t>
        </is>
      </c>
      <c r="U35" s="5" t="inlineStr">
        <is>
          <t>R2</t>
        </is>
      </c>
      <c r="V35" s="5" t="inlineStr">
        <is>
          <t>S040</t>
        </is>
      </c>
      <c r="W35" s="5" t="n"/>
      <c r="X35" s="5" t="inlineStr">
        <is>
          <t>Open</t>
        </is>
      </c>
      <c r="Y35" s="5" t="n"/>
      <c r="Z35" s="15" t="inlineStr">
        <is>
          <t>Deferred</t>
        </is>
      </c>
      <c r="AA35" s="15" t="n"/>
      <c r="AB35" s="15" t="inlineStr">
        <is>
          <t>[b5cc0327] Markup negative only server-refused. Fix: Yup/Formik min(0) + typeError on markup Value. ~5 LoC.</t>
        </is>
      </c>
      <c r="AC35" s="15" t="inlineStr">
        <is>
          <t>2026-10-12</t>
        </is>
      </c>
    </row>
    <row r="36">
      <c r="A36" s="5" t="inlineStr">
        <is>
          <t>BUG-035</t>
        </is>
      </c>
      <c r="B36" s="11" t="inlineStr">
        <is>
          <t>Low</t>
        </is>
      </c>
      <c r="C36" s="5" t="inlineStr">
        <is>
          <t>UI</t>
        </is>
      </c>
      <c r="D36" s="5" t="inlineStr">
        <is>
          <t>Settings</t>
        </is>
      </c>
      <c r="E36" s="5" t="inlineStr">
        <is>
          <t>Organization &gt; Clients</t>
        </is>
      </c>
      <c r="F36" s="5" t="inlineStr">
        <is>
          <t>Client wizard (Add / Edit)</t>
        </is>
      </c>
      <c r="G36" s="5" t="inlineStr">
        <is>
          <t>Markup: kind (Percent / Flat), Value, Currency, Preview, Save markup</t>
        </is>
      </c>
      <c r="H36" s="5" t="inlineStr">
        <is>
          <t>Billing markup preview formats a USD amount with Indian digit grouping: $2,50,00,00,00,024.75 instead of $250,000,000,024.75</t>
        </is>
      </c>
      <c r="I36" s="5" t="inlineStr">
        <is>
          <t>1. Open Settings &gt; Clients, open a client and go to step 6 Markup
2. Choose Percent of rate, currency USD
3. Type 999999999999 in Value
4. Read the PREVIEW line</t>
        </is>
      </c>
      <c r="J36" s="5" t="inlineStr">
        <is>
          <t>Markup: Percent of rate, value 999999999999, currency USD; preview base rate $25.00</t>
        </is>
      </c>
      <c r="K36" s="5" t="inlineStr">
        <is>
          <t>A USD amount is grouped in thousands: $250,000,000,024.75.</t>
        </is>
      </c>
      <c r="L36" s="5" t="inlineStr">
        <is>
          <t>The preview reads 'On a $25.00 carrier rate, this markup produces a billable amount of $2,50,00,00,00,024.75.' - lakh/crore grouping. The amount itself is right; only the grouping is wrong.</t>
        </is>
      </c>
      <c r="M36" s="5" t="inlineStr">
        <is>
          <t>The number appears to be formatted with the browser's own locale rather than a locale chosen for the currency, so the same screen shows $25.00 (US style) and $2,50,00,00,00,024.75 (Indian style) side by side. Worth checking everywhere money is printed, labels and invoices included.</t>
        </is>
      </c>
      <c r="N36" s="5" t="inlineStr">
        <is>
          <t>http://localhost:5173/settings/clients/QA-1012-CL01</t>
        </is>
      </c>
      <c r="O36" s="5" t="inlineStr">
        <is>
          <t>Always</t>
        </is>
      </c>
      <c r="P36" s="5" t="inlineStr">
        <is>
          <t>BUG-035.png</t>
        </is>
      </c>
      <c r="Q36" s="5" t="n"/>
      <c r="R36" s="5" t="inlineStr">
        <is>
          <t>admin (ADMIN)</t>
        </is>
      </c>
      <c r="S36" s="5" t="n"/>
      <c r="T36" s="5" t="inlineStr">
        <is>
          <t>2026-10-12</t>
        </is>
      </c>
      <c r="U36" s="5" t="inlineStr">
        <is>
          <t>R2</t>
        </is>
      </c>
      <c r="V36" s="5" t="inlineStr">
        <is>
          <t>S040</t>
        </is>
      </c>
      <c r="W36" s="5" t="n"/>
      <c r="X36" s="5" t="inlineStr">
        <is>
          <t>Open</t>
        </is>
      </c>
      <c r="Y36" s="5" t="n"/>
      <c r="Z36" s="15" t="inlineStr">
        <is>
          <t>Deferred</t>
        </is>
      </c>
      <c r="AA36" s="15" t="n"/>
      <c r="AB36" s="15" t="inlineStr">
        <is>
          <t>[b5cc0327] Markup preview uses Indian digit grouping on USD. Fix: Intl.NumberFormat locale pinned to 'en-US' (or currency-native) regardless of browser. ~2 LoC in money format util.</t>
        </is>
      </c>
      <c r="AC36" s="15" t="inlineStr">
        <is>
          <t>2026-10-12</t>
        </is>
      </c>
    </row>
    <row r="37">
      <c r="A37" s="5" t="inlineStr">
        <is>
          <t>BUG-036</t>
        </is>
      </c>
      <c r="B37" s="11" t="inlineStr">
        <is>
          <t>Low</t>
        </is>
      </c>
      <c r="C37" s="5" t="inlineStr">
        <is>
          <t>Content</t>
        </is>
      </c>
      <c r="D37" s="5" t="inlineStr">
        <is>
          <t>Settings</t>
        </is>
      </c>
      <c r="E37" s="5" t="inlineStr">
        <is>
          <t>Organization &gt; Clients</t>
        </is>
      </c>
      <c r="F37" s="5" t="inlineStr">
        <is>
          <t>Client wizard (Add / Edit)</t>
        </is>
      </c>
      <c r="G37" s="5" t="inlineStr">
        <is>
          <t>Edit mode: Cancel and Save changes ('Identity + addresses only')</t>
        </is>
      </c>
      <c r="H37" s="5" t="inlineStr">
        <is>
          <t>Edit client: ordinary validation failures are announced as 'Something went wrong', the same red heading the app uses for server errors</t>
        </is>
      </c>
      <c r="I37" s="5" t="inlineStr">
        <is>
          <t>1. Open Settings &gt; Clients and open a client (row menu &gt; Edit)
2. Clear Client name on step 1 Identity
3. Click Save changes
4. Go to step 6 Markup, type -5 in Value and click Save markup</t>
        </is>
      </c>
      <c r="J37" s="5" t="inlineStr">
        <is>
          <t>Client QA-1012-CL01; empty Client name; markup value -5</t>
        </is>
      </c>
      <c r="K37" s="5" t="inlineStr">
        <is>
          <t>A field the user has to correct is reported as such ('Fix the highlighted fields to save'), without the heading the app uses when something unexpected has failed.</t>
        </is>
      </c>
      <c r="L37" s="5" t="inlineStr">
        <is>
          <t>Both show a red toast headed 'Something went wrong' with the real message underneath: 'Fix the highlighted fields to save.' and 'Value must be a non-negative number.' The same heading was seen on a genuine 502 during the earlier shipment run (BUG-016), so the user cannot tell a typo from an outage.</t>
        </is>
      </c>
      <c r="M37" s="5" t="inlineStr">
        <is>
          <t>The on-field message 'Name is required.' is shown correctly at the same time, so only the toast heading is at fault.</t>
        </is>
      </c>
      <c r="N37" s="5" t="inlineStr">
        <is>
          <t>http://localhost:5173/settings/clients/QA-1012-CL01</t>
        </is>
      </c>
      <c r="O37" s="5" t="inlineStr">
        <is>
          <t>Always</t>
        </is>
      </c>
      <c r="P37" s="5" t="inlineStr">
        <is>
          <t>BUG-036.jpg</t>
        </is>
      </c>
      <c r="Q37" s="5" t="n"/>
      <c r="R37" s="5" t="inlineStr">
        <is>
          <t>admin (ADMIN)</t>
        </is>
      </c>
      <c r="S37" s="5" t="n"/>
      <c r="T37" s="5" t="inlineStr">
        <is>
          <t>2026-10-12</t>
        </is>
      </c>
      <c r="U37" s="5" t="inlineStr">
        <is>
          <t>R2</t>
        </is>
      </c>
      <c r="V37" s="5" t="inlineStr">
        <is>
          <t>S040</t>
        </is>
      </c>
      <c r="W37" s="5" t="n"/>
      <c r="X37" s="5" t="inlineStr">
        <is>
          <t>Open</t>
        </is>
      </c>
      <c r="Y37" s="5" t="n"/>
      <c r="Z37" s="15" t="inlineStr">
        <is>
          <t>Deferred</t>
        </is>
      </c>
      <c r="AA37" s="15" t="n"/>
      <c r="AB37" s="15" t="inlineStr">
        <is>
          <t>[b5cc0327] Edit validation shows 'Something went wrong'. Fix: differentiate client-side vs server errors in toast heading. ~5 LoC.</t>
        </is>
      </c>
      <c r="AC37" s="15" t="inlineStr">
        <is>
          <t>2026-10-12</t>
        </is>
      </c>
    </row>
    <row r="38">
      <c r="A38" s="5" t="inlineStr">
        <is>
          <t>BUG-037</t>
        </is>
      </c>
      <c r="B38" s="11" t="inlineStr">
        <is>
          <t>Low</t>
        </is>
      </c>
      <c r="C38" s="5" t="inlineStr">
        <is>
          <t>Usability</t>
        </is>
      </c>
      <c r="D38" s="5" t="inlineStr">
        <is>
          <t>Settings</t>
        </is>
      </c>
      <c r="E38" s="5" t="inlineStr">
        <is>
          <t>Organization &gt; Clients</t>
        </is>
      </c>
      <c r="F38" s="5" t="inlineStr">
        <is>
          <t>Clients list</t>
        </is>
      </c>
      <c r="G38" s="5" t="inlineStr">
        <is>
          <t>Toasts and messages (success, validation, server errors)</t>
        </is>
      </c>
      <c r="H38" s="5" t="inlineStr">
        <is>
          <t>Error toasts never time out: a failed-delete message was still on screen 38 minutes later, through navigation and other work</t>
        </is>
      </c>
      <c r="I38" s="5" t="inlineStr">
        <is>
          <t>1. Open Settings &gt; Clients (/settings/clients)
2. Scroll the table right, open the row menu on MKL246 and click Delete (it is refused because the client has orders)
3. Carry on working: open other Settings steps, edit a client, come back
4. Look at the bottom right of the window</t>
        </is>
      </c>
      <c r="J38" s="5" t="inlineStr">
        <is>
          <t>Toast 'Something went wrong - MKL246 has 404 pending order(s). Complete or void them before deleting.' raised at 09:37, still shown at 10:15</t>
        </is>
      </c>
      <c r="K38" s="5" t="inlineStr">
        <is>
          <t>An error message disappears on its own after a short time, like the green 'Done' toasts, or at the latest when the user moves to another screen.</t>
        </is>
      </c>
      <c r="L38" s="5" t="inlineStr">
        <is>
          <t>Red toasts stay until clicked away. They survive moving between wizard steps and back to the list, and they stack: three were on screen at once earlier in this run. Each one covers the bottom-right corner of the page.</t>
        </is>
      </c>
      <c r="M38" s="5" t="inlineStr">
        <is>
          <t>Green success toasts ('Markup saved for QA-1012-CL01.') do disappear by themselves, so only the error ones are affected. A 'Dismiss all' button appears once more than one is open.</t>
        </is>
      </c>
      <c r="N38" s="5" t="inlineStr">
        <is>
          <t>http://localhost:5173/settings/clients</t>
        </is>
      </c>
      <c r="O38" s="5" t="inlineStr">
        <is>
          <t>Always</t>
        </is>
      </c>
      <c r="P38" s="5" t="inlineStr">
        <is>
          <t>BUG-037.jpg</t>
        </is>
      </c>
      <c r="Q38" s="5" t="n"/>
      <c r="R38" s="5" t="inlineStr">
        <is>
          <t>admin (ADMIN)</t>
        </is>
      </c>
      <c r="S38" s="5" t="n"/>
      <c r="T38" s="5" t="inlineStr">
        <is>
          <t>2026-10-12</t>
        </is>
      </c>
      <c r="U38" s="5" t="inlineStr">
        <is>
          <t>R2</t>
        </is>
      </c>
      <c r="V38" s="5" t="inlineStr">
        <is>
          <t>S006</t>
        </is>
      </c>
      <c r="W38" s="5" t="n"/>
      <c r="X38" s="5" t="inlineStr">
        <is>
          <t>Open</t>
        </is>
      </c>
      <c r="Y38" s="5" t="n"/>
      <c r="Z38" s="15" t="inlineStr">
        <is>
          <t>Deferred</t>
        </is>
      </c>
      <c r="AA38" s="15" t="n"/>
      <c r="AB38" s="15" t="inlineStr">
        <is>
          <t>[b5cc0327] Error toasts never dismiss. Fix: notify.ts adds timeout 8000-15000 to showToast. ~2 LoC.</t>
        </is>
      </c>
      <c r="AC38" s="15" t="inlineStr">
        <is>
          <t>2026-10-12</t>
        </is>
      </c>
    </row>
    <row r="39">
      <c r="A39" s="5" t="inlineStr">
        <is>
          <t>BUG-038</t>
        </is>
      </c>
      <c r="B39" s="5" t="n"/>
      <c r="C39" s="5" t="inlineStr">
        <is>
          <t>Query</t>
        </is>
      </c>
      <c r="D39" s="5" t="inlineStr">
        <is>
          <t>Settings</t>
        </is>
      </c>
      <c r="E39" s="5" t="inlineStr">
        <is>
          <t>Organization &gt; Clients</t>
        </is>
      </c>
      <c r="F39" s="5" t="inlineStr">
        <is>
          <t>Clients list</t>
        </is>
      </c>
      <c r="G39" s="5" t="inlineStr">
        <is>
          <t>Export (CSV of current view)</t>
        </is>
      </c>
      <c r="H39" s="5" t="inlineStr">
        <is>
          <t>Clients Export: the button promises 'visible columns, filtered rows' but the request carries no column information, so hidden columns are unlikely to be left out</t>
        </is>
      </c>
      <c r="I39" s="5" t="inlineStr">
        <is>
          <t>1. Open Settings &gt; Clients (/settings/clients)
2. Hover over Export and read the tooltip
3. Click Export and look at the request the page sends
4. Type THB in the search box and click Export again
5. Hide the Contact column from the Columns menu and click Export again</t>
        </is>
      </c>
      <c r="J39" s="5" t="inlineStr">
        <is>
          <t>3 clients; search THB; Contact column hidden</t>
        </is>
      </c>
      <c r="K39" s="5" t="inlineStr">
        <is>
          <t>Either the CSV matches the view as the tooltip says, or the tooltip only promises what the export really does.</t>
        </is>
      </c>
      <c r="L39" s="5" t="inlineStr">
        <is>
          <t>The tooltip reads 'Export the current view as CSV - visible columns, filtered rows'. Rows are honoured: the request becomes /api/v1/clients/export.csv?sortBy=code&amp;sortDirection=ASC&amp;search=THB. Columns are not sent at all - the request is identical with the Contact column hidden - so the server cannot know which columns to leave out.</t>
        </is>
      </c>
      <c r="M39" s="5" t="inlineStr">
        <is>
          <t>Requests seen on Clients: .../export.csv?sortBy=code&amp;sortDirection=ASC and .../export.csv?sortBy=code&amp;sortDirection=ASC&amp;search=THB, both 200. The downloaded file itself could not be opened from this session, so the CSV content is not verified - please confirm with a file. The same button on Settings &gt; Warehouses behaves differently: no server call at all, the file is built in the page and fetched from a data: URL, so the two lists do not share an export path even though the tooltip is identical.</t>
        </is>
      </c>
      <c r="N39" s="5" t="inlineStr">
        <is>
          <t>http://localhost:5173/settings/clients</t>
        </is>
      </c>
      <c r="O39" s="5" t="inlineStr">
        <is>
          <t>Always</t>
        </is>
      </c>
      <c r="P39" s="5" t="inlineStr">
        <is>
          <t>Not captured</t>
        </is>
      </c>
      <c r="Q39" s="5" t="n"/>
      <c r="R39" s="5" t="inlineStr">
        <is>
          <t>admin (ADMIN)</t>
        </is>
      </c>
      <c r="S39" s="5" t="n"/>
      <c r="T39" s="5" t="inlineStr">
        <is>
          <t>2026-10-12</t>
        </is>
      </c>
      <c r="U39" s="5" t="inlineStr">
        <is>
          <t>R2</t>
        </is>
      </c>
      <c r="V39" s="5" t="inlineStr">
        <is>
          <t>S006</t>
        </is>
      </c>
      <c r="W39" s="5" t="n"/>
      <c r="X39" s="5" t="inlineStr">
        <is>
          <t>Open</t>
        </is>
      </c>
      <c r="Y39" s="5" t="n"/>
      <c r="Z39" s="15" t="inlineStr">
        <is>
          <t>Query answered</t>
        </is>
      </c>
      <c r="AA39" s="15" t="n"/>
      <c r="AB39" s="15" t="inlineStr">
        <is>
          <t>[ea6f10cd] By design: Clients Export CSV returns every column regardless of client-side 'Columns' selection. The visibility toggle is UI-only. Could add visibleColumns param to /api/v1/clients/export in a future PR.</t>
        </is>
      </c>
      <c r="AC39" s="15" t="inlineStr">
        <is>
          <t>2026-10-12</t>
        </is>
      </c>
    </row>
    <row r="40">
      <c r="A40" s="5" t="inlineStr">
        <is>
          <t>BUG-039</t>
        </is>
      </c>
      <c r="B40" s="11" t="inlineStr">
        <is>
          <t>Low</t>
        </is>
      </c>
      <c r="C40" s="5" t="inlineStr">
        <is>
          <t>UI</t>
        </is>
      </c>
      <c r="D40" s="5" t="inlineStr">
        <is>
          <t>Settings</t>
        </is>
      </c>
      <c r="E40" s="5" t="inlineStr">
        <is>
          <t>Organization &gt; Clients</t>
        </is>
      </c>
      <c r="F40" s="5" t="inlineStr">
        <is>
          <t>Client wizard (Add / Edit)</t>
        </is>
      </c>
      <c r="G40" s="5" t="inlineStr">
        <is>
          <t>Breadcrumb and browser tab title in the wizard</t>
        </is>
      </c>
      <c r="H40" s="5" t="inlineStr">
        <is>
          <t>Client wizard: the top breadcrumb still reads 'Settings' and the browser tab is always 'multiship-react', so neither says which client is open</t>
        </is>
      </c>
      <c r="I40" s="5" t="inlineStr">
        <is>
          <t>1. Open Settings &gt; Clients and click + Add Client (/settings/clients/new)
2. Look at the breadcrumb in the top bar and at the browser tab title
3. Open an existing client with the row menu &gt; Edit (/settings/clients/MKL246) and look again</t>
        </is>
      </c>
      <c r="J40" s="5" t="inlineStr">
        <is>
          <t>Pages /settings/clients, /settings/clients/new and /settings/clients/MKL246</t>
        </is>
      </c>
      <c r="K40" s="5" t="inlineStr">
        <is>
          <t>The breadcrumb follows the page, as it does on the list itself ('Settings &gt; Clients'), and the tab title names the screen and the record, so a user with several tabs open can tell them apart and a bookmark is meaningful.</t>
        </is>
      </c>
      <c r="L40" s="5" t="inlineStr">
        <is>
          <t>On both wizard pages the breadcrumb shows only 'Settings', losing the 'Clients' step and the client, even though the page header shows 'EDIT CLIENT - MKL (MKL246)'. The browser tab reads 'multiship-react' on every page in the application.</t>
        </is>
      </c>
      <c r="M40" s="5" t="inlineStr">
        <is>
          <t>document.title is 'multiship-react' on /settings/clients, /settings/clients/new and /settings/clients/MKL246.</t>
        </is>
      </c>
      <c r="N40" s="5" t="inlineStr">
        <is>
          <t>http://localhost:5173/settings/clients/new</t>
        </is>
      </c>
      <c r="O40" s="5" t="inlineStr">
        <is>
          <t>Always</t>
        </is>
      </c>
      <c r="P40" s="5" t="inlineStr">
        <is>
          <t>Not captured</t>
        </is>
      </c>
      <c r="Q40" s="5" t="n"/>
      <c r="R40" s="5" t="inlineStr">
        <is>
          <t>admin (ADMIN)</t>
        </is>
      </c>
      <c r="S40" s="5" t="n"/>
      <c r="T40" s="5" t="inlineStr">
        <is>
          <t>2026-10-12</t>
        </is>
      </c>
      <c r="U40" s="5" t="inlineStr">
        <is>
          <t>R2</t>
        </is>
      </c>
      <c r="V40" s="5" t="inlineStr">
        <is>
          <t>S040</t>
        </is>
      </c>
      <c r="W40" s="5" t="n"/>
      <c r="X40" s="5" t="inlineStr">
        <is>
          <t>Open</t>
        </is>
      </c>
      <c r="Y40" s="5" t="n"/>
      <c r="Z40" s="15" t="inlineStr">
        <is>
          <t>Deferred</t>
        </is>
      </c>
      <c r="AA40" s="15" t="n"/>
      <c r="AB40" s="15" t="inlineStr">
        <is>
          <t>[b5cc0327] Breadcrumb Settings + tab 'multiship-react'. Fix: ClientEditorPage useEffect sets document.title + breadcrumb picks up clientCode. ~5 LoC.</t>
        </is>
      </c>
      <c r="AC40" s="15" t="inlineStr">
        <is>
          <t>2026-10-12</t>
        </is>
      </c>
    </row>
    <row r="41">
      <c r="A41" s="5" t="inlineStr">
        <is>
          <t>BUG-040</t>
        </is>
      </c>
      <c r="B41" s="10" t="inlineStr">
        <is>
          <t>Medium</t>
        </is>
      </c>
      <c r="C41" s="5" t="inlineStr">
        <is>
          <t>Validation</t>
        </is>
      </c>
      <c r="D41" s="5" t="inlineStr">
        <is>
          <t>Settings</t>
        </is>
      </c>
      <c r="E41" s="5" t="inlineStr">
        <is>
          <t>Organization &gt; Warehouses</t>
        </is>
      </c>
      <c r="F41" s="5" t="inlineStr">
        <is>
          <t>Warehouses list</t>
        </is>
      </c>
      <c r="G41" s="5" t="inlineStr">
        <is>
          <t>Add / Edit warehouse panel: address fields and country</t>
        </is>
      </c>
      <c r="H41" s="5" t="inlineStr">
        <is>
          <t>Add warehouse accepts a state of 'ILLINOIS' and a 10-character postal code, although this is the ship-from address printed on every label</t>
        </is>
      </c>
      <c r="I41" s="5" t="inlineStr">
        <is>
          <t>1. Open Settings &gt; Warehouses and click + Add Warehouse
2. Fill Code QA-1012-WH01 and a name
3. Line 1 742 Evergreen Terrace, City Springfield
4. State / region: type ILLINOIS
5. Postal code: type 62704-1234
6. Phone +1 (217) 555-0100, Country US
7. Click Create warehouse</t>
        </is>
      </c>
      <c r="J41" s="5" t="inlineStr">
        <is>
          <t>Warehouse QA-1012-WH01, state ILLINOIS, postal code 62704-1234, country US</t>
        </is>
      </c>
      <c r="K41" s="5" t="inlineStr">
        <is>
          <t>The ship-from address is checked at least as strictly as the client's return address, which caps State at 2 characters for a US address and checks the postal code format. UPS and FedEx both need a 2-letter state code for US addresses, so 'ILLINOIS' will be refused at label time.</t>
        </is>
      </c>
      <c r="L41" s="5" t="inlineStr">
        <is>
          <t>No check at all. State / region accepts up to 50 characters with no format rule and no carrier hint, Postal code accepts up to 20 with no format rule. The warehouse saves and the list shows 'Springfield, ILLINOIS'. The same window on the client Return address step would have truncated both and shown an error.</t>
        </is>
      </c>
      <c r="M41" s="5" t="inlineStr">
        <is>
          <t>Input maxlengths on this panel: Code 50, Name 255, Line 1 255, Line 2 255, City 100, State 50, Postal code 20, Country 2, Phone 50. No per-carrier hints are shown, unlike the Return address step which shows 'max 2 chars - USPS', 'Format: 12345 or 12345-6789' and so on. Required fields are checked ('State / region is required.'), so only the content rules are missing.</t>
        </is>
      </c>
      <c r="N41" s="5" t="inlineStr">
        <is>
          <t>http://localhost:5173/settings/warehouses</t>
        </is>
      </c>
      <c r="O41" s="5" t="inlineStr">
        <is>
          <t>Always</t>
        </is>
      </c>
      <c r="P41" s="5" t="inlineStr">
        <is>
          <t>BUG-040.jpg, BUG-040-2.jpg</t>
        </is>
      </c>
      <c r="Q41" s="5" t="n"/>
      <c r="R41" s="5" t="inlineStr">
        <is>
          <t>admin (ADMIN)</t>
        </is>
      </c>
      <c r="S41" s="5" t="n"/>
      <c r="T41" s="5" t="inlineStr">
        <is>
          <t>2026-10-12</t>
        </is>
      </c>
      <c r="U41" s="5" t="inlineStr">
        <is>
          <t>R2</t>
        </is>
      </c>
      <c r="V41" s="5" t="inlineStr">
        <is>
          <t>S007</t>
        </is>
      </c>
      <c r="W41" s="5" t="n"/>
      <c r="X41" s="5" t="inlineStr">
        <is>
          <t>Open</t>
        </is>
      </c>
      <c r="Y41" s="5" t="n"/>
      <c r="Z41" s="15" t="inlineStr">
        <is>
          <t>Fixed on dev</t>
        </is>
      </c>
      <c r="AA41" s="15" t="n"/>
      <c r="AB41" s="15" t="inlineStr">
        <is>
          <t>[b5cc0327] Warehouse accepts ILLINOIS + 10-char postal. Fix: WarehouseEditorForm reuses intersectionAddressCaps + validateAddress like Client return. ~20 LoC.; [7c54d8f0] WAREHOUSE_CAPS = intersectionAddressCaps(all four carriers); state 2, zip 10; [63233cf4] WAREHOUSE_CAPS = intersectionAddressCaps(all four carriers); state 2, zip 10</t>
        </is>
      </c>
      <c r="AC41" s="15" t="inlineStr">
        <is>
          <t>2026-10-12</t>
        </is>
      </c>
    </row>
    <row r="42">
      <c r="A42" s="5" t="inlineStr">
        <is>
          <t>BUG-041</t>
        </is>
      </c>
      <c r="B42" s="10" t="inlineStr">
        <is>
          <t>Medium</t>
        </is>
      </c>
      <c r="C42" s="5" t="inlineStr">
        <is>
          <t>Functional</t>
        </is>
      </c>
      <c r="D42" s="5" t="inlineStr">
        <is>
          <t>Settings</t>
        </is>
      </c>
      <c r="E42" s="5" t="inlineStr">
        <is>
          <t>Organization &gt; Warehouses</t>
        </is>
      </c>
      <c r="F42" s="5" t="inlineStr">
        <is>
          <t>Warehouses list</t>
        </is>
      </c>
      <c r="G42" s="5" t="inlineStr">
        <is>
          <t>Row menu &gt; Attach clients</t>
        </is>
      </c>
      <c r="H42" s="5" t="inlineStr">
        <is>
          <t>Warehouses &gt; Attach clients: the dialog never shows which clients are already attached, and nothing on the screen can detach one</t>
        </is>
      </c>
      <c r="I42" s="5" t="inlineStr">
        <is>
          <t>1. Open Settings &gt; Warehouses
2. Scroll the table right, open the row menu on a warehouse and click Attach clients
3. Tick a client and click Attach - the Attached count goes up and 'Attached QA-1012-WH01 to 1 client.' is shown
4. Open the same row menu &gt; Attach clients again
5. Look for a way to undo the attachment anywhere on this screen</t>
        </is>
      </c>
      <c r="J42" s="5" t="inlineStr">
        <is>
          <t>Warehouse QA-1012-WH01 attached to client THB000</t>
        </is>
      </c>
      <c r="K42" s="5" t="inlineStr">
        <is>
          <t>The dialog shows the clients already attached, ticked or marked, so the user can see the current state; and an attachment made by mistake can be undone from the same place.</t>
        </is>
      </c>
      <c r="L42" s="5" t="inlineStr">
        <is>
          <t>Both clients are shown unticked every time, with no sign that THB000 is attached - the only clue is the Attached count in the grid. The subtitle says 'Existing attachments are unaffected', so the dialog only ever adds. The row menu offers Attach clients, Edit and Delete only, and the Edit panel does not list attachments either, so an attachment can be created here but never removed.</t>
        </is>
      </c>
      <c r="M42" s="5" t="inlineStr">
        <is>
          <t>Ticking a client also reveals 'Set as this client's default warehouse', which silently changes that client's default - another reason the current state needs to be visible. The only way found to change it is the client's own Ship From step.</t>
        </is>
      </c>
      <c r="N42" s="5" t="inlineStr">
        <is>
          <t>http://localhost:5173/settings/warehouses</t>
        </is>
      </c>
      <c r="O42" s="5" t="inlineStr">
        <is>
          <t>Always</t>
        </is>
      </c>
      <c r="P42" s="5" t="inlineStr">
        <is>
          <t>BUG-041.jpg</t>
        </is>
      </c>
      <c r="Q42" s="5" t="n"/>
      <c r="R42" s="5" t="inlineStr">
        <is>
          <t>admin (ADMIN)</t>
        </is>
      </c>
      <c r="S42" s="5" t="n"/>
      <c r="T42" s="5" t="inlineStr">
        <is>
          <t>2026-10-12</t>
        </is>
      </c>
      <c r="U42" s="5" t="inlineStr">
        <is>
          <t>R2</t>
        </is>
      </c>
      <c r="V42" s="5" t="inlineStr">
        <is>
          <t>S007</t>
        </is>
      </c>
      <c r="W42" s="5" t="n"/>
      <c r="X42" s="5" t="inlineStr">
        <is>
          <t>Open</t>
        </is>
      </c>
      <c r="Y42" s="5" t="n"/>
      <c r="Z42" s="15" t="inlineStr">
        <is>
          <t>Fixed on dev</t>
        </is>
      </c>
      <c r="AA42" s="15" t="n"/>
      <c r="AB42" s="15" t="inlineStr">
        <is>
          <t>[b5cc0327] Attach-clients dialog no show-attached + no detach. Fix: load warehouse.attachedClients + render Detach next to Attach. ~30 LoC.; [15a5ba88] New GET /warehouses/{code}/clients + FE badges + Detach</t>
        </is>
      </c>
      <c r="AC42" s="15" t="inlineStr">
        <is>
          <t>2026-10-12</t>
        </is>
      </c>
    </row>
    <row r="43">
      <c r="A43" s="5" t="inlineStr">
        <is>
          <t>BUG-042</t>
        </is>
      </c>
      <c r="B43" s="11" t="inlineStr">
        <is>
          <t>Low</t>
        </is>
      </c>
      <c r="C43" s="5" t="inlineStr">
        <is>
          <t>Content</t>
        </is>
      </c>
      <c r="D43" s="5" t="inlineStr">
        <is>
          <t>Settings</t>
        </is>
      </c>
      <c r="E43" s="5" t="inlineStr">
        <is>
          <t>Organization &gt; Warehouses</t>
        </is>
      </c>
      <c r="F43" s="5" t="inlineStr">
        <is>
          <t>Warehouses list</t>
        </is>
      </c>
      <c r="G43" s="5" t="inlineStr">
        <is>
          <t>Add / Edit warehouse panel: carrier address Verify</t>
        </is>
      </c>
      <c r="H43" s="5" t="inlineStr">
        <is>
          <t>Warehouse address Verify reports the raw status NOT_SUPPORTED, and the green tick icon makes a refusal look like a pass</t>
        </is>
      </c>
      <c r="I43" s="5" t="inlineStr">
        <is>
          <t>1. Open Settings &gt; Warehouses, open a warehouse with the row menu &gt; Edit
2. Next to ADDRESS pick carrier UPS and click Verify
3. Repeat with FEDEX and with USPS</t>
        </is>
      </c>
      <c r="J43" s="5" t="inlineStr">
        <is>
          <t>Warehouse QA-1012-WH01, 742 Evergreen Terrace, Springfield, ILLINOIS, 62704-1234, US; carriers UPS, FEDEX, USPS</t>
        </is>
      </c>
      <c r="K43" s="5" t="inlineStr">
        <is>
          <t>The result is written for the user, and an address that was not checked does not carry a success tick.</t>
        </is>
      </c>
      <c r="L43" s="5" t="inlineStr">
        <is>
          <t>Each result line reads '&lt;CARRIER&gt; - NOT_SUPPORTED' with a green circled-tick icon in front of it. UPS and FedEx add 'No live credentials for &lt;carrier&gt; - cannot call address validation.'; USPS adds 'SERA address validation needs live credentials; the account is on a fallback token.' The explanations are clear, but the raw enum and the tick icon together read as though the address passed.</t>
        </is>
      </c>
      <c r="M43" s="5" t="inlineStr">
        <is>
          <t>POST /api/v1/addresses/validate/carrier -&gt; 200 for each of the three carriers; no carrier was actually contacted, because the sandbox accounts have no live address-validation credentials. The address itself (state 'ILLINOIS') therefore went unchecked - see BUG-040. Each result has its own Dismiss link.</t>
        </is>
      </c>
      <c r="N43" s="5" t="inlineStr">
        <is>
          <t>http://localhost:5173/settings/warehouses</t>
        </is>
      </c>
      <c r="O43" s="5" t="inlineStr">
        <is>
          <t>Always</t>
        </is>
      </c>
      <c r="P43" s="5" t="inlineStr">
        <is>
          <t>BUG-042.jpg</t>
        </is>
      </c>
      <c r="Q43" s="5" t="n"/>
      <c r="R43" s="5" t="inlineStr">
        <is>
          <t>admin (ADMIN)</t>
        </is>
      </c>
      <c r="S43" s="5" t="n"/>
      <c r="T43" s="5" t="inlineStr">
        <is>
          <t>2026-10-12</t>
        </is>
      </c>
      <c r="U43" s="5" t="inlineStr">
        <is>
          <t>R2</t>
        </is>
      </c>
      <c r="V43" s="5" t="inlineStr">
        <is>
          <t>S007</t>
        </is>
      </c>
      <c r="W43" s="5" t="n"/>
      <c r="X43" s="5" t="inlineStr">
        <is>
          <t>Open</t>
        </is>
      </c>
      <c r="Y43" s="5" t="n"/>
      <c r="Z43" s="15" t="inlineStr">
        <is>
          <t>Deferred</t>
        </is>
      </c>
      <c r="AA43" s="15" t="n"/>
      <c r="AB43" s="15" t="inlineStr">
        <is>
          <t>[b5cc0327] Verify shows NOT_SUPPORTED with green tick. Fix: when status NOT_SUPPORTED, grey/yellow icon + 'Verification not supported'. ~5 LoC.</t>
        </is>
      </c>
      <c r="AC43" s="15" t="inlineStr">
        <is>
          <t>2026-10-12</t>
        </is>
      </c>
    </row>
    <row r="44">
      <c r="A44" s="5" t="inlineStr">
        <is>
          <t>BUG-043</t>
        </is>
      </c>
      <c r="B44" s="10" t="inlineStr">
        <is>
          <t>Medium</t>
        </is>
      </c>
      <c r="C44" s="5" t="inlineStr">
        <is>
          <t>Usability</t>
        </is>
      </c>
      <c r="D44" s="5" t="inlineStr">
        <is>
          <t>Settings</t>
        </is>
      </c>
      <c r="E44" s="5" t="inlineStr">
        <is>
          <t>Organization &gt; Warehouses</t>
        </is>
      </c>
      <c r="F44" s="5" t="inlineStr">
        <is>
          <t>Warehouses list</t>
        </is>
      </c>
      <c r="G44" s="5" t="inlineStr">
        <is>
          <t>Status toggle (Activate / Deactivate warehouse)</t>
        </is>
      </c>
      <c r="H44" s="5" t="inlineStr">
        <is>
          <t>Deactivating a warehouse that clients ship from happens on one click, with no warning - the same action on a client asks first and lists the cascade</t>
        </is>
      </c>
      <c r="I44" s="5" t="inlineStr">
        <is>
          <t>1. Open Settings &gt; Warehouses
2. Pick a warehouse with a number greater than 0 in the Attached column
3. Click its Status toggle</t>
        </is>
      </c>
      <c r="J44" s="5" t="inlineStr">
        <is>
          <t>Warehouse QA-1012-WH01, Attached = 1 (client THB000)</t>
        </is>
      </c>
      <c r="K44" s="5" t="inlineStr">
        <is>
          <t>The same care as on the Clients screen, where Deactivate asks 'Deactivate QA-1012-CL01?' and lists what else it will disable. The panel's own wording - 'inactive warehouses are hidden from shipment resolution' - means this can stop a client shipping.</t>
        </is>
      </c>
      <c r="L44" s="5" t="inlineStr">
        <is>
          <t>One click and it is done: the row turns Inactive and a green toast says 'QA-1012-WH01 is now inactive.' Nothing is asked, and the attached clients are not mentioned even though the Attached column shows 1.</t>
        </is>
      </c>
      <c r="M44" s="5" t="inlineStr">
        <is>
          <t>Re-activating is also a single click. The toast prints the status in lower case here ('is now inactive.') and in upper case on the Clients screen ('is now ACTIVE.').</t>
        </is>
      </c>
      <c r="N44" s="5" t="inlineStr">
        <is>
          <t>http://localhost:5173/settings/warehouses</t>
        </is>
      </c>
      <c r="O44" s="5" t="inlineStr">
        <is>
          <t>Always</t>
        </is>
      </c>
      <c r="P44" s="5" t="inlineStr">
        <is>
          <t>BUG-043.jpg</t>
        </is>
      </c>
      <c r="Q44" s="5" t="n"/>
      <c r="R44" s="5" t="inlineStr">
        <is>
          <t>admin (ADMIN)</t>
        </is>
      </c>
      <c r="S44" s="5" t="n"/>
      <c r="T44" s="5" t="inlineStr">
        <is>
          <t>2026-10-12</t>
        </is>
      </c>
      <c r="U44" s="5" t="inlineStr">
        <is>
          <t>R2</t>
        </is>
      </c>
      <c r="V44" s="5" t="inlineStr">
        <is>
          <t>S007</t>
        </is>
      </c>
      <c r="W44" s="5" t="n"/>
      <c r="X44" s="5" t="inlineStr">
        <is>
          <t>Open</t>
        </is>
      </c>
      <c r="Y44" s="5" t="n"/>
      <c r="Z44" s="15" t="inlineStr">
        <is>
          <t>Fixed on dev</t>
        </is>
      </c>
      <c r="AA44" s="15" t="n"/>
      <c r="AB44" s="15" t="inlineStr">
        <is>
          <t>[b5cc0327] Warehouse deactivate one-click no warning. Fix: confirm dialog listing dependent orders - same pattern as client-delete. ~15 LoC.; [65ead2d3] notify.confirm before Deactivate; names attached-client count</t>
        </is>
      </c>
      <c r="AC44" s="15" t="inlineStr">
        <is>
          <t>2026-10-12</t>
        </is>
      </c>
    </row>
    <row r="45">
      <c r="A45" s="5" t="inlineStr">
        <is>
          <t>BUG-044</t>
        </is>
      </c>
      <c r="B45" s="9" t="inlineStr">
        <is>
          <t>High</t>
        </is>
      </c>
      <c r="C45" s="5" t="inlineStr">
        <is>
          <t>Functional</t>
        </is>
      </c>
      <c r="D45" s="5" t="inlineStr">
        <is>
          <t>Settings</t>
        </is>
      </c>
      <c r="E45" s="5" t="inlineStr">
        <is>
          <t>Organization &gt; Address book</t>
        </is>
      </c>
      <c r="F45" s="5" t="inlineStr">
        <is>
          <t>Address book list</t>
        </is>
      </c>
      <c r="G45" s="5" t="inlineStr">
        <is>
          <t>Page header and list load</t>
        </is>
      </c>
      <c r="H45" s="5" t="inlineStr">
        <is>
          <t>Settings &gt; Address book never loads: its only data call returns 500 every time, and the page shows the 'No saved addresses yet' empty state as though the book were empty</t>
        </is>
      </c>
      <c r="I45" s="5" t="inlineStr">
        <is>
          <t>1. Open Settings &gt; Address book (/settings/address-book)
2. Wait for the page to settle and read the two red toasts
3. Click Refresh at the top right
4. Watch the request the page makes</t>
        </is>
      </c>
      <c r="J45" s="5" t="inlineStr">
        <is>
          <t>No test data needed - the failure is on page load</t>
        </is>
      </c>
      <c r="K45" s="5" t="inlineStr">
        <is>
          <t>The saved addresses are listed, or, if the call fails, the grid says the list could not be loaded and offers a retry - not a message that says there are none.</t>
        </is>
      </c>
      <c r="L45" s="5" t="inlineStr">
        <is>
          <t>GET /api/v1/recipients?page=0&amp;size=25 returns 500 on every attempt. The grid shows 'No saved addresses yet. Add one here, or use "Save to address book" in Ship to on a new shipment.' On the first load two red toasts appear ('Something went wrong on the server... contact support with reference 4afd47af'), but on Refresh the call fails again with no message at all, so the page quietly claims the address book is empty. There is no way to tell from the screen whether there are no addresses or whether the list failed to load.</t>
        </is>
      </c>
      <c r="M45" s="5" t="inlineStr">
        <is>
          <t>Every read of the address book fails and every failure is drawn as an empty state. GET /api/v1/recipients?page 0&amp;size 25 -&gt; 500 (twice on load, twice on Refresh - the page calls it twice each time). The search sends GET /api/v1/recipients?q QA-1012&amp;page 0&amp;size 25 -&gt; 502 and the grid reads 'No saved addresses match "QA-1012".' The client filter sends GET /api/v1/recipients?customerNo MKL246&amp;page 0&amp;size 25 -&gt; 502 and the grid reads 'No saved addresses yet.' First-load toast text: 'Something went wrong on the server. Please try again in a moment. If this keeps happening, contact support with reference 4afd47af.' Further references seen: 51350c06, 9da70cce. No browser console errors. The whole screen is unusable, so none of its controls could be checked against real rows.</t>
        </is>
      </c>
      <c r="N45" s="5" t="inlineStr">
        <is>
          <t>http://localhost:5173/settings/address-book</t>
        </is>
      </c>
      <c r="O45" s="5" t="inlineStr">
        <is>
          <t>Always</t>
        </is>
      </c>
      <c r="P45" s="5" t="inlineStr">
        <is>
          <t>BUG-044.jpg, BUG-044-2.jpg</t>
        </is>
      </c>
      <c r="Q45" s="5" t="n"/>
      <c r="R45" s="5" t="inlineStr">
        <is>
          <t>admin (ADMIN)</t>
        </is>
      </c>
      <c r="S45" s="5" t="n"/>
      <c r="T45" s="5" t="inlineStr">
        <is>
          <t>2026-10-12</t>
        </is>
      </c>
      <c r="U45" s="5" t="inlineStr">
        <is>
          <t>R2</t>
        </is>
      </c>
      <c r="V45" s="5" t="inlineStr">
        <is>
          <t>S008</t>
        </is>
      </c>
      <c r="W45" s="5" t="n"/>
      <c r="X45" s="5" t="inlineStr">
        <is>
          <t>Open</t>
        </is>
      </c>
      <c r="Y45" s="5" t="n"/>
      <c r="Z45" s="15" t="inlineStr">
        <is>
          <t>Needs reproduce on current build</t>
        </is>
      </c>
      <c r="AA45" s="15" t="n"/>
      <c r="AB45" s="15" t="inlineStr">
        <is>
          <t>[d282b2c0] Current dev @ HEAD returns HTTP 200 for every GET /api/v1/recipients variant I tested (q='', 'test', '%', customerNo variants). Likely transient on QA build; please retry; if still 500, capture backend stack trace.</t>
        </is>
      </c>
      <c r="AC45" s="15" t="inlineStr">
        <is>
          <t>2026-10-12</t>
        </is>
      </c>
    </row>
    <row r="46">
      <c r="A46" s="5" t="inlineStr">
        <is>
          <t>BUG-045</t>
        </is>
      </c>
      <c r="B46" s="9" t="inlineStr">
        <is>
          <t>High</t>
        </is>
      </c>
      <c r="C46" s="5" t="inlineStr">
        <is>
          <t>Data integrity</t>
        </is>
      </c>
      <c r="D46" s="5" t="inlineStr">
        <is>
          <t>Settings</t>
        </is>
      </c>
      <c r="E46" s="5" t="inlineStr">
        <is>
          <t>Organization &gt; Address book</t>
        </is>
      </c>
      <c r="F46" s="5" t="inlineStr">
        <is>
          <t>Address book list</t>
        </is>
      </c>
      <c r="G46" s="5" t="inlineStr">
        <is>
          <t>Add / Edit address form</t>
        </is>
      </c>
      <c r="H46" s="5" t="inlineStr">
        <is>
          <t>Address book: a saved address is reported as a server failure, because the list reload that follows the save is what actually fails</t>
        </is>
      </c>
      <c r="I46" s="5" t="inlineStr">
        <is>
          <t>1. Open Settings &gt; Address book (/settings/address-book)
2. Click + Add address
3. Fill Name QA-1012 Test Recipient, Street 290 Bremner Blvd, City Chicago, State IL, Postal code 60601, Country United States
4. Click Save address
5. Read the toast and the grid</t>
        </is>
      </c>
      <c r="J46" s="5" t="inlineStr">
        <is>
          <t>Shared address 'QA-1012 Test Recipient', 290 Bremner Blvd, Chicago, IL 60601, US</t>
        </is>
      </c>
      <c r="K46" s="5" t="inlineStr">
        <is>
          <t>A save that succeeded is reported as a success. If the list cannot be reloaded afterwards, that is reported separately and does not cast doubt on the save.</t>
        </is>
      </c>
      <c r="L46" s="5" t="inlineStr">
        <is>
          <t>POST /api/v1/recipients returns 200 - the address is created - but the dialog closes onto a red 'Something went wrong on the server... contact support with reference 9da70cce' and the grid still reads 'No saved addresses yet'. Everything on screen says the save failed. The failure is really the GET that follows it (BUG-044). A user will save again, and again, each time creating another copy they cannot see.</t>
        </is>
      </c>
      <c r="M46" s="5" t="inlineStr">
        <is>
          <t>POST /api/v1/recipients -&gt; 200, then GET /api/v1/recipients?page 0&amp;size 25 -&gt; 500. One address was created during this test and cannot be seen or deleted from the UI while the list call fails: 'QA-1012 Test Recipient', shared with every client.</t>
        </is>
      </c>
      <c r="N46" s="5" t="inlineStr">
        <is>
          <t>http://localhost:5173/settings/address-book</t>
        </is>
      </c>
      <c r="O46" s="5" t="inlineStr">
        <is>
          <t>Always</t>
        </is>
      </c>
      <c r="P46" s="5" t="inlineStr">
        <is>
          <t>BUG-045.jpg</t>
        </is>
      </c>
      <c r="Q46" s="5" t="n"/>
      <c r="R46" s="5" t="inlineStr">
        <is>
          <t>admin (ADMIN)</t>
        </is>
      </c>
      <c r="S46" s="5" t="n"/>
      <c r="T46" s="5" t="inlineStr">
        <is>
          <t>2026-10-12</t>
        </is>
      </c>
      <c r="U46" s="5" t="inlineStr">
        <is>
          <t>R2</t>
        </is>
      </c>
      <c r="V46" s="5" t="inlineStr">
        <is>
          <t>S008</t>
        </is>
      </c>
      <c r="W46" s="5" t="n"/>
      <c r="X46" s="5" t="inlineStr">
        <is>
          <t>Open</t>
        </is>
      </c>
      <c r="Y46" s="5" t="n"/>
      <c r="Z46" s="15" t="inlineStr">
        <is>
          <t>Needs reproduce on current build</t>
        </is>
      </c>
      <c r="AA46" s="15" t="n"/>
      <c r="AB46" s="15" t="inlineStr">
        <is>
          <t>[d282b2c0] Related to BUG-044. Save POST + reload GET both pass on current build. Capture failure stack if it recurs.</t>
        </is>
      </c>
      <c r="AC46" s="15" t="inlineStr">
        <is>
          <t>2026-10-12</t>
        </is>
      </c>
    </row>
    <row r="47">
      <c r="A47" s="5" t="inlineStr">
        <is>
          <t>BUG-046</t>
        </is>
      </c>
      <c r="B47" s="5" t="n"/>
      <c r="C47" s="5" t="inlineStr">
        <is>
          <t>Query</t>
        </is>
      </c>
      <c r="D47" s="5" t="inlineStr">
        <is>
          <t>Settings</t>
        </is>
      </c>
      <c r="E47" s="5" t="inlineStr">
        <is>
          <t>Organization &gt; Clients</t>
        </is>
      </c>
      <c r="F47" s="5" t="inlineStr">
        <is>
          <t>Client wizard (Add / Edit)</t>
        </is>
      </c>
      <c r="G47" s="5" t="inlineStr">
        <is>
          <t>Defaults &gt; Origin country</t>
        </is>
      </c>
      <c r="H47" s="5" t="inlineStr">
        <is>
          <t>Country lists differ across Settings: the client's default Origin country offers 12 countries, the address book offers 250</t>
        </is>
      </c>
      <c r="I47" s="5" t="inlineStr">
        <is>
          <t>1. Open Settings &gt; Clients &gt; + Add Client and open the Defaults &gt; Origin country list on step 1
2. Open Settings &gt; Address book &gt; + Add address and open the Country list</t>
        </is>
      </c>
      <c r="J47" s="5" t="inlineStr">
        <is>
          <t>No data needed - the two lists are compared as shown</t>
        </is>
      </c>
      <c r="K47" s="5" t="inlineStr">
        <is>
          <t>One country list, taken from Settings &gt; Countries, so a client whose goods originate outside those 12 can be set up, and the two screens agree.</t>
        </is>
      </c>
      <c r="L47" s="5" t="inlineStr">
        <is>
          <t>Origin country on the client wizard has 13 entries: '- none -' plus US, CA, MX, GB, DE, FR, IN, CN, AU, JP, AE, SG. The address book Country list has 250. The warehouse panel takes a free-typed ISO-2 code instead, with no list at all - three different approaches to the same field in one settings area.</t>
        </is>
      </c>
      <c r="M47" s="5" t="inlineStr">
        <is>
          <t>Counted from the select options on each screen. Whether the 12 are a deliberate shortlist of supported origins is the question - if so it is worth saying so on the field, since a client with an origin outside the list cannot be set up at all.</t>
        </is>
      </c>
      <c r="N47" s="5" t="inlineStr">
        <is>
          <t>http://localhost:5173/settings/clients/new</t>
        </is>
      </c>
      <c r="O47" s="5" t="inlineStr">
        <is>
          <t>Always</t>
        </is>
      </c>
      <c r="P47" s="5" t="inlineStr">
        <is>
          <t>Not captured</t>
        </is>
      </c>
      <c r="Q47" s="5" t="n"/>
      <c r="R47" s="5" t="inlineStr">
        <is>
          <t>admin (ADMIN)</t>
        </is>
      </c>
      <c r="S47" s="5" t="n"/>
      <c r="T47" s="5" t="inlineStr">
        <is>
          <t>2026-10-12</t>
        </is>
      </c>
      <c r="U47" s="5" t="inlineStr">
        <is>
          <t>R2</t>
        </is>
      </c>
      <c r="V47" s="5" t="inlineStr">
        <is>
          <t>S040</t>
        </is>
      </c>
      <c r="W47" s="5" t="n"/>
      <c r="X47" s="5" t="inlineStr">
        <is>
          <t>Open</t>
        </is>
      </c>
      <c r="Y47" s="5" t="n"/>
      <c r="Z47" s="15" t="inlineStr">
        <is>
          <t>Won't fix (by design)</t>
        </is>
      </c>
      <c r="AA47" s="15" t="n"/>
      <c r="AB47" s="15" t="inlineStr">
        <is>
          <t>[ea6f10cd] Client default Origin country uses a curated 12-country list of carrier-supported origins. Address book accepts the full ISO list because operators record foreign recipients that we never ship FROM. Different lists on purpose.</t>
        </is>
      </c>
      <c r="AC47" s="15" t="inlineStr">
        <is>
          <t>2026-10-12</t>
        </is>
      </c>
    </row>
    <row r="48">
      <c r="A48" s="5" t="inlineStr">
        <is>
          <t>BUG-047</t>
        </is>
      </c>
      <c r="B48" s="11" t="inlineStr">
        <is>
          <t>Low</t>
        </is>
      </c>
      <c r="C48" s="5" t="inlineStr">
        <is>
          <t>Performance</t>
        </is>
      </c>
      <c r="D48" s="5" t="inlineStr">
        <is>
          <t>Settings</t>
        </is>
      </c>
      <c r="E48" s="5" t="inlineStr">
        <is>
          <t>Organization &gt; Users</t>
        </is>
      </c>
      <c r="F48" s="5" t="inlineStr">
        <is>
          <t>Users list</t>
        </is>
      </c>
      <c r="G48" s="5" t="inlineStr">
        <is>
          <t>Search username, email, name</t>
        </is>
      </c>
      <c r="H48" s="5" t="inlineStr">
        <is>
          <t>Users search is not debounced: every keystroke sends a search request and a second request that reloads the audit list</t>
        </is>
      </c>
      <c r="I48" s="5" t="inlineStr">
        <is>
          <t>1. Open Settings &gt; Users (/settings/users)
2. Type manoj into 'Search username, email, name...' at a normal typing speed
3. Watch the requests the page sends</t>
        </is>
      </c>
      <c r="J48" s="5" t="inlineStr">
        <is>
          <t>Search term 'manoj' (5 characters)</t>
        </is>
      </c>
      <c r="K48" s="5" t="inlineStr">
        <is>
          <t>The search waits for a pause before asking the server, the way the Clients and Warehouses lists do - one request per settled term.</t>
        </is>
      </c>
      <c r="L48" s="5" t="inlineStr">
        <is>
          <t>Ten requests for five characters: GET /api/v1/admin/users?search=m, ...search=ma, ...search=man and so on, each followed by GET /api/v1/admin/users/audit?limit=50. The audit list has nothing to do with the search term and is reloaded every time.</t>
        </is>
      </c>
      <c r="M48" s="5" t="inlineStr">
        <is>
          <t>53 requests were captured over a short search session on this screen. The Clients list sends one request per settled term for the same kind of search box, so the two behave differently.</t>
        </is>
      </c>
      <c r="N48" s="5" t="inlineStr">
        <is>
          <t>http://localhost:5173/settings/users</t>
        </is>
      </c>
      <c r="O48" s="5" t="inlineStr">
        <is>
          <t>Always</t>
        </is>
      </c>
      <c r="P48" s="5" t="inlineStr">
        <is>
          <t>Not captured</t>
        </is>
      </c>
      <c r="Q48" s="5" t="n"/>
      <c r="R48" s="5" t="inlineStr">
        <is>
          <t>admin (ADMIN)</t>
        </is>
      </c>
      <c r="S48" s="5" t="n"/>
      <c r="T48" s="5" t="inlineStr">
        <is>
          <t>2026-10-12</t>
        </is>
      </c>
      <c r="U48" s="5" t="inlineStr">
        <is>
          <t>R2</t>
        </is>
      </c>
      <c r="V48" s="5" t="inlineStr">
        <is>
          <t>S009</t>
        </is>
      </c>
      <c r="W48" s="5" t="n"/>
      <c r="X48" s="5" t="inlineStr">
        <is>
          <t>Open</t>
        </is>
      </c>
      <c r="Y48" s="5" t="n"/>
      <c r="Z48" s="15" t="inlineStr">
        <is>
          <t>Deferred</t>
        </is>
      </c>
      <c r="AA48" s="15" t="n"/>
      <c r="AB48" s="15" t="inlineStr">
        <is>
          <t>[b5cc0327] Users search no debounce. Fix: useDeferredValue or 250ms debounce. ~5 LoC.</t>
        </is>
      </c>
      <c r="AC48" s="15" t="inlineStr">
        <is>
          <t>2026-10-12</t>
        </is>
      </c>
    </row>
    <row r="49">
      <c r="A49" s="5" t="inlineStr">
        <is>
          <t>BUG-048</t>
        </is>
      </c>
      <c r="B49" s="11" t="inlineStr">
        <is>
          <t>Low</t>
        </is>
      </c>
      <c r="C49" s="5" t="inlineStr">
        <is>
          <t>Content</t>
        </is>
      </c>
      <c r="D49" s="5" t="inlineStr">
        <is>
          <t>Settings</t>
        </is>
      </c>
      <c r="E49" s="5" t="inlineStr">
        <is>
          <t>Organization &gt; Users</t>
        </is>
      </c>
      <c r="F49" s="5" t="inlineStr">
        <is>
          <t>Users list</t>
        </is>
      </c>
      <c r="G49" s="5" t="inlineStr">
        <is>
          <t>Invite user form (fields, validation, send)</t>
        </is>
      </c>
      <c r="H49" s="5" t="inlineStr">
        <is>
          <t>Invite user: a bad email address is reported under the heading 'This shipment needs attention', with the raw field message repeated underneath</t>
        </is>
      </c>
      <c r="I49" s="5" t="inlineStr">
        <is>
          <t>1. Open Settings &gt; Users (/settings/users)
2. Click Invite user
3. Type not-an-email in Email and pick client THB000
4. Click Send invite</t>
        </is>
      </c>
      <c r="J49" s="5" t="inlineStr">
        <is>
          <t>Email 'not-an-email', client THB000, role USER</t>
        </is>
      </c>
      <c r="K49" s="5" t="inlineStr">
        <is>
          <t>A message about the user being invited, shown once, in words: for example 'Enter a valid email address'. Nothing about shipments.</t>
        </is>
      </c>
      <c r="L49" s="5" t="inlineStr">
        <is>
          <t>A red toast headed 'This shipment needs attention' with two lines: 'Email must be a well-formed email address.' and 'email - must be a well-formed email address'. The heading belongs to the shipment screens, and the second line is the raw field-and-message pair repeated.</t>
        </is>
      </c>
      <c r="M49" s="5" t="inlineStr">
        <is>
          <t>No request is sent, so the check is in the page. The same dialog with an empty form shows a third heading, 'Something went wrong - Email and client are required.' - so one small form produces three different heading styles, none of which marks the field itself.</t>
        </is>
      </c>
      <c r="N49" s="5" t="inlineStr">
        <is>
          <t>http://localhost:5173/settings/users</t>
        </is>
      </c>
      <c r="O49" s="5" t="inlineStr">
        <is>
          <t>Always</t>
        </is>
      </c>
      <c r="P49" s="5" t="inlineStr">
        <is>
          <t>BUG-048.jpg</t>
        </is>
      </c>
      <c r="Q49" s="5" t="n"/>
      <c r="R49" s="5" t="inlineStr">
        <is>
          <t>admin (ADMIN)</t>
        </is>
      </c>
      <c r="S49" s="5" t="n"/>
      <c r="T49" s="5" t="inlineStr">
        <is>
          <t>2026-10-12</t>
        </is>
      </c>
      <c r="U49" s="5" t="inlineStr">
        <is>
          <t>R2</t>
        </is>
      </c>
      <c r="V49" s="5" t="inlineStr">
        <is>
          <t>S009</t>
        </is>
      </c>
      <c r="W49" s="5" t="n"/>
      <c r="X49" s="5" t="inlineStr">
        <is>
          <t>Open</t>
        </is>
      </c>
      <c r="Y49" s="5" t="n"/>
      <c r="Z49" s="15" t="inlineStr">
        <is>
          <t>Deferred</t>
        </is>
      </c>
      <c r="AA49" s="15" t="n"/>
      <c r="AB49" s="15" t="inlineStr">
        <is>
          <t>[b5cc0327] Invite error under 'This shipment' heading. Fix: parameterise shared field-errors modal heading. ~3 LoC.</t>
        </is>
      </c>
      <c r="AC49" s="15" t="inlineStr">
        <is>
          <t>2026-10-12</t>
        </is>
      </c>
    </row>
    <row r="50">
      <c r="A50" s="5" t="inlineStr">
        <is>
          <t>BUG-049</t>
        </is>
      </c>
      <c r="B50" s="11" t="inlineStr">
        <is>
          <t>Low</t>
        </is>
      </c>
      <c r="C50" s="5" t="inlineStr">
        <is>
          <t>Content</t>
        </is>
      </c>
      <c r="D50" s="5" t="inlineStr">
        <is>
          <t>Settings</t>
        </is>
      </c>
      <c r="E50" s="5" t="inlineStr">
        <is>
          <t>Organization &gt; Users</t>
        </is>
      </c>
      <c r="F50" s="5" t="inlineStr">
        <is>
          <t>Users list</t>
        </is>
      </c>
      <c r="G50" s="5" t="inlineStr">
        <is>
          <t>Page header and description</t>
        </is>
      </c>
      <c r="H50" s="5" t="inlineStr">
        <is>
          <t>Internal developer notes are printed in the page descriptions users read: sprint numbers, database column names and a to-do</t>
        </is>
      </c>
      <c r="I50" s="5" t="inlineStr">
        <is>
          <t>1. Open Settings &gt; Users (/settings/users) and read the page description and the panel description
2. Open Settings &gt; Mail (/settings/mail) and read the page description
3. Open Settings &gt; Roles (/settings/roles) and read the page description</t>
        </is>
      </c>
      <c r="J50" s="5" t="inlineStr">
        <is>
          <t>No data needed - the text is part of the page</t>
        </is>
      </c>
      <c r="K50" s="5" t="inlineStr">
        <is>
          <t>The description tells the user what the screen is for. Sprint numbers, column names and internal to-dos belong in the backlog.</t>
        </is>
      </c>
      <c r="L50" s="5" t="inlineStr">
        <is>
          <t>Users, page description: 'Assign each USER account to a client, deactivate revoked accounts, and audit the changes. Backfill client_code before flipping the tenant-scope flag.' Users, panel description: '...Sprint 50 rollout: every legacy USER should be assigned a client before the tenant-scope flag is flipped.' Mail, page description: '...pick SMTP today (SendGrid/SES/Postmark coming), edit host/port/creds, and send a live test message. Config lives in mail_provider + mail_config.' Roles, page description: 'Platform-wide role registry. Read-only; add roles via SQL today.'</t>
        </is>
      </c>
      <c r="M50" s="5" t="inlineStr">
        <is>
          <t>'client_code', 'mail_provider' and 'mail_config' are database identifiers; 'Sprint 50 rollout' and 'SendGrid/SES/Postmark coming' are roadmap notes. Other Settings pages are written for the user ('Customer master data - who you ship for, their carrier accounts, and defaults.'), so this is not the house style.</t>
        </is>
      </c>
      <c r="N50" s="5" t="inlineStr">
        <is>
          <t>http://localhost:5173/settings/users</t>
        </is>
      </c>
      <c r="O50" s="5" t="inlineStr">
        <is>
          <t>Always</t>
        </is>
      </c>
      <c r="P50" s="5" t="inlineStr">
        <is>
          <t>BUG-049.jpg</t>
        </is>
      </c>
      <c r="Q50" s="5" t="n"/>
      <c r="R50" s="5" t="inlineStr">
        <is>
          <t>admin (ADMIN)</t>
        </is>
      </c>
      <c r="S50" s="5" t="n"/>
      <c r="T50" s="5" t="inlineStr">
        <is>
          <t>2026-10-12</t>
        </is>
      </c>
      <c r="U50" s="5" t="inlineStr">
        <is>
          <t>R2</t>
        </is>
      </c>
      <c r="V50" s="5" t="inlineStr">
        <is>
          <t>S009</t>
        </is>
      </c>
      <c r="W50" s="5" t="inlineStr">
        <is>
          <t>Settings &gt; Email &amp; Alerts &gt; Mail &gt; Mail; Settings &gt; Organization &gt; Roles &gt; Roles list</t>
        </is>
      </c>
      <c r="X50" s="5" t="inlineStr">
        <is>
          <t>Open</t>
        </is>
      </c>
      <c r="Y50" s="5" t="n"/>
      <c r="Z50" s="15" t="inlineStr">
        <is>
          <t>Deferred</t>
        </is>
      </c>
      <c r="AA50" s="15" t="n"/>
      <c r="AB50" s="15" t="inlineStr">
        <is>
          <t>[b5cc0327] Dev notes in page descriptions. Fix: rewrite copy on UsersPage / NotificationTemplatesPage / SettingsOutline. Content cleanup.</t>
        </is>
      </c>
      <c r="AC50" s="15" t="inlineStr">
        <is>
          <t>2026-10-12</t>
        </is>
      </c>
    </row>
    <row r="51">
      <c r="A51" s="5" t="inlineStr">
        <is>
          <t>BUG-050</t>
        </is>
      </c>
      <c r="B51" s="10" t="inlineStr">
        <is>
          <t>Medium</t>
        </is>
      </c>
      <c r="C51" s="5" t="inlineStr">
        <is>
          <t>Functional</t>
        </is>
      </c>
      <c r="D51" s="5" t="inlineStr">
        <is>
          <t>Settings</t>
        </is>
      </c>
      <c r="E51" s="5" t="inlineStr">
        <is>
          <t>Organization &gt; Users</t>
        </is>
      </c>
      <c r="F51" s="5" t="inlineStr">
        <is>
          <t>Users list</t>
        </is>
      </c>
      <c r="G51" s="5" t="inlineStr">
        <is>
          <t>Invite user form (fields, validation, send)</t>
        </is>
      </c>
      <c r="H51" s="5" t="inlineStr">
        <is>
          <t>A sent invitation leaves no trace: the invited person is not listed, the audit panel stays empty, and the accept link is shown once and then lost</t>
        </is>
      </c>
      <c r="I51" s="5" t="inlineStr">
        <is>
          <t>1. Open Settings &gt; Users (/settings/users)
2. Click Invite user, enter an address, pick a client and a role, and click Send invite
3. Read the confirmation, then click Done
4. Look at the user list and at 'Recent admin actions'
5. Click Refresh</t>
        </is>
      </c>
      <c r="J51" s="5" t="inlineStr">
        <is>
          <t>Invite to qa-1012-invite@example.com, client THB000, role USER. Accept link shown: http://localhost:5173/invite/8881caf518742688c83dfa1d688cecd03d6c748867028fee</t>
        </is>
      </c>
      <c r="K51" s="5" t="inlineStr">
        <is>
          <t>The invited person appears in the list as pending, with a way to resend or revoke, and the invitation is recorded in 'Recent admin actions' like any other admin change.</t>
        </is>
      </c>
      <c r="L51" s="5" t="inlineStr">
        <is>
          <t>After Done the list still reads 'Showing 2 rows - page 1' with only admin and manoj7000, and 'Recent admin actions' still reads 'No audit entries yet.' A refresh changes nothing. The only copy of the accept link was in the dialog that was just closed, so if the invitation does not arrive there is no way to find it, resend it or cancel it - and no record that it was ever sent.</t>
        </is>
      </c>
      <c r="M51" s="5" t="inlineStr">
        <is>
          <t>GET /api/v1/admin/users?page 0&amp;size 50 and GET /api/v1/admin/users/audit?limit 50 both return 200 after the invite, and neither contains the invited address. This matters more here because Settings &gt; Mail reports 'No provider active - outbound emails are logged only', so in this environment no invitation can reach anyone.</t>
        </is>
      </c>
      <c r="N51" s="5" t="inlineStr">
        <is>
          <t>http://localhost:5173/settings/users</t>
        </is>
      </c>
      <c r="O51" s="5" t="inlineStr">
        <is>
          <t>Always</t>
        </is>
      </c>
      <c r="P51" s="5" t="inlineStr">
        <is>
          <t>BUG-050.jpg, BUG-050-2.jpg</t>
        </is>
      </c>
      <c r="Q51" s="5" t="n"/>
      <c r="R51" s="5" t="inlineStr">
        <is>
          <t>admin (ADMIN)</t>
        </is>
      </c>
      <c r="S51" s="5" t="n"/>
      <c r="T51" s="5" t="inlineStr">
        <is>
          <t>2026-10-12</t>
        </is>
      </c>
      <c r="U51" s="5" t="inlineStr">
        <is>
          <t>R2</t>
        </is>
      </c>
      <c r="V51" s="5" t="inlineStr">
        <is>
          <t>S009</t>
        </is>
      </c>
      <c r="W51" s="5" t="n"/>
      <c r="X51" s="5" t="inlineStr">
        <is>
          <t>Open</t>
        </is>
      </c>
      <c r="Y51" s="5" t="n"/>
      <c r="Z51" s="15" t="inlineStr">
        <is>
          <t>Fixed on dev</t>
        </is>
      </c>
      <c r="AA51" s="15" t="n"/>
      <c r="AB51" s="15" t="inlineStr">
        <is>
          <t>[b5cc0327] Sent invitation leaves no trace. Fix: pending_user row + admin_audit_log INVITE_SENT + Users list Pending filter. ~40 LoC + possible V148 migration.; [4e6a9887] recordInviteSent + V148 nullable subject_user_id</t>
        </is>
      </c>
      <c r="AC51" s="15" t="inlineStr">
        <is>
          <t>2026-10-12</t>
        </is>
      </c>
    </row>
    <row r="52">
      <c r="A52" s="5" t="inlineStr">
        <is>
          <t>BUG-051</t>
        </is>
      </c>
      <c r="B52" s="10" t="inlineStr">
        <is>
          <t>Medium</t>
        </is>
      </c>
      <c r="C52" s="5" t="inlineStr">
        <is>
          <t>Security</t>
        </is>
      </c>
      <c r="D52" s="5" t="inlineStr">
        <is>
          <t>Settings</t>
        </is>
      </c>
      <c r="E52" s="5" t="inlineStr">
        <is>
          <t>Organization &gt; Users</t>
        </is>
      </c>
      <c r="F52" s="5" t="inlineStr">
        <is>
          <t>Users list</t>
        </is>
      </c>
      <c r="G52" s="5" t="inlineStr">
        <is>
          <t>Row action &gt; Deactivate / Activate</t>
        </is>
      </c>
      <c r="H52" s="5" t="inlineStr">
        <is>
          <t>The Deactivate button is enabled on the signed-in admin's own row, and that is the only ADMIN account in the system</t>
        </is>
      </c>
      <c r="I52" s="5" t="inlineStr">
        <is>
          <t>1. Open Settings &gt; Users (/settings/users)
2. Look at the admin row, marked YOU
3. Note that Assign client is disabled ('ADMIN is always org-wide') and the role control reads 'ADMIN (locked)', but Deactivate is live</t>
        </is>
      </c>
      <c r="J52" s="5" t="inlineStr">
        <is>
          <t>admin / admin@multiship.local, the only row with role ADMIN</t>
        </is>
      </c>
      <c r="K52" s="5" t="inlineStr">
        <is>
          <t>The last remaining ADMIN, and the account the current session belongs to, cannot be deactivated from the interface - the button is disabled with a reason, the way Assign client and the role control already are on this row.</t>
        </is>
      </c>
      <c r="L52" s="5" t="inlineStr">
        <is>
          <t>The button is not disabled (disabled=false, no tooltip). If the server does not refuse it, one click would deactivate the only administrator and lock everyone out of the application.</t>
        </is>
      </c>
      <c r="M52" s="5" t="inlineStr">
        <is>
          <t>Read from the page, not clicked: the user asked that this not be exercised, because recovery would need database access. Two of the three other controls on the same row are already correctly disabled with explanations, so the guard looks simply to have been missed on this one. Please confirm whether the server refuses it.</t>
        </is>
      </c>
      <c r="N52" s="5" t="inlineStr">
        <is>
          <t>http://localhost:5173/settings/users</t>
        </is>
      </c>
      <c r="O52" s="5" t="inlineStr">
        <is>
          <t>Not tested</t>
        </is>
      </c>
      <c r="P52" s="5" t="inlineStr">
        <is>
          <t>BUG-051.jpg</t>
        </is>
      </c>
      <c r="Q52" s="5" t="n"/>
      <c r="R52" s="5" t="inlineStr">
        <is>
          <t>admin (ADMIN)</t>
        </is>
      </c>
      <c r="S52" s="5" t="n"/>
      <c r="T52" s="5" t="inlineStr">
        <is>
          <t>2026-10-12</t>
        </is>
      </c>
      <c r="U52" s="5" t="inlineStr">
        <is>
          <t>R2</t>
        </is>
      </c>
      <c r="V52" s="5" t="inlineStr">
        <is>
          <t>S009</t>
        </is>
      </c>
      <c r="W52" s="5" t="n"/>
      <c r="X52" s="5" t="inlineStr">
        <is>
          <t>Open</t>
        </is>
      </c>
      <c r="Y52" s="5" t="n"/>
      <c r="Z52" s="15" t="inlineStr">
        <is>
          <t>Fixed on dev</t>
        </is>
      </c>
      <c r="AA52" s="15" t="n"/>
      <c r="AB52" s="15" t="inlineStr">
        <is>
          <t>[b5cc0327] Admin can deactivate sole-ADMIN self. Fix: AdminUserService.setActive refuses if target == currentUser OR last ADMIN. ~10 LoC backend + hide Deactivate for self FE. ~5 LoC.; [c22d528a] Disabled Deactivate button on self-row in AdminUsersPage; [00bc9bf7] Disabled Deactivate button on self-row in AdminUsersPage</t>
        </is>
      </c>
      <c r="AC52" s="15" t="inlineStr">
        <is>
          <t>2026-10-12</t>
        </is>
      </c>
    </row>
    <row r="53">
      <c r="A53" s="5" t="inlineStr">
        <is>
          <t>BUG-052</t>
        </is>
      </c>
      <c r="B53" s="10" t="inlineStr">
        <is>
          <t>Medium</t>
        </is>
      </c>
      <c r="C53" s="5" t="inlineStr">
        <is>
          <t>Functional</t>
        </is>
      </c>
      <c r="D53" s="5" t="inlineStr">
        <is>
          <t>Settings</t>
        </is>
      </c>
      <c r="E53" s="5" t="inlineStr">
        <is>
          <t>Organization &gt; Users</t>
        </is>
      </c>
      <c r="F53" s="5" t="inlineStr">
        <is>
          <t>Users list</t>
        </is>
      </c>
      <c r="G53" s="5" t="inlineStr">
        <is>
          <t>Recent admin actions panel</t>
        </is>
      </c>
      <c r="H53" s="5" t="inlineStr">
        <is>
          <t>The user audit trail records nothing: admin changes with a typed reason leave both 'Recent admin actions' and the per-user History empty</t>
        </is>
      </c>
      <c r="I53" s="5" t="inlineStr">
        <is>
          <t>1. Open Settings &gt; Users (/settings/users)
2. Click Assign client on a user, change the client code and type something in 'Reason (optional - recorded in audit)'
3. Click Save and wait for 'Done - Updated manoj7000.'
4. Look at the 'Recent admin actions' panel at the bottom of the page
5. Click Refresh, then click History on that user's row</t>
        </is>
      </c>
      <c r="J53" s="5" t="inlineStr">
        <is>
          <t>User manoj7000: client code changed to NOSUCHCLIENT (refused), then saved as THB000 with the reason 'QA-1012 validation check, will be restored'. An invitation to qa-1012-invite@example.com was also sent earlier in the session.</t>
        </is>
      </c>
      <c r="K53" s="5" t="inlineStr">
        <is>
          <t>Each admin change is listed, with who made it, when, what changed and the reason given - the page description promises exactly this ('...deactivate revoked accounts, and audit the changes') and the Reason field says it is 'recorded in audit'.</t>
        </is>
      </c>
      <c r="L53" s="5" t="inlineStr">
        <is>
          <t>'Recent admin actions' reads 'No audit entries yet.' before and after the change, and the per-user dialog reads 'No admin actions recorded for this user.' Nothing is recorded for the successful assignment, nor for the invitation sent earlier.</t>
        </is>
      </c>
      <c r="M53" s="5" t="inlineStr">
        <is>
          <t>GET /api/v1/admin/users/audit?limit 50 returns 200 after each change, so the page is asking for the list and getting nothing back. The reason text the admin types is therefore collected and discarded.</t>
        </is>
      </c>
      <c r="N53" s="5" t="inlineStr">
        <is>
          <t>http://localhost:5173/settings/users</t>
        </is>
      </c>
      <c r="O53" s="5" t="inlineStr">
        <is>
          <t>Always</t>
        </is>
      </c>
      <c r="P53" s="5" t="inlineStr">
        <is>
          <t>BUG-052.jpg</t>
        </is>
      </c>
      <c r="Q53" s="5" t="n"/>
      <c r="R53" s="5" t="inlineStr">
        <is>
          <t>admin (ADMIN)</t>
        </is>
      </c>
      <c r="S53" s="5" t="n"/>
      <c r="T53" s="5" t="inlineStr">
        <is>
          <t>2026-10-12</t>
        </is>
      </c>
      <c r="U53" s="5" t="inlineStr">
        <is>
          <t>R2</t>
        </is>
      </c>
      <c r="V53" s="5" t="inlineStr">
        <is>
          <t>S009</t>
        </is>
      </c>
      <c r="W53" s="5" t="n"/>
      <c r="X53" s="5" t="inlineStr">
        <is>
          <t>Open</t>
        </is>
      </c>
      <c r="Y53" s="5" t="n"/>
      <c r="Z53" s="15" t="inlineStr">
        <is>
          <t>Fixed on dev</t>
        </is>
      </c>
      <c r="AA53" s="15" t="n"/>
      <c r="AB53" s="15" t="inlineStr">
        <is>
          <t>[b5cc0327] User admin audit records nothing. Fix: auditService.record on setActive/role-change paths; wire /settings/users 'Recent admin actions' to filter action LIKE 'USER_%'. ~15 LoC.; [7c54d8f0] Password-reset path now writes PASSWORD_RESET_SENT audit row</t>
        </is>
      </c>
      <c r="AC53" s="15" t="inlineStr">
        <is>
          <t>2026-10-12</t>
        </is>
      </c>
    </row>
  </sheetData>
  <autoFilter ref="A1:AC53"/>
  <dataValidations count="1">
    <dataValidation sqref="Z2:Z353" showDropDown="0" showInputMessage="1" showErrorMessage="1" allowBlank="1" errorTitle="Dev status" error="Pick one of the listed statuses." type="list">
      <formula1>"New,In progress,Fixed,Not a bug,Cannot reproduce,Deferred,Duplicate"</formula1>
    </dataValidation>
  </dataValidations>
  <pageMargins left="0.7" right="0.7" top="0.75" bottom="0.75" header="0.3" footer="0.3"/>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N183"/>
  <sheetViews>
    <sheetView workbookViewId="0">
      <pane ySplit="1" topLeftCell="A2" activePane="bottomLeft" state="frozen"/>
      <selection pane="bottomLeft" activeCell="A1" sqref="A1"/>
    </sheetView>
  </sheetViews>
  <sheetFormatPr baseColWidth="8" defaultRowHeight="15"/>
  <cols>
    <col width="16.7109375" customWidth="1" min="1" max="2"/>
    <col width="22.7109375" customWidth="1" min="3" max="3"/>
    <col width="10.7109375" customWidth="1" min="4" max="4"/>
    <col width="11.7109375" customWidth="1" min="5" max="5"/>
    <col width="26.7109375" customWidth="1" min="6" max="6"/>
    <col width="12.7109375" customWidth="1" min="7" max="7"/>
    <col width="18.7109375" customWidth="1" min="8" max="8"/>
    <col width="15.7109375" customWidth="1" min="9" max="9"/>
    <col width="11.7109375" customWidth="1" min="10" max="10"/>
    <col width="55.7109375" customWidth="1" min="11" max="11"/>
    <col width="40.7109375" customWidth="1" min="12" max="12"/>
    <col width="16.7109375" customWidth="1" min="13" max="13"/>
    <col width="6.7109375" customWidth="1" min="14" max="14"/>
  </cols>
  <sheetData>
    <row r="1">
      <c r="A1" s="12" t="inlineStr">
        <is>
          <t>Module</t>
        </is>
      </c>
      <c r="B1" s="12" t="inlineStr">
        <is>
          <t>Submodule</t>
        </is>
      </c>
      <c r="C1" s="12" t="inlineStr">
        <is>
          <t>Screen</t>
        </is>
      </c>
      <c r="D1" s="12" t="inlineStr">
        <is>
          <t>Screen ID</t>
        </is>
      </c>
      <c r="E1" s="12" t="inlineStr">
        <is>
          <t>Element ID</t>
        </is>
      </c>
      <c r="F1" s="12" t="inlineStr">
        <is>
          <t>Element</t>
        </is>
      </c>
      <c r="G1" s="12" t="inlineStr">
        <is>
          <t>Kind</t>
        </is>
      </c>
      <c r="H1" s="12" t="inlineStr">
        <is>
          <t>Area</t>
        </is>
      </c>
      <c r="I1" s="12" t="inlineStr">
        <is>
          <t>Requirement ref</t>
        </is>
      </c>
      <c r="J1" s="12" t="inlineStr">
        <is>
          <t>Result</t>
        </is>
      </c>
      <c r="K1" s="12" t="inlineStr">
        <is>
          <t>Checks performed</t>
        </is>
      </c>
      <c r="L1" s="12" t="inlineStr">
        <is>
          <t>Notes</t>
        </is>
      </c>
      <c r="M1" s="12" t="inlineStr">
        <is>
          <t>Bug IDs</t>
        </is>
      </c>
      <c r="N1" s="12" t="inlineStr">
        <is>
          <t>Run</t>
        </is>
      </c>
    </row>
    <row r="2">
      <c r="A2" s="5" t="inlineStr">
        <is>
          <t>Orders</t>
        </is>
      </c>
      <c r="B2" s="5" t="inlineStr">
        <is>
          <t>New order</t>
        </is>
      </c>
      <c r="C2" s="5" t="inlineStr">
        <is>
          <t>New order form (international)</t>
        </is>
      </c>
      <c r="D2" s="5" t="inlineStr">
        <is>
          <t>S001</t>
        </is>
      </c>
      <c r="E2" s="5" t="inlineStr">
        <is>
          <t>S001-E01</t>
        </is>
      </c>
      <c r="F2" s="5" t="inlineStr">
        <is>
          <t>Client</t>
        </is>
      </c>
      <c r="G2" s="5" t="inlineStr">
        <is>
          <t>dropdown</t>
        </is>
      </c>
      <c r="H2" s="5" t="inlineStr">
        <is>
          <t>Header</t>
        </is>
      </c>
      <c r="I2" s="5" t="n"/>
      <c r="J2" s="16" t="inlineStr">
        <is>
          <t>Pass</t>
        </is>
      </c>
      <c r="K2" s="5" t="inlineStr">
        <is>
          <t>MKL246 selected for all 128 orders; carrier list loads FedEx, UPS and USPS</t>
        </is>
      </c>
      <c r="L2" s="5" t="n"/>
      <c r="M2" s="5" t="n"/>
      <c r="N2" s="5" t="inlineStr">
        <is>
          <t>R1</t>
        </is>
      </c>
    </row>
    <row r="3">
      <c r="A3" s="5" t="inlineStr">
        <is>
          <t>Orders</t>
        </is>
      </c>
      <c r="B3" s="5" t="inlineStr">
        <is>
          <t>New order</t>
        </is>
      </c>
      <c r="C3" s="5" t="inlineStr">
        <is>
          <t>New order form (international)</t>
        </is>
      </c>
      <c r="D3" s="5" t="inlineStr">
        <is>
          <t>S001</t>
        </is>
      </c>
      <c r="E3" s="5" t="inlineStr">
        <is>
          <t>S001-E02</t>
        </is>
      </c>
      <c r="F3" s="5" t="inlineStr">
        <is>
          <t>Carrier</t>
        </is>
      </c>
      <c r="G3" s="5" t="inlineStr">
        <is>
          <t>dropdown</t>
        </is>
      </c>
      <c r="H3" s="5" t="inlineStr">
        <is>
          <t>Header</t>
        </is>
      </c>
      <c r="I3" s="5" t="n"/>
      <c r="J3" s="16" t="inlineStr">
        <is>
          <t>Pass</t>
        </is>
      </c>
      <c r="K3" s="5" t="inlineStr">
        <is>
          <t>FedEx, UPS and USPS each selected; service and packaging lists reload per carrier and lane</t>
        </is>
      </c>
      <c r="L3" s="5" t="n"/>
      <c r="M3" s="5" t="n"/>
      <c r="N3" s="5" t="inlineStr">
        <is>
          <t>R1</t>
        </is>
      </c>
    </row>
    <row r="4">
      <c r="A4" s="5" t="inlineStr">
        <is>
          <t>Orders</t>
        </is>
      </c>
      <c r="B4" s="5" t="inlineStr">
        <is>
          <t>New order</t>
        </is>
      </c>
      <c r="C4" s="5" t="inlineStr">
        <is>
          <t>New order form (international)</t>
        </is>
      </c>
      <c r="D4" s="5" t="inlineStr">
        <is>
          <t>S001</t>
        </is>
      </c>
      <c r="E4" s="5" t="inlineStr">
        <is>
          <t>S001-E03</t>
        </is>
      </c>
      <c r="F4" s="5" t="inlineStr">
        <is>
          <t>Reference (PO-12345)</t>
        </is>
      </c>
      <c r="G4" s="5" t="inlineStr">
        <is>
          <t>text</t>
        </is>
      </c>
      <c r="H4" s="5" t="inlineStr">
        <is>
          <t>Header</t>
        </is>
      </c>
      <c r="I4" s="5" t="n"/>
      <c r="J4" s="16" t="inlineStr">
        <is>
          <t>Pass</t>
        </is>
      </c>
      <c r="K4" s="5" t="inlineStr">
        <is>
          <t>QA-1011-R13-* references typed; saved as refOrderNumber on 128 of 128 orders (API)</t>
        </is>
      </c>
      <c r="L4" s="5" t="n"/>
      <c r="M4" s="5" t="n"/>
      <c r="N4" s="5" t="inlineStr">
        <is>
          <t>R1</t>
        </is>
      </c>
    </row>
    <row r="5">
      <c r="A5" s="5" t="inlineStr">
        <is>
          <t>Orders</t>
        </is>
      </c>
      <c r="B5" s="5" t="inlineStr">
        <is>
          <t>New order</t>
        </is>
      </c>
      <c r="C5" s="5" t="inlineStr">
        <is>
          <t>New order form (international)</t>
        </is>
      </c>
      <c r="D5" s="5" t="inlineStr">
        <is>
          <t>S001</t>
        </is>
      </c>
      <c r="E5" s="5" t="inlineStr">
        <is>
          <t>S001-E04</t>
        </is>
      </c>
      <c r="F5" s="5" t="inlineStr">
        <is>
          <t>Ship-from Full name</t>
        </is>
      </c>
      <c r="G5" s="5" t="inlineStr">
        <is>
          <t>text</t>
        </is>
      </c>
      <c r="H5" s="5" t="inlineStr">
        <is>
          <t>Ship from</t>
        </is>
      </c>
      <c r="I5" s="5" t="n"/>
      <c r="J5" s="17" t="inlineStr">
        <is>
          <t>Fail</t>
        </is>
      </c>
      <c r="K5" s="5" t="inlineStr">
        <is>
          <t>profile default 'MKL' rejected by USPS international (BUG-001); 'MKL Shipping' accepted by USPS</t>
        </is>
      </c>
      <c r="L5" s="5" t="n"/>
      <c r="M5" s="5" t="inlineStr">
        <is>
          <t>BUG-001</t>
        </is>
      </c>
      <c r="N5" s="5" t="inlineStr">
        <is>
          <t>R1</t>
        </is>
      </c>
    </row>
    <row r="6">
      <c r="A6" s="5" t="inlineStr">
        <is>
          <t>Orders</t>
        </is>
      </c>
      <c r="B6" s="5" t="inlineStr">
        <is>
          <t>New order</t>
        </is>
      </c>
      <c r="C6" s="5" t="inlineStr">
        <is>
          <t>New order form (international)</t>
        </is>
      </c>
      <c r="D6" s="5" t="inlineStr">
        <is>
          <t>S001</t>
        </is>
      </c>
      <c r="E6" s="5" t="inlineStr">
        <is>
          <t>S001-E05</t>
        </is>
      </c>
      <c r="F6" s="5" t="inlineStr">
        <is>
          <t>Ship-from address (from client profile)</t>
        </is>
      </c>
      <c r="G6" s="5" t="inlineStr">
        <is>
          <t>read-only</t>
        </is>
      </c>
      <c r="H6" s="5" t="inlineStr">
        <is>
          <t>Ship from</t>
        </is>
      </c>
      <c r="I6" s="5" t="n"/>
      <c r="J6" s="17" t="inlineStr">
        <is>
          <t>Fail</t>
        </is>
      </c>
      <c r="K6" s="5" t="inlineStr">
        <is>
          <t>reviewed the client's ship-from address (BUG-012)</t>
        </is>
      </c>
      <c r="L6" s="5" t="n"/>
      <c r="M6" s="5" t="inlineStr">
        <is>
          <t>BUG-012</t>
        </is>
      </c>
      <c r="N6" s="5" t="inlineStr">
        <is>
          <t>R1</t>
        </is>
      </c>
    </row>
    <row r="7">
      <c r="A7" s="5" t="inlineStr">
        <is>
          <t>Orders</t>
        </is>
      </c>
      <c r="B7" s="5" t="inlineStr">
        <is>
          <t>New order</t>
        </is>
      </c>
      <c r="C7" s="5" t="inlineStr">
        <is>
          <t>New order form (international)</t>
        </is>
      </c>
      <c r="D7" s="5" t="inlineStr">
        <is>
          <t>S001</t>
        </is>
      </c>
      <c r="E7" s="5" t="inlineStr">
        <is>
          <t>S001-E06</t>
        </is>
      </c>
      <c r="F7" s="5" t="inlineStr">
        <is>
          <t>Ship-to Name</t>
        </is>
      </c>
      <c r="G7" s="5" t="inlineStr">
        <is>
          <t>text</t>
        </is>
      </c>
      <c r="H7" s="5" t="inlineStr">
        <is>
          <t>Ship to</t>
        </is>
      </c>
      <c r="I7" s="5" t="n"/>
      <c r="J7" s="16" t="inlineStr">
        <is>
          <t>Pass</t>
        </is>
      </c>
      <c r="K7" s="5" t="inlineStr">
        <is>
          <t>entered for Canada, UK and Mexico; accepted by all carriers</t>
        </is>
      </c>
      <c r="L7" s="5" t="n"/>
      <c r="M7" s="5" t="n"/>
      <c r="N7" s="5" t="inlineStr">
        <is>
          <t>R1</t>
        </is>
      </c>
    </row>
    <row r="8">
      <c r="A8" s="5" t="inlineStr">
        <is>
          <t>Orders</t>
        </is>
      </c>
      <c r="B8" s="5" t="inlineStr">
        <is>
          <t>New order</t>
        </is>
      </c>
      <c r="C8" s="5" t="inlineStr">
        <is>
          <t>New order form (international)</t>
        </is>
      </c>
      <c r="D8" s="5" t="inlineStr">
        <is>
          <t>S001</t>
        </is>
      </c>
      <c r="E8" s="5" t="inlineStr">
        <is>
          <t>S001-E07</t>
        </is>
      </c>
      <c r="F8" s="5" t="inlineStr">
        <is>
          <t>Ship-to Company</t>
        </is>
      </c>
      <c r="G8" s="5" t="inlineStr">
        <is>
          <t>text</t>
        </is>
      </c>
      <c r="H8" s="5" t="inlineStr">
        <is>
          <t>Ship to</t>
        </is>
      </c>
      <c r="I8" s="5" t="n"/>
      <c r="J8" s="16" t="inlineStr">
        <is>
          <t>Pass</t>
        </is>
      </c>
      <c r="K8" s="5" t="inlineStr">
        <is>
          <t>entered for Canada, UK and Mexico; accepted</t>
        </is>
      </c>
      <c r="L8" s="5" t="n"/>
      <c r="M8" s="5" t="n"/>
      <c r="N8" s="5" t="inlineStr">
        <is>
          <t>R1</t>
        </is>
      </c>
    </row>
    <row r="9">
      <c r="A9" s="5" t="inlineStr">
        <is>
          <t>Orders</t>
        </is>
      </c>
      <c r="B9" s="5" t="inlineStr">
        <is>
          <t>New order</t>
        </is>
      </c>
      <c r="C9" s="5" t="inlineStr">
        <is>
          <t>New order form (international)</t>
        </is>
      </c>
      <c r="D9" s="5" t="inlineStr">
        <is>
          <t>S001</t>
        </is>
      </c>
      <c r="E9" s="5" t="inlineStr">
        <is>
          <t>S001-E08</t>
        </is>
      </c>
      <c r="F9" s="5" t="inlineStr">
        <is>
          <t>Ship-to Street</t>
        </is>
      </c>
      <c r="G9" s="5" t="inlineStr">
        <is>
          <t>text</t>
        </is>
      </c>
      <c r="H9" s="5" t="inlineStr">
        <is>
          <t>Ship to</t>
        </is>
      </c>
      <c r="I9" s="5" t="n"/>
      <c r="J9" s="16" t="inlineStr">
        <is>
          <t>Pass</t>
        </is>
      </c>
      <c r="K9" s="5" t="inlineStr">
        <is>
          <t>Canada, UK and Mexico street addresses accepted by all carriers</t>
        </is>
      </c>
      <c r="L9" s="5" t="n"/>
      <c r="M9" s="5" t="n"/>
      <c r="N9" s="5" t="inlineStr">
        <is>
          <t>R1</t>
        </is>
      </c>
    </row>
    <row r="10">
      <c r="A10" s="5" t="inlineStr">
        <is>
          <t>Orders</t>
        </is>
      </c>
      <c r="B10" s="5" t="inlineStr">
        <is>
          <t>New order</t>
        </is>
      </c>
      <c r="C10" s="5" t="inlineStr">
        <is>
          <t>New order form (international)</t>
        </is>
      </c>
      <c r="D10" s="5" t="inlineStr">
        <is>
          <t>S001</t>
        </is>
      </c>
      <c r="E10" s="5" t="inlineStr">
        <is>
          <t>S001-E09</t>
        </is>
      </c>
      <c r="F10" s="5" t="inlineStr">
        <is>
          <t>Ship-to Phone</t>
        </is>
      </c>
      <c r="G10" s="5" t="inlineStr">
        <is>
          <t>text</t>
        </is>
      </c>
      <c r="H10" s="5" t="inlineStr">
        <is>
          <t>Ship to</t>
        </is>
      </c>
      <c r="I10" s="5" t="n"/>
      <c r="J10" s="16" t="inlineStr">
        <is>
          <t>Pass</t>
        </is>
      </c>
      <c r="K10" s="5" t="inlineStr">
        <is>
          <t>10-digit numbers accepted (field hint '10 digits'); UK 2079460000 and MX 5552081234 accepted</t>
        </is>
      </c>
      <c r="L10" s="5" t="n"/>
      <c r="M10" s="5" t="n"/>
      <c r="N10" s="5" t="inlineStr">
        <is>
          <t>R1</t>
        </is>
      </c>
    </row>
    <row r="11">
      <c r="A11" s="5" t="inlineStr">
        <is>
          <t>Orders</t>
        </is>
      </c>
      <c r="B11" s="5" t="inlineStr">
        <is>
          <t>New order</t>
        </is>
      </c>
      <c r="C11" s="5" t="inlineStr">
        <is>
          <t>New order form (international)</t>
        </is>
      </c>
      <c r="D11" s="5" t="inlineStr">
        <is>
          <t>S001</t>
        </is>
      </c>
      <c r="E11" s="5" t="inlineStr">
        <is>
          <t>S001-E10</t>
        </is>
      </c>
      <c r="F11" s="5" t="inlineStr">
        <is>
          <t>Ship-to City</t>
        </is>
      </c>
      <c r="G11" s="5" t="inlineStr">
        <is>
          <t>text</t>
        </is>
      </c>
      <c r="H11" s="5" t="inlineStr">
        <is>
          <t>Ship to</t>
        </is>
      </c>
      <c r="I11" s="5" t="n"/>
      <c r="J11" s="16" t="inlineStr">
        <is>
          <t>Pass</t>
        </is>
      </c>
      <c r="K11" s="5" t="inlineStr">
        <is>
          <t>Toronto, London, Ciudad de Mexico saved (API city)</t>
        </is>
      </c>
      <c r="L11" s="5" t="n"/>
      <c r="M11" s="5" t="n"/>
      <c r="N11" s="5" t="inlineStr">
        <is>
          <t>R1</t>
        </is>
      </c>
    </row>
    <row r="12">
      <c r="A12" s="5" t="inlineStr">
        <is>
          <t>Orders</t>
        </is>
      </c>
      <c r="B12" s="5" t="inlineStr">
        <is>
          <t>New order</t>
        </is>
      </c>
      <c r="C12" s="5" t="inlineStr">
        <is>
          <t>New order form (international)</t>
        </is>
      </c>
      <c r="D12" s="5" t="inlineStr">
        <is>
          <t>S001</t>
        </is>
      </c>
      <c r="E12" s="5" t="inlineStr">
        <is>
          <t>S001-E11</t>
        </is>
      </c>
      <c r="F12" s="5" t="inlineStr">
        <is>
          <t>Ship-to Postal code</t>
        </is>
      </c>
      <c r="G12" s="5" t="inlineStr">
        <is>
          <t>text</t>
        </is>
      </c>
      <c r="H12" s="5" t="inlineStr">
        <is>
          <t>Ship to</t>
        </is>
      </c>
      <c r="I12" s="5" t="n"/>
      <c r="J12" s="16" t="inlineStr">
        <is>
          <t>Pass</t>
        </is>
      </c>
      <c r="K12" s="5" t="inlineStr">
        <is>
          <t>M5V 3L9, E14 5AB, 06600 saved (API zipCode)</t>
        </is>
      </c>
      <c r="L12" s="5" t="n"/>
      <c r="M12" s="5" t="n"/>
      <c r="N12" s="5" t="inlineStr">
        <is>
          <t>R1</t>
        </is>
      </c>
    </row>
    <row r="13">
      <c r="A13" s="5" t="inlineStr">
        <is>
          <t>Orders</t>
        </is>
      </c>
      <c r="B13" s="5" t="inlineStr">
        <is>
          <t>New order</t>
        </is>
      </c>
      <c r="C13" s="5" t="inlineStr">
        <is>
          <t>New order form (international)</t>
        </is>
      </c>
      <c r="D13" s="5" t="inlineStr">
        <is>
          <t>S001</t>
        </is>
      </c>
      <c r="E13" s="5" t="inlineStr">
        <is>
          <t>S001-E12</t>
        </is>
      </c>
      <c r="F13" s="5" t="inlineStr">
        <is>
          <t>Ship-to Country search</t>
        </is>
      </c>
      <c r="G13" s="5" t="inlineStr">
        <is>
          <t>autocomplete</t>
        </is>
      </c>
      <c r="H13" s="5" t="inlineStr">
        <is>
          <t>Ship to</t>
        </is>
      </c>
      <c r="I13" s="5" t="n"/>
      <c r="J13" s="16" t="inlineStr">
        <is>
          <t>Pass</t>
        </is>
      </c>
      <c r="K13" s="5" t="inlineStr">
        <is>
          <t>typed Canada / United Kingdom / Mexico and picked the option; lane chip shows US → CA / GB / MX · INTL</t>
        </is>
      </c>
      <c r="L13" s="5" t="n"/>
      <c r="M13" s="5" t="n"/>
      <c r="N13" s="5" t="inlineStr">
        <is>
          <t>R1</t>
        </is>
      </c>
    </row>
    <row r="14">
      <c r="A14" s="5" t="inlineStr">
        <is>
          <t>Orders</t>
        </is>
      </c>
      <c r="B14" s="5" t="inlineStr">
        <is>
          <t>New order</t>
        </is>
      </c>
      <c r="C14" s="5" t="inlineStr">
        <is>
          <t>New order form (international)</t>
        </is>
      </c>
      <c r="D14" s="5" t="inlineStr">
        <is>
          <t>S001</t>
        </is>
      </c>
      <c r="E14" s="5" t="inlineStr">
        <is>
          <t>S001-E13</t>
        </is>
      </c>
      <c r="F14" s="5" t="inlineStr">
        <is>
          <t>Province (Canada)</t>
        </is>
      </c>
      <c r="G14" s="5" t="inlineStr">
        <is>
          <t>dropdown</t>
        </is>
      </c>
      <c r="H14" s="5" t="inlineStr">
        <is>
          <t>Ship to</t>
        </is>
      </c>
      <c r="I14" s="5" t="n"/>
      <c r="J14" s="16" t="inlineStr">
        <is>
          <t>Pass</t>
        </is>
      </c>
      <c r="K14" s="5" t="inlineStr">
        <is>
          <t>ON selected; saved as state ON (API)</t>
        </is>
      </c>
      <c r="L14" s="5" t="n"/>
      <c r="M14" s="5" t="n"/>
      <c r="N14" s="5" t="inlineStr">
        <is>
          <t>R1</t>
        </is>
      </c>
    </row>
    <row r="15">
      <c r="A15" s="5" t="inlineStr">
        <is>
          <t>Orders</t>
        </is>
      </c>
      <c r="B15" s="5" t="inlineStr">
        <is>
          <t>New order</t>
        </is>
      </c>
      <c r="C15" s="5" t="inlineStr">
        <is>
          <t>New order form (international)</t>
        </is>
      </c>
      <c r="D15" s="5" t="inlineStr">
        <is>
          <t>S001</t>
        </is>
      </c>
      <c r="E15" s="5" t="inlineStr">
        <is>
          <t>S001-E14</t>
        </is>
      </c>
      <c r="F15" s="5" t="inlineStr">
        <is>
          <t>State / region (UK, Mexico)</t>
        </is>
      </c>
      <c r="G15" s="5" t="inlineStr">
        <is>
          <t>text</t>
        </is>
      </c>
      <c r="H15" s="5" t="inlineStr">
        <is>
          <t>Ship to</t>
        </is>
      </c>
      <c r="I15" s="5" t="n"/>
      <c r="J15" s="17" t="inlineStr">
        <is>
          <t>Fail</t>
        </is>
      </c>
      <c r="K15" s="5" t="inlineStr">
        <is>
          <t>empty value flagged with toast and red field; DF rejected by the check, CMX accepted; no * marker and placeholder NY (BUG-008)</t>
        </is>
      </c>
      <c r="L15" s="5" t="n"/>
      <c r="M15" s="5" t="inlineStr">
        <is>
          <t>BUG-008</t>
        </is>
      </c>
      <c r="N15" s="5" t="inlineStr">
        <is>
          <t>R1</t>
        </is>
      </c>
    </row>
    <row r="16">
      <c r="A16" s="5" t="inlineStr">
        <is>
          <t>Orders</t>
        </is>
      </c>
      <c r="B16" s="5" t="inlineStr">
        <is>
          <t>New order</t>
        </is>
      </c>
      <c r="C16" s="5" t="inlineStr">
        <is>
          <t>New order form (international)</t>
        </is>
      </c>
      <c r="D16" s="5" t="inlineStr">
        <is>
          <t>S001</t>
        </is>
      </c>
      <c r="E16" s="5" t="inlineStr">
        <is>
          <t>S001-E15</t>
        </is>
      </c>
      <c r="F16" s="5" t="inlineStr">
        <is>
          <t>Service</t>
        </is>
      </c>
      <c r="G16" s="5" t="inlineStr">
        <is>
          <t>dropdown</t>
        </is>
      </c>
      <c r="H16" s="5" t="inlineStr">
        <is>
          <t>Service</t>
        </is>
      </c>
      <c r="I16" s="5" t="n"/>
      <c r="J16" s="16" t="inlineStr">
        <is>
          <t>Pass</t>
        </is>
      </c>
      <c r="K16" s="5" t="inlineStr">
        <is>
          <t>every service offered per lane used: FedEx IE / IP, UPS Saver / Expedited / Express, USPS PMI / PMEI; stored shipVia consistent per service (API)</t>
        </is>
      </c>
      <c r="L16" s="5" t="n"/>
      <c r="M16" s="5" t="n"/>
      <c r="N16" s="5" t="inlineStr">
        <is>
          <t>R1</t>
        </is>
      </c>
    </row>
    <row r="17">
      <c r="A17" s="5" t="inlineStr">
        <is>
          <t>Orders</t>
        </is>
      </c>
      <c r="B17" s="5" t="inlineStr">
        <is>
          <t>New order</t>
        </is>
      </c>
      <c r="C17" s="5" t="inlineStr">
        <is>
          <t>New order form (international)</t>
        </is>
      </c>
      <c r="D17" s="5" t="inlineStr">
        <is>
          <t>S001</t>
        </is>
      </c>
      <c r="E17" s="5" t="inlineStr">
        <is>
          <t>S001-E16</t>
        </is>
      </c>
      <c r="F17" s="5" t="inlineStr">
        <is>
          <t>Incoterms</t>
        </is>
      </c>
      <c r="G17" s="5" t="inlineStr">
        <is>
          <t>dropdown</t>
        </is>
      </c>
      <c r="H17" s="5" t="inlineStr">
        <is>
          <t>Service</t>
        </is>
      </c>
      <c r="I17" s="5" t="n"/>
      <c r="J17" s="16" t="inlineStr">
        <is>
          <t>Pass</t>
        </is>
      </c>
      <c r="K17" s="5" t="inlineStr">
        <is>
          <t>DAP chosen on all 128 orders; accepted by all carriers</t>
        </is>
      </c>
      <c r="L17" s="5" t="n"/>
      <c r="M17" s="5" t="n"/>
      <c r="N17" s="5" t="inlineStr">
        <is>
          <t>R1</t>
        </is>
      </c>
    </row>
    <row r="18">
      <c r="A18" s="5" t="inlineStr">
        <is>
          <t>Orders</t>
        </is>
      </c>
      <c r="B18" s="5" t="inlineStr">
        <is>
          <t>New order</t>
        </is>
      </c>
      <c r="C18" s="5" t="inlineStr">
        <is>
          <t>New order form (international)</t>
        </is>
      </c>
      <c r="D18" s="5" t="inlineStr">
        <is>
          <t>S001</t>
        </is>
      </c>
      <c r="E18" s="5" t="inlineStr">
        <is>
          <t>S001-E17</t>
        </is>
      </c>
      <c r="F18" s="5" t="inlineStr">
        <is>
          <t>Duties paid by</t>
        </is>
      </c>
      <c r="G18" s="5" t="inlineStr">
        <is>
          <t>dropdown</t>
        </is>
      </c>
      <c r="H18" s="5" t="inlineStr">
        <is>
          <t>Service</t>
        </is>
      </c>
      <c r="I18" s="5" t="n"/>
      <c r="J18" s="18" t="inlineStr">
        <is>
          <t>Not tested</t>
        </is>
      </c>
      <c r="K18" s="5" t="n"/>
      <c r="L18" s="5" t="inlineStr">
        <is>
          <t>Left on its default (Recipient pays / DDU)</t>
        </is>
      </c>
      <c r="M18" s="5" t="n"/>
      <c r="N18" s="5" t="inlineStr">
        <is>
          <t>R1</t>
        </is>
      </c>
    </row>
    <row r="19">
      <c r="A19" s="5" t="inlineStr">
        <is>
          <t>Orders</t>
        </is>
      </c>
      <c r="B19" s="5" t="inlineStr">
        <is>
          <t>New order</t>
        </is>
      </c>
      <c r="C19" s="5" t="inlineStr">
        <is>
          <t>New order form (international)</t>
        </is>
      </c>
      <c r="D19" s="5" t="inlineStr">
        <is>
          <t>S001</t>
        </is>
      </c>
      <c r="E19" s="5" t="inlineStr">
        <is>
          <t>S001-E18</t>
        </is>
      </c>
      <c r="F19" s="5" t="inlineStr">
        <is>
          <t>Packaging</t>
        </is>
      </c>
      <c r="G19" s="5" t="inlineStr">
        <is>
          <t>dropdown</t>
        </is>
      </c>
      <c r="H19" s="5" t="inlineStr">
        <is>
          <t>Packages</t>
        </is>
      </c>
      <c r="I19" s="5" t="n"/>
      <c r="J19" s="16" t="inlineStr">
        <is>
          <t>Pass</t>
        </is>
      </c>
      <c r="K19" s="5" t="inlineStr">
        <is>
          <t>every packaging offered per service used: FedEx 5 (IE) and 7 (IP), UPS 10 / 2 / 10, USPS 2; carrier boxes fill their own dimensions</t>
        </is>
      </c>
      <c r="L19" s="5" t="n"/>
      <c r="M19" s="5" t="n"/>
      <c r="N19" s="5" t="inlineStr">
        <is>
          <t>R1</t>
        </is>
      </c>
    </row>
    <row r="20">
      <c r="A20" s="5" t="inlineStr">
        <is>
          <t>Orders</t>
        </is>
      </c>
      <c r="B20" s="5" t="inlineStr">
        <is>
          <t>New order</t>
        </is>
      </c>
      <c r="C20" s="5" t="inlineStr">
        <is>
          <t>New order form (international)</t>
        </is>
      </c>
      <c r="D20" s="5" t="inlineStr">
        <is>
          <t>S001</t>
        </is>
      </c>
      <c r="E20" s="5" t="inlineStr">
        <is>
          <t>S001-E19</t>
        </is>
      </c>
      <c r="F20" s="5" t="inlineStr">
        <is>
          <t>Box weight</t>
        </is>
      </c>
      <c r="G20" s="5" t="inlineStr">
        <is>
          <t>number</t>
        </is>
      </c>
      <c r="H20" s="5" t="inlineStr">
        <is>
          <t>Packages</t>
        </is>
      </c>
      <c r="I20" s="5" t="n"/>
      <c r="J20" s="16" t="inlineStr">
        <is>
          <t>Pass</t>
        </is>
      </c>
      <c r="K20" s="5" t="inlineStr">
        <is>
          <t>1 to 20 lb accepted</t>
        </is>
      </c>
      <c r="L20" s="5" t="n"/>
      <c r="M20" s="5" t="n"/>
      <c r="N20" s="5" t="inlineStr">
        <is>
          <t>R1</t>
        </is>
      </c>
    </row>
    <row r="21">
      <c r="A21" s="5" t="inlineStr">
        <is>
          <t>Orders</t>
        </is>
      </c>
      <c r="B21" s="5" t="inlineStr">
        <is>
          <t>New order</t>
        </is>
      </c>
      <c r="C21" s="5" t="inlineStr">
        <is>
          <t>New order form (international)</t>
        </is>
      </c>
      <c r="D21" s="5" t="inlineStr">
        <is>
          <t>S001</t>
        </is>
      </c>
      <c r="E21" s="5" t="inlineStr">
        <is>
          <t>S001-E20</t>
        </is>
      </c>
      <c r="F21" s="5" t="inlineStr">
        <is>
          <t>Length / Width / Height</t>
        </is>
      </c>
      <c r="G21" s="5" t="inlineStr">
        <is>
          <t>number</t>
        </is>
      </c>
      <c r="H21" s="5" t="inlineStr">
        <is>
          <t>Packages</t>
        </is>
      </c>
      <c r="I21" s="5" t="n"/>
      <c r="J21" s="16" t="inlineStr">
        <is>
          <t>Pass</t>
        </is>
      </c>
      <c r="K21" s="5" t="inlineStr">
        <is>
          <t>12 x 9 x 4 in custom boxes accepted and copied to box 2 by Apply box 1 to all</t>
        </is>
      </c>
      <c r="L21" s="5" t="n"/>
      <c r="M21" s="5" t="n"/>
      <c r="N21" s="5" t="inlineStr">
        <is>
          <t>R1</t>
        </is>
      </c>
    </row>
    <row r="22">
      <c r="A22" s="5" t="inlineStr">
        <is>
          <t>Orders</t>
        </is>
      </c>
      <c r="B22" s="5" t="inlineStr">
        <is>
          <t>New order</t>
        </is>
      </c>
      <c r="C22" s="5" t="inlineStr">
        <is>
          <t>New order form (international)</t>
        </is>
      </c>
      <c r="D22" s="5" t="inlineStr">
        <is>
          <t>S001</t>
        </is>
      </c>
      <c r="E22" s="5" t="inlineStr">
        <is>
          <t>S001-E21</t>
        </is>
      </c>
      <c r="F22" s="5" t="inlineStr">
        <is>
          <t>Add another box</t>
        </is>
      </c>
      <c r="G22" s="5" t="inlineStr">
        <is>
          <t>button</t>
        </is>
      </c>
      <c r="H22" s="5" t="inlineStr">
        <is>
          <t>Packages</t>
        </is>
      </c>
      <c r="I22" s="5" t="n"/>
      <c r="J22" s="17" t="inlineStr">
        <is>
          <t>Fail</t>
        </is>
      </c>
      <c r="K22" s="5" t="inlineStr">
        <is>
          <t>adds box 2 for every packaging, including single-piece ones (BUG-003)</t>
        </is>
      </c>
      <c r="L22" s="5" t="n"/>
      <c r="M22" s="5" t="inlineStr">
        <is>
          <t>BUG-003</t>
        </is>
      </c>
      <c r="N22" s="5" t="inlineStr">
        <is>
          <t>R1</t>
        </is>
      </c>
    </row>
    <row r="23">
      <c r="A23" s="5" t="inlineStr">
        <is>
          <t>Orders</t>
        </is>
      </c>
      <c r="B23" s="5" t="inlineStr">
        <is>
          <t>New order</t>
        </is>
      </c>
      <c r="C23" s="5" t="inlineStr">
        <is>
          <t>New order form (international)</t>
        </is>
      </c>
      <c r="D23" s="5" t="inlineStr">
        <is>
          <t>S001</t>
        </is>
      </c>
      <c r="E23" s="5" t="inlineStr">
        <is>
          <t>S001-E22</t>
        </is>
      </c>
      <c r="F23" s="5" t="inlineStr">
        <is>
          <t>Apply box 1 to all</t>
        </is>
      </c>
      <c r="G23" s="5" t="inlineStr">
        <is>
          <t>button</t>
        </is>
      </c>
      <c r="H23" s="5" t="inlineStr">
        <is>
          <t>Packages</t>
        </is>
      </c>
      <c r="I23" s="5" t="n"/>
      <c r="J23" s="16" t="inlineStr">
        <is>
          <t>Pass</t>
        </is>
      </c>
      <c r="K23" s="5" t="inlineStr">
        <is>
          <t>copies weight and dimensions to box 2 (checked on every 2-box order)</t>
        </is>
      </c>
      <c r="L23" s="5" t="n"/>
      <c r="M23" s="5" t="n"/>
      <c r="N23" s="5" t="inlineStr">
        <is>
          <t>R1</t>
        </is>
      </c>
    </row>
    <row r="24">
      <c r="A24" s="5" t="inlineStr">
        <is>
          <t>Orders</t>
        </is>
      </c>
      <c r="B24" s="5" t="inlineStr">
        <is>
          <t>New order</t>
        </is>
      </c>
      <c r="C24" s="5" t="inlineStr">
        <is>
          <t>New order form (international)</t>
        </is>
      </c>
      <c r="D24" s="5" t="inlineStr">
        <is>
          <t>S001</t>
        </is>
      </c>
      <c r="E24" s="5" t="inlineStr">
        <is>
          <t>S001-E23</t>
        </is>
      </c>
      <c r="F24" s="5" t="inlineStr">
        <is>
          <t>Add N boxes like the last</t>
        </is>
      </c>
      <c r="G24" s="5" t="inlineStr">
        <is>
          <t>button</t>
        </is>
      </c>
      <c r="H24" s="5" t="inlineStr">
        <is>
          <t>Packages</t>
        </is>
      </c>
      <c r="I24" s="5" t="n"/>
      <c r="J24" s="17" t="inlineStr">
        <is>
          <t>Fail</t>
        </is>
      </c>
      <c r="K24" s="5" t="inlineStr">
        <is>
          <t>count set to 1; box 2 gets the weight but not the dimensions (BUG-006)</t>
        </is>
      </c>
      <c r="L24" s="5" t="n"/>
      <c r="M24" s="5" t="inlineStr">
        <is>
          <t>BUG-006</t>
        </is>
      </c>
      <c r="N24" s="5" t="inlineStr">
        <is>
          <t>R1</t>
        </is>
      </c>
    </row>
    <row r="25">
      <c r="A25" s="5" t="inlineStr">
        <is>
          <t>Orders</t>
        </is>
      </c>
      <c r="B25" s="5" t="inlineStr">
        <is>
          <t>New order</t>
        </is>
      </c>
      <c r="C25" s="5" t="inlineStr">
        <is>
          <t>New order form (international)</t>
        </is>
      </c>
      <c r="D25" s="5" t="inlineStr">
        <is>
          <t>S001</t>
        </is>
      </c>
      <c r="E25" s="5" t="inlineStr">
        <is>
          <t>S001-E24</t>
        </is>
      </c>
      <c r="F25" s="5" t="inlineStr">
        <is>
          <t>Declared value (auto from items)</t>
        </is>
      </c>
      <c r="G25" s="5" t="inlineStr">
        <is>
          <t>read-only</t>
        </is>
      </c>
      <c r="H25" s="5" t="inlineStr">
        <is>
          <t>Packages</t>
        </is>
      </c>
      <c r="I25" s="5" t="n"/>
      <c r="J25" s="16" t="inlineStr">
        <is>
          <t>Pass</t>
        </is>
      </c>
      <c r="K25" s="5" t="inlineStr">
        <is>
          <t>shows 40.00 computed from the items (2 x 20.00)</t>
        </is>
      </c>
      <c r="L25" s="5" t="n"/>
      <c r="M25" s="5" t="n"/>
      <c r="N25" s="5" t="inlineStr">
        <is>
          <t>R1</t>
        </is>
      </c>
    </row>
    <row r="26">
      <c r="A26" s="5" t="inlineStr">
        <is>
          <t>Orders</t>
        </is>
      </c>
      <c r="B26" s="5" t="inlineStr">
        <is>
          <t>New order</t>
        </is>
      </c>
      <c r="C26" s="5" t="inlineStr">
        <is>
          <t>New order form (international)</t>
        </is>
      </c>
      <c r="D26" s="5" t="inlineStr">
        <is>
          <t>S001</t>
        </is>
      </c>
      <c r="E26" s="5" t="inlineStr">
        <is>
          <t>S001-E25</t>
        </is>
      </c>
      <c r="F26" s="5" t="inlineStr">
        <is>
          <t>Reason of export</t>
        </is>
      </c>
      <c r="G26" s="5" t="inlineStr">
        <is>
          <t>dropdown</t>
        </is>
      </c>
      <c r="H26" s="5" t="inlineStr">
        <is>
          <t>Customs</t>
        </is>
      </c>
      <c r="I26" s="5" t="n"/>
      <c r="J26" s="16" t="inlineStr">
        <is>
          <t>Pass</t>
        </is>
      </c>
      <c r="K26" s="5" t="inlineStr">
        <is>
          <t>Sale chosen (default Sample); accepted by all carriers</t>
        </is>
      </c>
      <c r="L26" s="5" t="n"/>
      <c r="M26" s="5" t="n"/>
      <c r="N26" s="5" t="inlineStr">
        <is>
          <t>R1</t>
        </is>
      </c>
    </row>
    <row r="27">
      <c r="A27" s="5" t="inlineStr">
        <is>
          <t>Orders</t>
        </is>
      </c>
      <c r="B27" s="5" t="inlineStr">
        <is>
          <t>New order</t>
        </is>
      </c>
      <c r="C27" s="5" t="inlineStr">
        <is>
          <t>New order form (international)</t>
        </is>
      </c>
      <c r="D27" s="5" t="inlineStr">
        <is>
          <t>S001</t>
        </is>
      </c>
      <c r="E27" s="5" t="inlineStr">
        <is>
          <t>S001-E26</t>
        </is>
      </c>
      <c r="F27" s="5" t="inlineStr">
        <is>
          <t>FTR exemption (UK, Mexico)</t>
        </is>
      </c>
      <c r="G27" s="5" t="inlineStr">
        <is>
          <t>dropdown</t>
        </is>
      </c>
      <c r="H27" s="5" t="inlineStr">
        <is>
          <t>Customs</t>
        </is>
      </c>
      <c r="I27" s="5" t="n"/>
      <c r="J27" s="17" t="inlineStr">
        <is>
          <t>Fail</t>
        </is>
      </c>
      <c r="K27" s="5" t="inlineStr">
        <is>
          <t>UK and Mexico: NOEEI 30.37(a) accepted; Mexico: default 'None (using AES)' passed the FedEx carrier check on retest; missing on the Canada form (BUG-005)</t>
        </is>
      </c>
      <c r="L27" s="5" t="n"/>
      <c r="M27" s="5" t="inlineStr">
        <is>
          <t>BUG-005</t>
        </is>
      </c>
      <c r="N27" s="5" t="inlineStr">
        <is>
          <t>R1</t>
        </is>
      </c>
    </row>
    <row r="28">
      <c r="A28" s="5" t="inlineStr">
        <is>
          <t>Orders</t>
        </is>
      </c>
      <c r="B28" s="5" t="inlineStr">
        <is>
          <t>New order</t>
        </is>
      </c>
      <c r="C28" s="5" t="inlineStr">
        <is>
          <t>New order form (international)</t>
        </is>
      </c>
      <c r="D28" s="5" t="inlineStr">
        <is>
          <t>S001</t>
        </is>
      </c>
      <c r="E28" s="5" t="inlineStr">
        <is>
          <t>S001-E27</t>
        </is>
      </c>
      <c r="F28" s="5" t="inlineStr">
        <is>
          <t>AES ITN</t>
        </is>
      </c>
      <c r="G28" s="5" t="inlineStr">
        <is>
          <t>text</t>
        </is>
      </c>
      <c r="H28" s="5" t="inlineStr">
        <is>
          <t>Customs</t>
        </is>
      </c>
      <c r="I28" s="5" t="n"/>
      <c r="J28" s="18" t="inlineStr">
        <is>
          <t>Not tested</t>
        </is>
      </c>
      <c r="K28" s="5" t="n"/>
      <c r="L28" s="5" t="inlineStr">
        <is>
          <t>Not needed once an FTR exemption was chosen</t>
        </is>
      </c>
      <c r="M28" s="5" t="n"/>
      <c r="N28" s="5" t="inlineStr">
        <is>
          <t>R1</t>
        </is>
      </c>
    </row>
    <row r="29">
      <c r="A29" s="5" t="inlineStr">
        <is>
          <t>Orders</t>
        </is>
      </c>
      <c r="B29" s="5" t="inlineStr">
        <is>
          <t>New order</t>
        </is>
      </c>
      <c r="C29" s="5" t="inlineStr">
        <is>
          <t>New order form (international)</t>
        </is>
      </c>
      <c r="D29" s="5" t="inlineStr">
        <is>
          <t>S001</t>
        </is>
      </c>
      <c r="E29" s="5" t="inlineStr">
        <is>
          <t>S001-E28</t>
        </is>
      </c>
      <c r="F29" s="5" t="inlineStr">
        <is>
          <t>Export declaration ref</t>
        </is>
      </c>
      <c r="G29" s="5" t="inlineStr">
        <is>
          <t>text</t>
        </is>
      </c>
      <c r="H29" s="5" t="inlineStr">
        <is>
          <t>Customs</t>
        </is>
      </c>
      <c r="I29" s="5" t="n"/>
      <c r="J29" s="16" t="inlineStr">
        <is>
          <t>Pass</t>
        </is>
      </c>
      <c r="K29" s="5" t="inlineStr">
        <is>
          <t>'NO EEI 30.36' accepted by FedEx for Canada; left empty for UK and Mexico</t>
        </is>
      </c>
      <c r="L29" s="5" t="n"/>
      <c r="M29" s="5" t="n"/>
      <c r="N29" s="5" t="inlineStr">
        <is>
          <t>R1</t>
        </is>
      </c>
    </row>
    <row r="30">
      <c r="A30" s="5" t="inlineStr">
        <is>
          <t>Orders</t>
        </is>
      </c>
      <c r="B30" s="5" t="inlineStr">
        <is>
          <t>New order</t>
        </is>
      </c>
      <c r="C30" s="5" t="inlineStr">
        <is>
          <t>New order form (international)</t>
        </is>
      </c>
      <c r="D30" s="5" t="inlineStr">
        <is>
          <t>S001</t>
        </is>
      </c>
      <c r="E30" s="5" t="inlineStr">
        <is>
          <t>S001-E29</t>
        </is>
      </c>
      <c r="F30" s="5" t="inlineStr">
        <is>
          <t>Currency</t>
        </is>
      </c>
      <c r="G30" s="5" t="inlineStr">
        <is>
          <t>dropdown</t>
        </is>
      </c>
      <c r="H30" s="5" t="inlineStr">
        <is>
          <t>Customs</t>
        </is>
      </c>
      <c r="I30" s="5" t="n"/>
      <c r="J30" s="18" t="inlineStr">
        <is>
          <t>Not tested</t>
        </is>
      </c>
      <c r="K30" s="5" t="n"/>
      <c r="L30" s="5" t="inlineStr">
        <is>
          <t>Left on USD</t>
        </is>
      </c>
      <c r="M30" s="5" t="n"/>
      <c r="N30" s="5" t="inlineStr">
        <is>
          <t>R1</t>
        </is>
      </c>
    </row>
    <row r="31">
      <c r="A31" s="5" t="inlineStr">
        <is>
          <t>Orders</t>
        </is>
      </c>
      <c r="B31" s="5" t="inlineStr">
        <is>
          <t>New order</t>
        </is>
      </c>
      <c r="C31" s="5" t="inlineStr">
        <is>
          <t>New order form (international)</t>
        </is>
      </c>
      <c r="D31" s="5" t="inlineStr">
        <is>
          <t>S001</t>
        </is>
      </c>
      <c r="E31" s="5" t="inlineStr">
        <is>
          <t>S001-E30</t>
        </is>
      </c>
      <c r="F31" s="5" t="inlineStr">
        <is>
          <t>Label type</t>
        </is>
      </c>
      <c r="G31" s="5" t="inlineStr">
        <is>
          <t>dropdown</t>
        </is>
      </c>
      <c r="H31" s="5" t="inlineStr">
        <is>
          <t>Customs</t>
        </is>
      </c>
      <c r="I31" s="5" t="n"/>
      <c r="J31" s="16" t="inlineStr">
        <is>
          <t>Pass</t>
        </is>
      </c>
      <c r="K31" s="5" t="inlineStr">
        <is>
          <t>PDF chosen (FedEx default ZPLII); all 115 labels stored and shown as PDF</t>
        </is>
      </c>
      <c r="L31" s="5" t="n"/>
      <c r="M31" s="5" t="n"/>
      <c r="N31" s="5" t="inlineStr">
        <is>
          <t>R1</t>
        </is>
      </c>
    </row>
    <row r="32">
      <c r="A32" s="5" t="inlineStr">
        <is>
          <t>Orders</t>
        </is>
      </c>
      <c r="B32" s="5" t="inlineStr">
        <is>
          <t>New order</t>
        </is>
      </c>
      <c r="C32" s="5" t="inlineStr">
        <is>
          <t>New order form (international)</t>
        </is>
      </c>
      <c r="D32" s="5" t="inlineStr">
        <is>
          <t>S001</t>
        </is>
      </c>
      <c r="E32" s="5" t="inlineStr">
        <is>
          <t>S001-E31</t>
        </is>
      </c>
      <c r="F32" s="5" t="inlineStr">
        <is>
          <t>Label size (FedEx)</t>
        </is>
      </c>
      <c r="G32" s="5" t="inlineStr">
        <is>
          <t>dropdown</t>
        </is>
      </c>
      <c r="H32" s="5" t="inlineStr">
        <is>
          <t>Customs</t>
        </is>
      </c>
      <c r="I32" s="5" t="n"/>
      <c r="J32" s="16" t="inlineStr">
        <is>
          <t>Pass</t>
        </is>
      </c>
      <c r="K32" s="5" t="inlineStr">
        <is>
          <t>Paper 4x6 chosen for every FedEx order; default stays Thermal stock 4x6 with PDF (suggestion BUG-020)</t>
        </is>
      </c>
      <c r="L32" s="5" t="n"/>
      <c r="M32" s="5" t="inlineStr">
        <is>
          <t>BUG-020</t>
        </is>
      </c>
      <c r="N32" s="5" t="inlineStr">
        <is>
          <t>R1</t>
        </is>
      </c>
    </row>
    <row r="33">
      <c r="A33" s="5" t="inlineStr">
        <is>
          <t>Orders</t>
        </is>
      </c>
      <c r="B33" s="5" t="inlineStr">
        <is>
          <t>New order</t>
        </is>
      </c>
      <c r="C33" s="5" t="inlineStr">
        <is>
          <t>New order form (international)</t>
        </is>
      </c>
      <c r="D33" s="5" t="inlineStr">
        <is>
          <t>S001</t>
        </is>
      </c>
      <c r="E33" s="5" t="inlineStr">
        <is>
          <t>S001-E32</t>
        </is>
      </c>
      <c r="F33" s="5" t="inlineStr">
        <is>
          <t>Pickup type (FedEx)</t>
        </is>
      </c>
      <c r="G33" s="5" t="inlineStr">
        <is>
          <t>dropdown</t>
        </is>
      </c>
      <c r="H33" s="5" t="inlineStr">
        <is>
          <t>Customs</t>
        </is>
      </c>
      <c r="I33" s="5" t="n"/>
      <c r="J33" s="18" t="inlineStr">
        <is>
          <t>Not tested</t>
        </is>
      </c>
      <c r="K33" s="5" t="n"/>
      <c r="L33" s="5" t="inlineStr">
        <is>
          <t>Left on Regular pickup</t>
        </is>
      </c>
      <c r="M33" s="5" t="n"/>
      <c r="N33" s="5" t="inlineStr">
        <is>
          <t>R1</t>
        </is>
      </c>
    </row>
    <row r="34">
      <c r="A34" s="5" t="inlineStr">
        <is>
          <t>Orders</t>
        </is>
      </c>
      <c r="B34" s="5" t="inlineStr">
        <is>
          <t>New order</t>
        </is>
      </c>
      <c r="C34" s="5" t="inlineStr">
        <is>
          <t>New order form (international)</t>
        </is>
      </c>
      <c r="D34" s="5" t="inlineStr">
        <is>
          <t>S001</t>
        </is>
      </c>
      <c r="E34" s="5" t="inlineStr">
        <is>
          <t>S001-E33</t>
        </is>
      </c>
      <c r="F34" s="5" t="inlineStr">
        <is>
          <t>Importer of record &amp; customs broker: Add</t>
        </is>
      </c>
      <c r="G34" s="5" t="inlineStr">
        <is>
          <t>button</t>
        </is>
      </c>
      <c r="H34" s="5" t="inlineStr">
        <is>
          <t>Importer</t>
        </is>
      </c>
      <c r="I34" s="5" t="n"/>
      <c r="J34" s="17" t="inlineStr">
        <is>
          <t>Fail</t>
        </is>
      </c>
      <c r="K34" s="5" t="inlineStr">
        <is>
          <t>opens the Importer &amp; broker override dialog; 'OVERRIDDEN · THIS SHIPMENT' shown after Use; badge contradicts the warning (BUG-010)</t>
        </is>
      </c>
      <c r="L34" s="5" t="n"/>
      <c r="M34" s="5" t="inlineStr">
        <is>
          <t>BUG-010</t>
        </is>
      </c>
      <c r="N34" s="5" t="inlineStr">
        <is>
          <t>R1</t>
        </is>
      </c>
    </row>
    <row r="35">
      <c r="A35" s="5" t="inlineStr">
        <is>
          <t>Orders</t>
        </is>
      </c>
      <c r="B35" s="5" t="inlineStr">
        <is>
          <t>New order</t>
        </is>
      </c>
      <c r="C35" s="5" t="inlineStr">
        <is>
          <t>New order form (international)</t>
        </is>
      </c>
      <c r="D35" s="5" t="inlineStr">
        <is>
          <t>S001</t>
        </is>
      </c>
      <c r="E35" s="5" t="inlineStr">
        <is>
          <t>S001-E34</t>
        </is>
      </c>
      <c r="F35" s="5" t="inlineStr">
        <is>
          <t>Item Description</t>
        </is>
      </c>
      <c r="G35" s="5" t="inlineStr">
        <is>
          <t>text</t>
        </is>
      </c>
      <c r="H35" s="5" t="inlineStr">
        <is>
          <t>Items (commercial invoice)</t>
        </is>
      </c>
      <c r="I35" s="5" t="n"/>
      <c r="J35" s="16" t="inlineStr">
        <is>
          <t>Pass</t>
        </is>
      </c>
      <c r="K35" s="5" t="inlineStr">
        <is>
          <t>Cotton T-shirt entered on every order</t>
        </is>
      </c>
      <c r="L35" s="5" t="n"/>
      <c r="M35" s="5" t="n"/>
      <c r="N35" s="5" t="inlineStr">
        <is>
          <t>R1</t>
        </is>
      </c>
    </row>
    <row r="36">
      <c r="A36" s="5" t="inlineStr">
        <is>
          <t>Orders</t>
        </is>
      </c>
      <c r="B36" s="5" t="inlineStr">
        <is>
          <t>New order</t>
        </is>
      </c>
      <c r="C36" s="5" t="inlineStr">
        <is>
          <t>New order form (international)</t>
        </is>
      </c>
      <c r="D36" s="5" t="inlineStr">
        <is>
          <t>S001</t>
        </is>
      </c>
      <c r="E36" s="5" t="inlineStr">
        <is>
          <t>S001-E35</t>
        </is>
      </c>
      <c r="F36" s="5" t="inlineStr">
        <is>
          <t>Item SKU</t>
        </is>
      </c>
      <c r="G36" s="5" t="inlineStr">
        <is>
          <t>text</t>
        </is>
      </c>
      <c r="H36" s="5" t="inlineStr">
        <is>
          <t>Items (commercial invoice)</t>
        </is>
      </c>
      <c r="I36" s="5" t="n"/>
      <c r="J36" s="18" t="inlineStr">
        <is>
          <t>Not tested</t>
        </is>
      </c>
      <c r="K36" s="5" t="n"/>
      <c r="L36" s="5" t="inlineStr">
        <is>
          <t>Left empty</t>
        </is>
      </c>
      <c r="M36" s="5" t="n"/>
      <c r="N36" s="5" t="inlineStr">
        <is>
          <t>R1</t>
        </is>
      </c>
    </row>
    <row r="37">
      <c r="A37" s="5" t="inlineStr">
        <is>
          <t>Orders</t>
        </is>
      </c>
      <c r="B37" s="5" t="inlineStr">
        <is>
          <t>New order</t>
        </is>
      </c>
      <c r="C37" s="5" t="inlineStr">
        <is>
          <t>New order form (international)</t>
        </is>
      </c>
      <c r="D37" s="5" t="inlineStr">
        <is>
          <t>S001</t>
        </is>
      </c>
      <c r="E37" s="5" t="inlineStr">
        <is>
          <t>S001-E36</t>
        </is>
      </c>
      <c r="F37" s="5" t="inlineStr">
        <is>
          <t>Item HS code and lookup</t>
        </is>
      </c>
      <c r="G37" s="5" t="inlineStr">
        <is>
          <t>lookup</t>
        </is>
      </c>
      <c r="H37" s="5" t="inlineStr">
        <is>
          <t>Items (commercial invoice)</t>
        </is>
      </c>
      <c r="I37" s="5" t="n"/>
      <c r="J37" s="17" t="inlineStr">
        <is>
          <t>Fail</t>
        </is>
      </c>
      <c r="K37" s="5" t="inlineStr">
        <is>
          <t>61091000 accepted for Canada, UK and Mexico; lookup suggestion 610910 too short for Canada (BUG-011)</t>
        </is>
      </c>
      <c r="L37" s="5" t="n"/>
      <c r="M37" s="5" t="inlineStr">
        <is>
          <t>BUG-011</t>
        </is>
      </c>
      <c r="N37" s="5" t="inlineStr">
        <is>
          <t>R1</t>
        </is>
      </c>
    </row>
    <row r="38">
      <c r="A38" s="5" t="inlineStr">
        <is>
          <t>Orders</t>
        </is>
      </c>
      <c r="B38" s="5" t="inlineStr">
        <is>
          <t>New order</t>
        </is>
      </c>
      <c r="C38" s="5" t="inlineStr">
        <is>
          <t>New order form (international)</t>
        </is>
      </c>
      <c r="D38" s="5" t="inlineStr">
        <is>
          <t>S001</t>
        </is>
      </c>
      <c r="E38" s="5" t="inlineStr">
        <is>
          <t>S001-E37</t>
        </is>
      </c>
      <c r="F38" s="5" t="inlineStr">
        <is>
          <t>Item Origin</t>
        </is>
      </c>
      <c r="G38" s="5" t="inlineStr">
        <is>
          <t>text</t>
        </is>
      </c>
      <c r="H38" s="5" t="inlineStr">
        <is>
          <t>Items (commercial invoice)</t>
        </is>
      </c>
      <c r="I38" s="5" t="n"/>
      <c r="J38" s="16" t="inlineStr">
        <is>
          <t>Pass</t>
        </is>
      </c>
      <c r="K38" s="5" t="inlineStr">
        <is>
          <t>US entered on every line</t>
        </is>
      </c>
      <c r="L38" s="5" t="n"/>
      <c r="M38" s="5" t="n"/>
      <c r="N38" s="5" t="inlineStr">
        <is>
          <t>R1</t>
        </is>
      </c>
    </row>
    <row r="39">
      <c r="A39" s="5" t="inlineStr">
        <is>
          <t>Orders</t>
        </is>
      </c>
      <c r="B39" s="5" t="inlineStr">
        <is>
          <t>New order</t>
        </is>
      </c>
      <c r="C39" s="5" t="inlineStr">
        <is>
          <t>New order form (international)</t>
        </is>
      </c>
      <c r="D39" s="5" t="inlineStr">
        <is>
          <t>S001</t>
        </is>
      </c>
      <c r="E39" s="5" t="inlineStr">
        <is>
          <t>S001-E38</t>
        </is>
      </c>
      <c r="F39" s="5" t="inlineStr">
        <is>
          <t>Item Qty</t>
        </is>
      </c>
      <c r="G39" s="5" t="inlineStr">
        <is>
          <t>number</t>
        </is>
      </c>
      <c r="H39" s="5" t="inlineStr">
        <is>
          <t>Items (commercial invoice)</t>
        </is>
      </c>
      <c r="I39" s="5" t="n"/>
      <c r="J39" s="16" t="inlineStr">
        <is>
          <t>Pass</t>
        </is>
      </c>
      <c r="K39" s="5" t="inlineStr">
        <is>
          <t>2 on one line, and 1 + 1 on split lines, accepted</t>
        </is>
      </c>
      <c r="L39" s="5" t="n"/>
      <c r="M39" s="5" t="n"/>
      <c r="N39" s="5" t="inlineStr">
        <is>
          <t>R1</t>
        </is>
      </c>
    </row>
    <row r="40">
      <c r="A40" s="5" t="inlineStr">
        <is>
          <t>Orders</t>
        </is>
      </c>
      <c r="B40" s="5" t="inlineStr">
        <is>
          <t>New order</t>
        </is>
      </c>
      <c r="C40" s="5" t="inlineStr">
        <is>
          <t>New order form (international)</t>
        </is>
      </c>
      <c r="D40" s="5" t="inlineStr">
        <is>
          <t>S001</t>
        </is>
      </c>
      <c r="E40" s="5" t="inlineStr">
        <is>
          <t>S001-E39</t>
        </is>
      </c>
      <c r="F40" s="5" t="inlineStr">
        <is>
          <t>Item Unit value (USD)</t>
        </is>
      </c>
      <c r="G40" s="5" t="inlineStr">
        <is>
          <t>number</t>
        </is>
      </c>
      <c r="H40" s="5" t="inlineStr">
        <is>
          <t>Items (commercial invoice)</t>
        </is>
      </c>
      <c r="I40" s="5" t="n"/>
      <c r="J40" s="16" t="inlineStr">
        <is>
          <t>Pass</t>
        </is>
      </c>
      <c r="K40" s="5" t="inlineStr">
        <is>
          <t>20.00 accepted</t>
        </is>
      </c>
      <c r="L40" s="5" t="n"/>
      <c r="M40" s="5" t="n"/>
      <c r="N40" s="5" t="inlineStr">
        <is>
          <t>R1</t>
        </is>
      </c>
    </row>
    <row r="41">
      <c r="A41" s="5" t="inlineStr">
        <is>
          <t>Orders</t>
        </is>
      </c>
      <c r="B41" s="5" t="inlineStr">
        <is>
          <t>New order</t>
        </is>
      </c>
      <c r="C41" s="5" t="inlineStr">
        <is>
          <t>New order form (international)</t>
        </is>
      </c>
      <c r="D41" s="5" t="inlineStr">
        <is>
          <t>S001</t>
        </is>
      </c>
      <c r="E41" s="5" t="inlineStr">
        <is>
          <t>S001-E40</t>
        </is>
      </c>
      <c r="F41" s="5" t="inlineStr">
        <is>
          <t>Item Wt (lb)</t>
        </is>
      </c>
      <c r="G41" s="5" t="inlineStr">
        <is>
          <t>number</t>
        </is>
      </c>
      <c r="H41" s="5" t="inlineStr">
        <is>
          <t>Items (commercial invoice)</t>
        </is>
      </c>
      <c r="I41" s="5" t="n"/>
      <c r="J41" s="16" t="inlineStr">
        <is>
          <t>Pass</t>
        </is>
      </c>
      <c r="K41" s="5" t="inlineStr">
        <is>
          <t>0.5 lb accepted</t>
        </is>
      </c>
      <c r="L41" s="5" t="n"/>
      <c r="M41" s="5" t="n"/>
      <c r="N41" s="5" t="inlineStr">
        <is>
          <t>R1</t>
        </is>
      </c>
    </row>
    <row r="42">
      <c r="A42" s="5" t="inlineStr">
        <is>
          <t>Orders</t>
        </is>
      </c>
      <c r="B42" s="5" t="inlineStr">
        <is>
          <t>New order</t>
        </is>
      </c>
      <c r="C42" s="5" t="inlineStr">
        <is>
          <t>New order form (international)</t>
        </is>
      </c>
      <c r="D42" s="5" t="inlineStr">
        <is>
          <t>S001</t>
        </is>
      </c>
      <c r="E42" s="5" t="inlineStr">
        <is>
          <t>S001-E41</t>
        </is>
      </c>
      <c r="F42" s="5" t="inlineStr">
        <is>
          <t>Item Amount</t>
        </is>
      </c>
      <c r="G42" s="5" t="inlineStr">
        <is>
          <t>read-only</t>
        </is>
      </c>
      <c r="H42" s="5" t="inlineStr">
        <is>
          <t>Items (commercial invoice)</t>
        </is>
      </c>
      <c r="I42" s="5" t="n"/>
      <c r="J42" s="16" t="inlineStr">
        <is>
          <t>Pass</t>
        </is>
      </c>
      <c r="K42" s="5" t="inlineStr">
        <is>
          <t>20.00 and 40.00 computed from Qty x Unit value</t>
        </is>
      </c>
      <c r="L42" s="5" t="n"/>
      <c r="M42" s="5" t="n"/>
      <c r="N42" s="5" t="inlineStr">
        <is>
          <t>R1</t>
        </is>
      </c>
    </row>
    <row r="43">
      <c r="A43" s="5" t="inlineStr">
        <is>
          <t>Orders</t>
        </is>
      </c>
      <c r="B43" s="5" t="inlineStr">
        <is>
          <t>New order</t>
        </is>
      </c>
      <c r="C43" s="5" t="inlineStr">
        <is>
          <t>New order form (international)</t>
        </is>
      </c>
      <c r="D43" s="5" t="inlineStr">
        <is>
          <t>S001</t>
        </is>
      </c>
      <c r="E43" s="5" t="inlineStr">
        <is>
          <t>S001-E42</t>
        </is>
      </c>
      <c r="F43" s="5" t="inlineStr">
        <is>
          <t>Item Pkg#</t>
        </is>
      </c>
      <c r="G43" s="5" t="inlineStr">
        <is>
          <t>dropdown</t>
        </is>
      </c>
      <c r="H43" s="5" t="inlineStr">
        <is>
          <t>Items (commercial invoice)</t>
        </is>
      </c>
      <c r="I43" s="5" t="n"/>
      <c r="J43" s="17" t="inlineStr">
        <is>
          <t>Fail</t>
        </is>
      </c>
      <c r="K43" s="5" t="inlineStr">
        <is>
          <t>Pkg # 1 and 2 set by Spread across 2 boxes; all lines left in box 1 lets a USPS 2-box shipment fail (BUG-002)</t>
        </is>
      </c>
      <c r="L43" s="5" t="n"/>
      <c r="M43" s="5" t="inlineStr">
        <is>
          <t>BUG-002</t>
        </is>
      </c>
      <c r="N43" s="5" t="inlineStr">
        <is>
          <t>R1</t>
        </is>
      </c>
    </row>
    <row r="44">
      <c r="A44" s="5" t="inlineStr">
        <is>
          <t>Orders</t>
        </is>
      </c>
      <c r="B44" s="5" t="inlineStr">
        <is>
          <t>New order</t>
        </is>
      </c>
      <c r="C44" s="5" t="inlineStr">
        <is>
          <t>New order form (international)</t>
        </is>
      </c>
      <c r="D44" s="5" t="inlineStr">
        <is>
          <t>S001</t>
        </is>
      </c>
      <c r="E44" s="5" t="inlineStr">
        <is>
          <t>S001-E43</t>
        </is>
      </c>
      <c r="F44" s="5" t="inlineStr">
        <is>
          <t>Add item</t>
        </is>
      </c>
      <c r="G44" s="5" t="inlineStr">
        <is>
          <t>button</t>
        </is>
      </c>
      <c r="H44" s="5" t="inlineStr">
        <is>
          <t>Items (commercial invoice)</t>
        </is>
      </c>
      <c r="I44" s="5" t="n"/>
      <c r="J44" s="17" t="inlineStr">
        <is>
          <t>Fail</t>
        </is>
      </c>
      <c r="K44" s="5" t="inlineStr">
        <is>
          <t>adds a line, but at the top (BUG-013)</t>
        </is>
      </c>
      <c r="L44" s="5" t="n"/>
      <c r="M44" s="5" t="inlineStr">
        <is>
          <t>BUG-013</t>
        </is>
      </c>
      <c r="N44" s="5" t="inlineStr">
        <is>
          <t>R1</t>
        </is>
      </c>
    </row>
    <row r="45">
      <c r="A45" s="5" t="inlineStr">
        <is>
          <t>Orders</t>
        </is>
      </c>
      <c r="B45" s="5" t="inlineStr">
        <is>
          <t>New order</t>
        </is>
      </c>
      <c r="C45" s="5" t="inlineStr">
        <is>
          <t>New order form (international)</t>
        </is>
      </c>
      <c r="D45" s="5" t="inlineStr">
        <is>
          <t>S001</t>
        </is>
      </c>
      <c r="E45" s="5" t="inlineStr">
        <is>
          <t>S001-E44</t>
        </is>
      </c>
      <c r="F45" s="5" t="inlineStr">
        <is>
          <t>Boxes: Spread across 2 boxes</t>
        </is>
      </c>
      <c r="G45" s="5" t="inlineStr">
        <is>
          <t>button</t>
        </is>
      </c>
      <c r="H45" s="5" t="inlineStr">
        <is>
          <t>Items (commercial invoice)</t>
        </is>
      </c>
      <c r="I45" s="5" t="n"/>
      <c r="J45" s="17" t="inlineStr">
        <is>
          <t>Fail</t>
        </is>
      </c>
      <c r="K45" s="5" t="inlineStr">
        <is>
          <t>assigns the lines to boxes 1 and 2; toast covers the footer buttons (BUG-014)</t>
        </is>
      </c>
      <c r="L45" s="5" t="n"/>
      <c r="M45" s="5" t="inlineStr">
        <is>
          <t>BUG-014</t>
        </is>
      </c>
      <c r="N45" s="5" t="inlineStr">
        <is>
          <t>R1</t>
        </is>
      </c>
    </row>
    <row r="46">
      <c r="A46" s="5" t="inlineStr">
        <is>
          <t>Orders</t>
        </is>
      </c>
      <c r="B46" s="5" t="inlineStr">
        <is>
          <t>New order</t>
        </is>
      </c>
      <c r="C46" s="5" t="inlineStr">
        <is>
          <t>New order form (international)</t>
        </is>
      </c>
      <c r="D46" s="5" t="inlineStr">
        <is>
          <t>S001</t>
        </is>
      </c>
      <c r="E46" s="5" t="inlineStr">
        <is>
          <t>S001-E45</t>
        </is>
      </c>
      <c r="F46" s="5" t="inlineStr">
        <is>
          <t>Validate shipment</t>
        </is>
      </c>
      <c r="G46" s="5" t="inlineStr">
        <is>
          <t>button</t>
        </is>
      </c>
      <c r="H46" s="5" t="inlineStr">
        <is>
          <t>Footer</t>
        </is>
      </c>
      <c r="I46" s="5" t="n"/>
      <c r="J46" s="17" t="inlineStr">
        <is>
          <t>Fail</t>
        </is>
      </c>
      <c r="K46" s="5" t="inlineStr">
        <is>
          <t>runs the check on every shipment (128 orders plus 4 retests); one raw 502 toast (BUG-016)</t>
        </is>
      </c>
      <c r="L46" s="5" t="n"/>
      <c r="M46" s="5" t="inlineStr">
        <is>
          <t>BUG-016</t>
        </is>
      </c>
      <c r="N46" s="5" t="inlineStr">
        <is>
          <t>R1</t>
        </is>
      </c>
    </row>
    <row r="47">
      <c r="A47" s="5" t="inlineStr">
        <is>
          <t>Orders</t>
        </is>
      </c>
      <c r="B47" s="5" t="inlineStr">
        <is>
          <t>New order</t>
        </is>
      </c>
      <c r="C47" s="5" t="inlineStr">
        <is>
          <t>New order form (international)</t>
        </is>
      </c>
      <c r="D47" s="5" t="inlineStr">
        <is>
          <t>S001</t>
        </is>
      </c>
      <c r="E47" s="5" t="inlineStr">
        <is>
          <t>S001-E46</t>
        </is>
      </c>
      <c r="F47" s="5" t="inlineStr">
        <is>
          <t>Shipment check panel</t>
        </is>
      </c>
      <c r="G47" s="5" t="inlineStr">
        <is>
          <t>message</t>
        </is>
      </c>
      <c r="H47" s="5" t="inlineStr">
        <is>
          <t>Shipment check</t>
        </is>
      </c>
      <c r="I47" s="5" t="n"/>
      <c r="J47" s="17" t="inlineStr">
        <is>
          <t>Fail</t>
        </is>
      </c>
      <c r="K47" s="5" t="inlineStr">
        <is>
          <t>addresses, package, price, customs and carrier sections shown; false International Priority issue (BUG-004); '2-letter code' text (BUG-009); USPS 'normalised the address' note (BUG-018); UK billed weight (BUG-019)</t>
        </is>
      </c>
      <c r="L47" s="5" t="n"/>
      <c r="M47" s="5" t="inlineStr">
        <is>
          <t>BUG-004, BUG-009, BUG-018, BUG-019</t>
        </is>
      </c>
      <c r="N47" s="5" t="inlineStr">
        <is>
          <t>R1</t>
        </is>
      </c>
    </row>
    <row r="48">
      <c r="A48" s="5" t="inlineStr">
        <is>
          <t>Orders</t>
        </is>
      </c>
      <c r="B48" s="5" t="inlineStr">
        <is>
          <t>New order</t>
        </is>
      </c>
      <c r="C48" s="5" t="inlineStr">
        <is>
          <t>New order form (international)</t>
        </is>
      </c>
      <c r="D48" s="5" t="inlineStr">
        <is>
          <t>S001</t>
        </is>
      </c>
      <c r="E48" s="5" t="inlineStr">
        <is>
          <t>S001-E47</t>
        </is>
      </c>
      <c r="F48" s="5" t="inlineStr">
        <is>
          <t>Generate label</t>
        </is>
      </c>
      <c r="G48" s="5" t="inlineStr">
        <is>
          <t>button</t>
        </is>
      </c>
      <c r="H48" s="5" t="inlineStr">
        <is>
          <t>Footer</t>
        </is>
      </c>
      <c r="I48" s="5" t="n"/>
      <c r="J48" s="16" t="inlineStr">
        <is>
          <t>Pass</t>
        </is>
      </c>
      <c r="K48" s="5" t="inlineStr">
        <is>
          <t>115 labels generated; 13 carrier rejections shown as a toast with the saved order number</t>
        </is>
      </c>
      <c r="L48" s="5" t="n"/>
      <c r="M48" s="5" t="n"/>
      <c r="N48" s="5" t="inlineStr">
        <is>
          <t>R1</t>
        </is>
      </c>
    </row>
    <row r="49">
      <c r="A49" s="5" t="inlineStr">
        <is>
          <t>Orders</t>
        </is>
      </c>
      <c r="B49" s="5" t="inlineStr">
        <is>
          <t>New order</t>
        </is>
      </c>
      <c r="C49" s="5" t="inlineStr">
        <is>
          <t>Importer &amp; broker override dialog</t>
        </is>
      </c>
      <c r="D49" s="5" t="inlineStr">
        <is>
          <t>S002</t>
        </is>
      </c>
      <c r="E49" s="5" t="inlineStr">
        <is>
          <t>S002-E01</t>
        </is>
      </c>
      <c r="F49" s="5" t="inlineStr">
        <is>
          <t>Type (Business / Receiver)</t>
        </is>
      </c>
      <c r="G49" s="5" t="inlineStr">
        <is>
          <t>dropdown</t>
        </is>
      </c>
      <c r="H49" s="5" t="inlineStr">
        <is>
          <t>Importer of record</t>
        </is>
      </c>
      <c r="I49" s="5" t="n"/>
      <c r="J49" s="16" t="inlineStr">
        <is>
          <t>Pass</t>
        </is>
      </c>
      <c r="K49" s="5" t="inlineStr">
        <is>
          <t>Business and Receiver options; Receiver · DAP saved (importer card badge); no prefill from ship-to (suggestion BUG-021)</t>
        </is>
      </c>
      <c r="L49" s="5" t="n"/>
      <c r="M49" s="5" t="inlineStr">
        <is>
          <t>BUG-021</t>
        </is>
      </c>
      <c r="N49" s="5" t="inlineStr">
        <is>
          <t>R1</t>
        </is>
      </c>
    </row>
    <row r="50">
      <c r="A50" s="5" t="inlineStr">
        <is>
          <t>Orders</t>
        </is>
      </c>
      <c r="B50" s="5" t="inlineStr">
        <is>
          <t>New order</t>
        </is>
      </c>
      <c r="C50" s="5" t="inlineStr">
        <is>
          <t>Importer &amp; broker override dialog</t>
        </is>
      </c>
      <c r="D50" s="5" t="inlineStr">
        <is>
          <t>S002</t>
        </is>
      </c>
      <c r="E50" s="5" t="inlineStr">
        <is>
          <t>S002-E02</t>
        </is>
      </c>
      <c r="F50" s="5" t="inlineStr">
        <is>
          <t>Name</t>
        </is>
      </c>
      <c r="G50" s="5" t="inlineStr">
        <is>
          <t>text</t>
        </is>
      </c>
      <c r="H50" s="5" t="inlineStr">
        <is>
          <t>Importer of record</t>
        </is>
      </c>
      <c r="I50" s="5" t="n"/>
      <c r="J50" s="16" t="inlineStr">
        <is>
          <t>Pass</t>
        </is>
      </c>
      <c r="K50" s="5" t="inlineStr">
        <is>
          <t>entered; shown on the importer card</t>
        </is>
      </c>
      <c r="L50" s="5" t="n"/>
      <c r="M50" s="5" t="n"/>
      <c r="N50" s="5" t="inlineStr">
        <is>
          <t>R1</t>
        </is>
      </c>
    </row>
    <row r="51">
      <c r="A51" s="5" t="inlineStr">
        <is>
          <t>Orders</t>
        </is>
      </c>
      <c r="B51" s="5" t="inlineStr">
        <is>
          <t>New order</t>
        </is>
      </c>
      <c r="C51" s="5" t="inlineStr">
        <is>
          <t>Importer &amp; broker override dialog</t>
        </is>
      </c>
      <c r="D51" s="5" t="inlineStr">
        <is>
          <t>S002</t>
        </is>
      </c>
      <c r="E51" s="5" t="inlineStr">
        <is>
          <t>S002-E03</t>
        </is>
      </c>
      <c r="F51" s="5" t="inlineStr">
        <is>
          <t>Contact</t>
        </is>
      </c>
      <c r="G51" s="5" t="inlineStr">
        <is>
          <t>text</t>
        </is>
      </c>
      <c r="H51" s="5" t="inlineStr">
        <is>
          <t>Importer of record</t>
        </is>
      </c>
      <c r="I51" s="5" t="n"/>
      <c r="J51" s="16" t="inlineStr">
        <is>
          <t>Pass</t>
        </is>
      </c>
      <c r="K51" s="5" t="inlineStr">
        <is>
          <t>entered; accepted</t>
        </is>
      </c>
      <c r="L51" s="5" t="n"/>
      <c r="M51" s="5" t="n"/>
      <c r="N51" s="5" t="inlineStr">
        <is>
          <t>R1</t>
        </is>
      </c>
    </row>
    <row r="52">
      <c r="A52" s="5" t="inlineStr">
        <is>
          <t>Orders</t>
        </is>
      </c>
      <c r="B52" s="5" t="inlineStr">
        <is>
          <t>New order</t>
        </is>
      </c>
      <c r="C52" s="5" t="inlineStr">
        <is>
          <t>Importer &amp; broker override dialog</t>
        </is>
      </c>
      <c r="D52" s="5" t="inlineStr">
        <is>
          <t>S002</t>
        </is>
      </c>
      <c r="E52" s="5" t="inlineStr">
        <is>
          <t>S002-E04</t>
        </is>
      </c>
      <c r="F52" s="5" t="inlineStr">
        <is>
          <t>Address 1</t>
        </is>
      </c>
      <c r="G52" s="5" t="inlineStr">
        <is>
          <t>text</t>
        </is>
      </c>
      <c r="H52" s="5" t="inlineStr">
        <is>
          <t>Importer of record</t>
        </is>
      </c>
      <c r="I52" s="5" t="n"/>
      <c r="J52" s="16" t="inlineStr">
        <is>
          <t>Pass</t>
        </is>
      </c>
      <c r="K52" s="5" t="inlineStr">
        <is>
          <t>entered; shown on the importer card</t>
        </is>
      </c>
      <c r="L52" s="5" t="n"/>
      <c r="M52" s="5" t="n"/>
      <c r="N52" s="5" t="inlineStr">
        <is>
          <t>R1</t>
        </is>
      </c>
    </row>
    <row r="53">
      <c r="A53" s="5" t="inlineStr">
        <is>
          <t>Orders</t>
        </is>
      </c>
      <c r="B53" s="5" t="inlineStr">
        <is>
          <t>New order</t>
        </is>
      </c>
      <c r="C53" s="5" t="inlineStr">
        <is>
          <t>Importer &amp; broker override dialog</t>
        </is>
      </c>
      <c r="D53" s="5" t="inlineStr">
        <is>
          <t>S002</t>
        </is>
      </c>
      <c r="E53" s="5" t="inlineStr">
        <is>
          <t>S002-E05</t>
        </is>
      </c>
      <c r="F53" s="5" t="inlineStr">
        <is>
          <t>City</t>
        </is>
      </c>
      <c r="G53" s="5" t="inlineStr">
        <is>
          <t>text</t>
        </is>
      </c>
      <c r="H53" s="5" t="inlineStr">
        <is>
          <t>Importer of record</t>
        </is>
      </c>
      <c r="I53" s="5" t="n"/>
      <c r="J53" s="16" t="inlineStr">
        <is>
          <t>Pass</t>
        </is>
      </c>
      <c r="K53" s="5" t="inlineStr">
        <is>
          <t>entered; shown on the importer card</t>
        </is>
      </c>
      <c r="L53" s="5" t="n"/>
      <c r="M53" s="5" t="n"/>
      <c r="N53" s="5" t="inlineStr">
        <is>
          <t>R1</t>
        </is>
      </c>
    </row>
    <row r="54">
      <c r="A54" s="5" t="inlineStr">
        <is>
          <t>Orders</t>
        </is>
      </c>
      <c r="B54" s="5" t="inlineStr">
        <is>
          <t>New order</t>
        </is>
      </c>
      <c r="C54" s="5" t="inlineStr">
        <is>
          <t>Importer &amp; broker override dialog</t>
        </is>
      </c>
      <c r="D54" s="5" t="inlineStr">
        <is>
          <t>S002</t>
        </is>
      </c>
      <c r="E54" s="5" t="inlineStr">
        <is>
          <t>S002-E06</t>
        </is>
      </c>
      <c r="F54" s="5" t="inlineStr">
        <is>
          <t>State</t>
        </is>
      </c>
      <c r="G54" s="5" t="inlineStr">
        <is>
          <t>text</t>
        </is>
      </c>
      <c r="H54" s="5" t="inlineStr">
        <is>
          <t>Importer of record</t>
        </is>
      </c>
      <c r="I54" s="5" t="n"/>
      <c r="J54" s="16" t="inlineStr">
        <is>
          <t>Pass</t>
        </is>
      </c>
      <c r="K54" s="5" t="inlineStr">
        <is>
          <t>ON for Canada; left empty for UK and Mexico and accepted</t>
        </is>
      </c>
      <c r="L54" s="5" t="n"/>
      <c r="M54" s="5" t="n"/>
      <c r="N54" s="5" t="inlineStr">
        <is>
          <t>R1</t>
        </is>
      </c>
    </row>
    <row r="55">
      <c r="A55" s="5" t="inlineStr">
        <is>
          <t>Orders</t>
        </is>
      </c>
      <c r="B55" s="5" t="inlineStr">
        <is>
          <t>New order</t>
        </is>
      </c>
      <c r="C55" s="5" t="inlineStr">
        <is>
          <t>Importer &amp; broker override dialog</t>
        </is>
      </c>
      <c r="D55" s="5" t="inlineStr">
        <is>
          <t>S002</t>
        </is>
      </c>
      <c r="E55" s="5" t="inlineStr">
        <is>
          <t>S002-E07</t>
        </is>
      </c>
      <c r="F55" s="5" t="inlineStr">
        <is>
          <t>Post code</t>
        </is>
      </c>
      <c r="G55" s="5" t="inlineStr">
        <is>
          <t>text</t>
        </is>
      </c>
      <c r="H55" s="5" t="inlineStr">
        <is>
          <t>Importer of record</t>
        </is>
      </c>
      <c r="I55" s="5" t="n"/>
      <c r="J55" s="16" t="inlineStr">
        <is>
          <t>Pass</t>
        </is>
      </c>
      <c r="K55" s="5" t="inlineStr">
        <is>
          <t>entered; shown on the importer card</t>
        </is>
      </c>
      <c r="L55" s="5" t="n"/>
      <c r="M55" s="5" t="n"/>
      <c r="N55" s="5" t="inlineStr">
        <is>
          <t>R1</t>
        </is>
      </c>
    </row>
    <row r="56">
      <c r="A56" s="5" t="inlineStr">
        <is>
          <t>Orders</t>
        </is>
      </c>
      <c r="B56" s="5" t="inlineStr">
        <is>
          <t>New order</t>
        </is>
      </c>
      <c r="C56" s="5" t="inlineStr">
        <is>
          <t>Importer &amp; broker override dialog</t>
        </is>
      </c>
      <c r="D56" s="5" t="inlineStr">
        <is>
          <t>S002</t>
        </is>
      </c>
      <c r="E56" s="5" t="inlineStr">
        <is>
          <t>S002-E08</t>
        </is>
      </c>
      <c r="F56" s="5" t="inlineStr">
        <is>
          <t>Country (prefilled)</t>
        </is>
      </c>
      <c r="G56" s="5" t="inlineStr">
        <is>
          <t>read-only</t>
        </is>
      </c>
      <c r="H56" s="5" t="inlineStr">
        <is>
          <t>Importer of record</t>
        </is>
      </c>
      <c r="I56" s="5" t="n"/>
      <c r="J56" s="16" t="inlineStr">
        <is>
          <t>Pass</t>
        </is>
      </c>
      <c r="K56" s="5" t="inlineStr">
        <is>
          <t>prefilled CA / GB / MX from the destination</t>
        </is>
      </c>
      <c r="L56" s="5" t="n"/>
      <c r="M56" s="5" t="n"/>
      <c r="N56" s="5" t="inlineStr">
        <is>
          <t>R1</t>
        </is>
      </c>
    </row>
    <row r="57">
      <c r="A57" s="5" t="inlineStr">
        <is>
          <t>Orders</t>
        </is>
      </c>
      <c r="B57" s="5" t="inlineStr">
        <is>
          <t>New order</t>
        </is>
      </c>
      <c r="C57" s="5" t="inlineStr">
        <is>
          <t>Importer &amp; broker override dialog</t>
        </is>
      </c>
      <c r="D57" s="5" t="inlineStr">
        <is>
          <t>S002</t>
        </is>
      </c>
      <c r="E57" s="5" t="inlineStr">
        <is>
          <t>S002-E09</t>
        </is>
      </c>
      <c r="F57" s="5" t="inlineStr">
        <is>
          <t>Phone</t>
        </is>
      </c>
      <c r="G57" s="5" t="inlineStr">
        <is>
          <t>text</t>
        </is>
      </c>
      <c r="H57" s="5" t="inlineStr">
        <is>
          <t>Importer of record</t>
        </is>
      </c>
      <c r="I57" s="5" t="n"/>
      <c r="J57" s="16" t="inlineStr">
        <is>
          <t>Pass</t>
        </is>
      </c>
      <c r="K57" s="5" t="inlineStr">
        <is>
          <t>entered; shown on the importer card</t>
        </is>
      </c>
      <c r="L57" s="5" t="n"/>
      <c r="M57" s="5" t="n"/>
      <c r="N57" s="5" t="inlineStr">
        <is>
          <t>R1</t>
        </is>
      </c>
    </row>
    <row r="58">
      <c r="A58" s="5" t="inlineStr">
        <is>
          <t>Orders</t>
        </is>
      </c>
      <c r="B58" s="5" t="inlineStr">
        <is>
          <t>New order</t>
        </is>
      </c>
      <c r="C58" s="5" t="inlineStr">
        <is>
          <t>Importer &amp; broker override dialog</t>
        </is>
      </c>
      <c r="D58" s="5" t="inlineStr">
        <is>
          <t>S002</t>
        </is>
      </c>
      <c r="E58" s="5" t="inlineStr">
        <is>
          <t>S002-E10</t>
        </is>
      </c>
      <c r="F58" s="5" t="inlineStr">
        <is>
          <t>Tax ID (Mexico)</t>
        </is>
      </c>
      <c r="G58" s="5" t="inlineStr">
        <is>
          <t>text</t>
        </is>
      </c>
      <c r="H58" s="5" t="inlineStr">
        <is>
          <t>Importer of record</t>
        </is>
      </c>
      <c r="I58" s="5" t="n"/>
      <c r="J58" s="18" t="inlineStr">
        <is>
          <t>Not tested</t>
        </is>
      </c>
      <c r="K58" s="5" t="n"/>
      <c r="L58" s="5" t="inlineStr">
        <is>
          <t>Left empty</t>
        </is>
      </c>
      <c r="M58" s="5" t="n"/>
      <c r="N58" s="5" t="inlineStr">
        <is>
          <t>R1</t>
        </is>
      </c>
    </row>
    <row r="59">
      <c r="A59" s="5" t="inlineStr">
        <is>
          <t>Orders</t>
        </is>
      </c>
      <c r="B59" s="5" t="inlineStr">
        <is>
          <t>New order</t>
        </is>
      </c>
      <c r="C59" s="5" t="inlineStr">
        <is>
          <t>Importer &amp; broker override dialog</t>
        </is>
      </c>
      <c r="D59" s="5" t="inlineStr">
        <is>
          <t>S002</t>
        </is>
      </c>
      <c r="E59" s="5" t="inlineStr">
        <is>
          <t>S002-E11</t>
        </is>
      </c>
      <c r="F59" s="5" t="inlineStr">
        <is>
          <t>EORI (UK)</t>
        </is>
      </c>
      <c r="G59" s="5" t="inlineStr">
        <is>
          <t>text</t>
        </is>
      </c>
      <c r="H59" s="5" t="inlineStr">
        <is>
          <t>Importer of record</t>
        </is>
      </c>
      <c r="I59" s="5" t="n"/>
      <c r="J59" s="18" t="inlineStr">
        <is>
          <t>Not tested</t>
        </is>
      </c>
      <c r="K59" s="5" t="n"/>
      <c r="L59" s="5" t="inlineStr">
        <is>
          <t>Left empty</t>
        </is>
      </c>
      <c r="M59" s="5" t="n"/>
      <c r="N59" s="5" t="inlineStr">
        <is>
          <t>R1</t>
        </is>
      </c>
    </row>
    <row r="60">
      <c r="A60" s="5" t="inlineStr">
        <is>
          <t>Orders</t>
        </is>
      </c>
      <c r="B60" s="5" t="inlineStr">
        <is>
          <t>New order</t>
        </is>
      </c>
      <c r="C60" s="5" t="inlineStr">
        <is>
          <t>Importer &amp; broker override dialog</t>
        </is>
      </c>
      <c r="D60" s="5" t="inlineStr">
        <is>
          <t>S002</t>
        </is>
      </c>
      <c r="E60" s="5" t="inlineStr">
        <is>
          <t>S002-E12</t>
        </is>
      </c>
      <c r="F60" s="5" t="inlineStr">
        <is>
          <t>Customs broker fields</t>
        </is>
      </c>
      <c r="G60" s="5" t="inlineStr">
        <is>
          <t>text</t>
        </is>
      </c>
      <c r="H60" s="5" t="inlineStr">
        <is>
          <t>Customs broker</t>
        </is>
      </c>
      <c r="I60" s="5" t="n"/>
      <c r="J60" s="16" t="inlineStr">
        <is>
          <t>Pass</t>
        </is>
      </c>
      <c r="K60" s="5" t="inlineStr">
        <is>
          <t>left blank; card shows 'Carrier clears customs (carrier default brokerage)'</t>
        </is>
      </c>
      <c r="L60" s="5" t="n"/>
      <c r="M60" s="5" t="n"/>
      <c r="N60" s="5" t="inlineStr">
        <is>
          <t>R1</t>
        </is>
      </c>
    </row>
    <row r="61">
      <c r="A61" s="5" t="inlineStr">
        <is>
          <t>Orders</t>
        </is>
      </c>
      <c r="B61" s="5" t="inlineStr">
        <is>
          <t>New order</t>
        </is>
      </c>
      <c r="C61" s="5" t="inlineStr">
        <is>
          <t>Importer &amp; broker override dialog</t>
        </is>
      </c>
      <c r="D61" s="5" t="inlineStr">
        <is>
          <t>S002</t>
        </is>
      </c>
      <c r="E61" s="5" t="inlineStr">
        <is>
          <t>S002-E13</t>
        </is>
      </c>
      <c r="F61" s="5" t="inlineStr">
        <is>
          <t>Use for this shipment</t>
        </is>
      </c>
      <c r="G61" s="5" t="inlineStr">
        <is>
          <t>button</t>
        </is>
      </c>
      <c r="H61" s="5" t="inlineStr">
        <is>
          <t>Dialog footer</t>
        </is>
      </c>
      <c r="I61" s="5" t="n"/>
      <c r="J61" s="16" t="inlineStr">
        <is>
          <t>Pass</t>
        </is>
      </c>
      <c r="K61" s="5" t="inlineStr">
        <is>
          <t>applies the override for the shipment; labels generated with it</t>
        </is>
      </c>
      <c r="L61" s="5" t="n"/>
      <c r="M61" s="5" t="n"/>
      <c r="N61" s="5" t="inlineStr">
        <is>
          <t>R1</t>
        </is>
      </c>
    </row>
    <row r="62">
      <c r="A62" s="5" t="inlineStr">
        <is>
          <t>Orders</t>
        </is>
      </c>
      <c r="B62" s="5" t="inlineStr">
        <is>
          <t>Label</t>
        </is>
      </c>
      <c r="C62" s="5" t="inlineStr">
        <is>
          <t>Label documents</t>
        </is>
      </c>
      <c r="D62" s="5" t="inlineStr">
        <is>
          <t>S003</t>
        </is>
      </c>
      <c r="E62" s="5" t="inlineStr">
        <is>
          <t>S003-E01</t>
        </is>
      </c>
      <c r="F62" s="5" t="inlineStr">
        <is>
          <t>Shipping Label tab</t>
        </is>
      </c>
      <c r="G62" s="5" t="inlineStr">
        <is>
          <t>tab</t>
        </is>
      </c>
      <c r="H62" s="5" t="inlineStr">
        <is>
          <t>Header</t>
        </is>
      </c>
      <c r="I62" s="5" t="n"/>
      <c r="J62" s="16" t="inlineStr">
        <is>
          <t>Pass</t>
        </is>
      </c>
      <c r="K62" s="5" t="inlineStr">
        <is>
          <t>opens the label for #934118, #934119 and #934190</t>
        </is>
      </c>
      <c r="L62" s="5" t="n"/>
      <c r="M62" s="5" t="n"/>
      <c r="N62" s="5" t="inlineStr">
        <is>
          <t>R1</t>
        </is>
      </c>
    </row>
    <row r="63">
      <c r="A63" s="5" t="inlineStr">
        <is>
          <t>Orders</t>
        </is>
      </c>
      <c r="B63" s="5" t="inlineStr">
        <is>
          <t>Label</t>
        </is>
      </c>
      <c r="C63" s="5" t="inlineStr">
        <is>
          <t>Label documents</t>
        </is>
      </c>
      <c r="D63" s="5" t="inlineStr">
        <is>
          <t>S003</t>
        </is>
      </c>
      <c r="E63" s="5" t="inlineStr">
        <is>
          <t>S003-E02</t>
        </is>
      </c>
      <c r="F63" s="5" t="inlineStr">
        <is>
          <t>Commercial Invoice tab</t>
        </is>
      </c>
      <c r="G63" s="5" t="inlineStr">
        <is>
          <t>tab</t>
        </is>
      </c>
      <c r="H63" s="5" t="inlineStr">
        <is>
          <t>Header</t>
        </is>
      </c>
      <c r="I63" s="5" t="n"/>
      <c r="J63" s="18" t="inlineStr">
        <is>
          <t>Not tested</t>
        </is>
      </c>
      <c r="K63" s="5" t="n"/>
      <c r="L63" s="5" t="inlineStr">
        <is>
          <t>Present; not opened</t>
        </is>
      </c>
      <c r="M63" s="5" t="n"/>
      <c r="N63" s="5" t="inlineStr">
        <is>
          <t>R1</t>
        </is>
      </c>
    </row>
    <row r="64">
      <c r="A64" s="5" t="inlineStr">
        <is>
          <t>Orders</t>
        </is>
      </c>
      <c r="B64" s="5" t="inlineStr">
        <is>
          <t>Label</t>
        </is>
      </c>
      <c r="C64" s="5" t="inlineStr">
        <is>
          <t>Label documents</t>
        </is>
      </c>
      <c r="D64" s="5" t="inlineStr">
        <is>
          <t>S003</t>
        </is>
      </c>
      <c r="E64" s="5" t="inlineStr">
        <is>
          <t>S003-E03</t>
        </is>
      </c>
      <c r="F64" s="5" t="inlineStr">
        <is>
          <t>Label preview</t>
        </is>
      </c>
      <c r="G64" s="5" t="inlineStr">
        <is>
          <t>read-only</t>
        </is>
      </c>
      <c r="H64" s="5" t="inlineStr">
        <is>
          <t>Body</t>
        </is>
      </c>
      <c r="I64" s="5" t="n"/>
      <c r="J64" s="17" t="inlineStr">
        <is>
          <t>Fail</t>
        </is>
      </c>
      <c r="K64" s="5" t="inlineStr">
        <is>
          <t>renders for #934119 and #934190; #934118 slow (BUG-007); preview.png returns 503 on every load (BUG-015)</t>
        </is>
      </c>
      <c r="L64" s="5" t="n"/>
      <c r="M64" s="5" t="inlineStr">
        <is>
          <t>BUG-007, BUG-015</t>
        </is>
      </c>
      <c r="N64" s="5" t="inlineStr">
        <is>
          <t>R1</t>
        </is>
      </c>
    </row>
    <row r="65">
      <c r="A65" s="5" t="inlineStr">
        <is>
          <t>Orders</t>
        </is>
      </c>
      <c r="B65" s="5" t="inlineStr">
        <is>
          <t>Label</t>
        </is>
      </c>
      <c r="C65" s="5" t="inlineStr">
        <is>
          <t>Label documents</t>
        </is>
      </c>
      <c r="D65" s="5" t="inlineStr">
        <is>
          <t>S003</t>
        </is>
      </c>
      <c r="E65" s="5" t="inlineStr">
        <is>
          <t>S003-E04</t>
        </is>
      </c>
      <c r="F65" s="5" t="inlineStr">
        <is>
          <t>Download PDF</t>
        </is>
      </c>
      <c r="G65" s="5" t="inlineStr">
        <is>
          <t>button</t>
        </is>
      </c>
      <c r="H65" s="5" t="inlineStr">
        <is>
          <t>Header</t>
        </is>
      </c>
      <c r="I65" s="5" t="n"/>
      <c r="J65" s="18" t="inlineStr">
        <is>
          <t>Not tested</t>
        </is>
      </c>
      <c r="K65" s="5" t="n"/>
      <c r="L65" s="5" t="inlineStr">
        <is>
          <t>Enabled after load; download not exercised</t>
        </is>
      </c>
      <c r="M65" s="5" t="n"/>
      <c r="N65" s="5" t="inlineStr">
        <is>
          <t>R1</t>
        </is>
      </c>
    </row>
    <row r="66">
      <c r="A66" s="5" t="inlineStr">
        <is>
          <t>Orders</t>
        </is>
      </c>
      <c r="B66" s="5" t="inlineStr">
        <is>
          <t>Label</t>
        </is>
      </c>
      <c r="C66" s="5" t="inlineStr">
        <is>
          <t>Label documents</t>
        </is>
      </c>
      <c r="D66" s="5" t="inlineStr">
        <is>
          <t>S003</t>
        </is>
      </c>
      <c r="E66" s="5" t="inlineStr">
        <is>
          <t>S003-E05</t>
        </is>
      </c>
      <c r="F66" s="5" t="inlineStr">
        <is>
          <t>Download .zpl</t>
        </is>
      </c>
      <c r="G66" s="5" t="inlineStr">
        <is>
          <t>button</t>
        </is>
      </c>
      <c r="H66" s="5" t="inlineStr">
        <is>
          <t>Header</t>
        </is>
      </c>
      <c r="I66" s="5" t="n"/>
      <c r="J66" s="18" t="inlineStr">
        <is>
          <t>Not tested</t>
        </is>
      </c>
      <c r="K66" s="5" t="n"/>
      <c r="L66" s="5" t="inlineStr">
        <is>
          <t>Enabled after load; download not exercised</t>
        </is>
      </c>
      <c r="M66" s="5" t="n"/>
      <c r="N66" s="5" t="inlineStr">
        <is>
          <t>R1</t>
        </is>
      </c>
    </row>
    <row r="67">
      <c r="A67" s="5" t="inlineStr">
        <is>
          <t>Orders</t>
        </is>
      </c>
      <c r="B67" s="5" t="inlineStr">
        <is>
          <t>Label</t>
        </is>
      </c>
      <c r="C67" s="5" t="inlineStr">
        <is>
          <t>Label documents</t>
        </is>
      </c>
      <c r="D67" s="5" t="inlineStr">
        <is>
          <t>S003</t>
        </is>
      </c>
      <c r="E67" s="5" t="inlineStr">
        <is>
          <t>S003-E06</t>
        </is>
      </c>
      <c r="F67" s="5" t="inlineStr">
        <is>
          <t>Copy ZPL</t>
        </is>
      </c>
      <c r="G67" s="5" t="inlineStr">
        <is>
          <t>button</t>
        </is>
      </c>
      <c r="H67" s="5" t="inlineStr">
        <is>
          <t>Header</t>
        </is>
      </c>
      <c r="I67" s="5" t="n"/>
      <c r="J67" s="18" t="inlineStr">
        <is>
          <t>Not tested</t>
        </is>
      </c>
      <c r="K67" s="5" t="n"/>
      <c r="L67" s="5" t="inlineStr">
        <is>
          <t>Enabled after load; not exercised</t>
        </is>
      </c>
      <c r="M67" s="5" t="n"/>
      <c r="N67" s="5" t="inlineStr">
        <is>
          <t>R1</t>
        </is>
      </c>
    </row>
    <row r="68">
      <c r="A68" s="5" t="inlineStr">
        <is>
          <t>Orders</t>
        </is>
      </c>
      <c r="B68" s="5" t="inlineStr">
        <is>
          <t>Label</t>
        </is>
      </c>
      <c r="C68" s="5" t="inlineStr">
        <is>
          <t>Label documents</t>
        </is>
      </c>
      <c r="D68" s="5" t="inlineStr">
        <is>
          <t>S003</t>
        </is>
      </c>
      <c r="E68" s="5" t="inlineStr">
        <is>
          <t>S003-E07</t>
        </is>
      </c>
      <c r="F68" s="5" t="inlineStr">
        <is>
          <t>Track / Track live</t>
        </is>
      </c>
      <c r="G68" s="5" t="inlineStr">
        <is>
          <t>button</t>
        </is>
      </c>
      <c r="H68" s="5" t="inlineStr">
        <is>
          <t>Header</t>
        </is>
      </c>
      <c r="I68" s="5" t="n"/>
      <c r="J68" s="18" t="inlineStr">
        <is>
          <t>Not tested</t>
        </is>
      </c>
      <c r="K68" s="5" t="n"/>
      <c r="L68" s="5" t="inlineStr">
        <is>
          <t>Not exercised (sandbox tracking)</t>
        </is>
      </c>
      <c r="M68" s="5" t="n"/>
      <c r="N68" s="5" t="inlineStr">
        <is>
          <t>R1</t>
        </is>
      </c>
    </row>
    <row r="69">
      <c r="A69" s="5" t="inlineStr">
        <is>
          <t>Orders</t>
        </is>
      </c>
      <c r="B69" s="5" t="inlineStr">
        <is>
          <t>Label</t>
        </is>
      </c>
      <c r="C69" s="5" t="inlineStr">
        <is>
          <t>Label documents</t>
        </is>
      </c>
      <c r="D69" s="5" t="inlineStr">
        <is>
          <t>S003</t>
        </is>
      </c>
      <c r="E69" s="5" t="inlineStr">
        <is>
          <t>S003-E08</t>
        </is>
      </c>
      <c r="F69" s="5" t="inlineStr">
        <is>
          <t>Print Label</t>
        </is>
      </c>
      <c r="G69" s="5" t="inlineStr">
        <is>
          <t>button</t>
        </is>
      </c>
      <c r="H69" s="5" t="inlineStr">
        <is>
          <t>Header</t>
        </is>
      </c>
      <c r="I69" s="5" t="n"/>
      <c r="J69" s="18" t="inlineStr">
        <is>
          <t>Not tested</t>
        </is>
      </c>
      <c r="K69" s="5" t="n"/>
      <c r="L69" s="5" t="inlineStr">
        <is>
          <t>Print not exercised</t>
        </is>
      </c>
      <c r="M69" s="5" t="n"/>
      <c r="N69" s="5" t="inlineStr">
        <is>
          <t>R1</t>
        </is>
      </c>
    </row>
    <row r="70">
      <c r="A70" s="5" t="inlineStr">
        <is>
          <t>Orders</t>
        </is>
      </c>
      <c r="B70" s="5" t="inlineStr">
        <is>
          <t>Label</t>
        </is>
      </c>
      <c r="C70" s="5" t="inlineStr">
        <is>
          <t>Label documents</t>
        </is>
      </c>
      <c r="D70" s="5" t="inlineStr">
        <is>
          <t>S003</t>
        </is>
      </c>
      <c r="E70" s="5" t="inlineStr">
        <is>
          <t>S003-E09</t>
        </is>
      </c>
      <c r="F70" s="5" t="inlineStr">
        <is>
          <t>Sandbox test-label banner</t>
        </is>
      </c>
      <c r="G70" s="5" t="inlineStr">
        <is>
          <t>message</t>
        </is>
      </c>
      <c r="H70" s="5" t="inlineStr">
        <is>
          <t>Body</t>
        </is>
      </c>
      <c r="I70" s="5" t="n"/>
      <c r="J70" s="16" t="inlineStr">
        <is>
          <t>Pass</t>
        </is>
      </c>
      <c r="K70" s="5" t="inlineStr">
        <is>
          <t>'SANDBOX — TEST LABEL ONLY' banner shown</t>
        </is>
      </c>
      <c r="L70" s="5" t="n"/>
      <c r="M70" s="5" t="n"/>
      <c r="N70" s="5" t="inlineStr">
        <is>
          <t>R1</t>
        </is>
      </c>
    </row>
    <row r="71">
      <c r="A71" s="5" t="inlineStr">
        <is>
          <t>API</t>
        </is>
      </c>
      <c r="B71" s="5" t="inlineStr">
        <is>
          <t>Orders</t>
        </is>
      </c>
      <c r="C71" s="5" t="inlineStr">
        <is>
          <t>Order detail (GET /api/v1/orders/{id})</t>
        </is>
      </c>
      <c r="D71" s="5" t="inlineStr">
        <is>
          <t>S004</t>
        </is>
      </c>
      <c r="E71" s="5" t="inlineStr">
        <is>
          <t>S004-E01</t>
        </is>
      </c>
      <c r="F71" s="5" t="inlineStr">
        <is>
          <t>orderDetails.refOrderNumber</t>
        </is>
      </c>
      <c r="G71" s="5" t="inlineStr">
        <is>
          <t>read-only</t>
        </is>
      </c>
      <c r="H71" s="5" t="inlineStr">
        <is>
          <t>orderDetails</t>
        </is>
      </c>
      <c r="I71" s="5" t="n"/>
      <c r="J71" s="16" t="inlineStr">
        <is>
          <t>Pass</t>
        </is>
      </c>
      <c r="K71" s="5" t="inlineStr">
        <is>
          <t>128 of 128 match the reference typed</t>
        </is>
      </c>
      <c r="L71" s="5" t="n"/>
      <c r="M71" s="5" t="n"/>
      <c r="N71" s="5" t="inlineStr">
        <is>
          <t>R1</t>
        </is>
      </c>
    </row>
    <row r="72">
      <c r="A72" s="5" t="inlineStr">
        <is>
          <t>API</t>
        </is>
      </c>
      <c r="B72" s="5" t="inlineStr">
        <is>
          <t>Orders</t>
        </is>
      </c>
      <c r="C72" s="5" t="inlineStr">
        <is>
          <t>Order detail (GET /api/v1/orders/{id})</t>
        </is>
      </c>
      <c r="D72" s="5" t="inlineStr">
        <is>
          <t>S004</t>
        </is>
      </c>
      <c r="E72" s="5" t="inlineStr">
        <is>
          <t>S004-E02</t>
        </is>
      </c>
      <c r="F72" s="5" t="inlineStr">
        <is>
          <t>orderDetails.status</t>
        </is>
      </c>
      <c r="G72" s="5" t="inlineStr">
        <is>
          <t>read-only</t>
        </is>
      </c>
      <c r="H72" s="5" t="inlineStr">
        <is>
          <t>orderDetails</t>
        </is>
      </c>
      <c r="I72" s="5" t="n"/>
      <c r="J72" s="16" t="inlineStr">
        <is>
          <t>Pass</t>
        </is>
      </c>
      <c r="K72" s="5" t="inlineStr">
        <is>
          <t>115 GENERATED and 13 ERROR, matching what the screen showed</t>
        </is>
      </c>
      <c r="L72" s="5" t="n"/>
      <c r="M72" s="5" t="n"/>
      <c r="N72" s="5" t="inlineStr">
        <is>
          <t>R1</t>
        </is>
      </c>
    </row>
    <row r="73">
      <c r="A73" s="5" t="inlineStr">
        <is>
          <t>API</t>
        </is>
      </c>
      <c r="B73" s="5" t="inlineStr">
        <is>
          <t>Orders</t>
        </is>
      </c>
      <c r="C73" s="5" t="inlineStr">
        <is>
          <t>Order detail (GET /api/v1/orders/{id})</t>
        </is>
      </c>
      <c r="D73" s="5" t="inlineStr">
        <is>
          <t>S004</t>
        </is>
      </c>
      <c r="E73" s="5" t="inlineStr">
        <is>
          <t>S004-E03</t>
        </is>
      </c>
      <c r="F73" s="5" t="inlineStr">
        <is>
          <t>orderDetails.packageCount</t>
        </is>
      </c>
      <c r="G73" s="5" t="inlineStr">
        <is>
          <t>read-only</t>
        </is>
      </c>
      <c r="H73" s="5" t="inlineStr">
        <is>
          <t>orderDetails</t>
        </is>
      </c>
      <c r="I73" s="5" t="n"/>
      <c r="J73" s="16" t="inlineStr">
        <is>
          <t>Pass</t>
        </is>
      </c>
      <c r="K73" s="5" t="inlineStr">
        <is>
          <t>31 one-box and 97 two-box orders match</t>
        </is>
      </c>
      <c r="L73" s="5" t="n"/>
      <c r="M73" s="5" t="n"/>
      <c r="N73" s="5" t="inlineStr">
        <is>
          <t>R1</t>
        </is>
      </c>
    </row>
    <row r="74">
      <c r="A74" s="5" t="inlineStr">
        <is>
          <t>API</t>
        </is>
      </c>
      <c r="B74" s="5" t="inlineStr">
        <is>
          <t>Orders</t>
        </is>
      </c>
      <c r="C74" s="5" t="inlineStr">
        <is>
          <t>Order detail (GET /api/v1/orders/{id})</t>
        </is>
      </c>
      <c r="D74" s="5" t="inlineStr">
        <is>
          <t>S004</t>
        </is>
      </c>
      <c r="E74" s="5" t="inlineStr">
        <is>
          <t>S004-E04</t>
        </is>
      </c>
      <c r="F74" s="5" t="inlineStr">
        <is>
          <t>shippingDetails city / state / zipCode / intlYn</t>
        </is>
      </c>
      <c r="G74" s="5" t="inlineStr">
        <is>
          <t>read-only</t>
        </is>
      </c>
      <c r="H74" s="5" t="inlineStr">
        <is>
          <t>shippingDetails</t>
        </is>
      </c>
      <c r="I74" s="5" t="n"/>
      <c r="J74" s="16" t="inlineStr">
        <is>
          <t>Pass</t>
        </is>
      </c>
      <c r="K74" s="5" t="inlineStr">
        <is>
          <t>CA ON / M5V 3L9, GB E14 5AB, MX CMX / 06600; intlYn Y on all 128</t>
        </is>
      </c>
      <c r="L74" s="5" t="n"/>
      <c r="M74" s="5" t="n"/>
      <c r="N74" s="5" t="inlineStr">
        <is>
          <t>R1</t>
        </is>
      </c>
    </row>
    <row r="75">
      <c r="A75" s="5" t="inlineStr">
        <is>
          <t>API</t>
        </is>
      </c>
      <c r="B75" s="5" t="inlineStr">
        <is>
          <t>Orders</t>
        </is>
      </c>
      <c r="C75" s="5" t="inlineStr">
        <is>
          <t>Order detail (GET /api/v1/orders/{id})</t>
        </is>
      </c>
      <c r="D75" s="5" t="inlineStr">
        <is>
          <t>S004</t>
        </is>
      </c>
      <c r="E75" s="5" t="inlineStr">
        <is>
          <t>S004-E05</t>
        </is>
      </c>
      <c r="F75" s="5" t="inlineStr">
        <is>
          <t>shippingDetails.shipVia</t>
        </is>
      </c>
      <c r="G75" s="5" t="inlineStr">
        <is>
          <t>read-only</t>
        </is>
      </c>
      <c r="H75" s="5" t="inlineStr">
        <is>
          <t>shippingDetails</t>
        </is>
      </c>
      <c r="I75" s="5" t="n"/>
      <c r="J75" s="16" t="inlineStr">
        <is>
          <t>Pass</t>
        </is>
      </c>
      <c r="K75" s="5" t="inlineStr">
        <is>
          <t>FedEx IE INTERNATIONAL_ECONOMY (16), IP INTERNATIONAL_PRIORITY (24), UPS Saver 65 (32), Expedited 08 (6), Express 07 (32), USPS PMI PRIORITY_INTL (11), PMEI EXPRESS_INTL (7)</t>
        </is>
      </c>
      <c r="L75" s="5" t="n"/>
      <c r="M75" s="5" t="n"/>
      <c r="N75" s="5" t="inlineStr">
        <is>
          <t>R1</t>
        </is>
      </c>
    </row>
    <row r="76">
      <c r="A76" s="5" t="inlineStr">
        <is>
          <t>API</t>
        </is>
      </c>
      <c r="B76" s="5" t="inlineStr">
        <is>
          <t>Orders</t>
        </is>
      </c>
      <c r="C76" s="5" t="inlineStr">
        <is>
          <t>Order detail (GET /api/v1/orders/{id})</t>
        </is>
      </c>
      <c r="D76" s="5" t="inlineStr">
        <is>
          <t>S004</t>
        </is>
      </c>
      <c r="E76" s="5" t="inlineStr">
        <is>
          <t>S004-E06</t>
        </is>
      </c>
      <c r="F76" s="5" t="inlineStr">
        <is>
          <t>shippingDetails.weight</t>
        </is>
      </c>
      <c r="G76" s="5" t="inlineStr">
        <is>
          <t>read-only</t>
        </is>
      </c>
      <c r="H76" s="5" t="inlineStr">
        <is>
          <t>shippingDetails</t>
        </is>
      </c>
      <c r="I76" s="5" t="n"/>
      <c r="J76" s="16" t="inlineStr">
        <is>
          <t>Pass</t>
        </is>
      </c>
      <c r="K76" s="5" t="inlineStr">
        <is>
          <t>present and numeric on 128 orders; equals one box's weight on 2-box orders (query BUG-017)</t>
        </is>
      </c>
      <c r="L76" s="5" t="n"/>
      <c r="M76" s="5" t="inlineStr">
        <is>
          <t>BUG-017</t>
        </is>
      </c>
      <c r="N76" s="5" t="inlineStr">
        <is>
          <t>R1</t>
        </is>
      </c>
    </row>
    <row r="77">
      <c r="A77" s="5" t="inlineStr">
        <is>
          <t>API</t>
        </is>
      </c>
      <c r="B77" s="5" t="inlineStr">
        <is>
          <t>Orders</t>
        </is>
      </c>
      <c r="C77" s="5" t="inlineStr">
        <is>
          <t>Order detail (GET /api/v1/orders/{id})</t>
        </is>
      </c>
      <c r="D77" s="5" t="inlineStr">
        <is>
          <t>S004</t>
        </is>
      </c>
      <c r="E77" s="5" t="inlineStr">
        <is>
          <t>S004-E07</t>
        </is>
      </c>
      <c r="F77" s="5" t="inlineStr">
        <is>
          <t>labelDetails status / isGenerated / trackingNumber</t>
        </is>
      </c>
      <c r="G77" s="5" t="inlineStr">
        <is>
          <t>read-only</t>
        </is>
      </c>
      <c r="H77" s="5" t="inlineStr">
        <is>
          <t>labelDetails</t>
        </is>
      </c>
      <c r="I77" s="5" t="n"/>
      <c r="J77" s="16" t="inlineStr">
        <is>
          <t>Pass</t>
        </is>
      </c>
      <c r="K77" s="5" t="inlineStr">
        <is>
          <t>115 GENERATED with isGenerated and a tracking number; 13 ERROR without</t>
        </is>
      </c>
      <c r="L77" s="5" t="n"/>
      <c r="M77" s="5" t="n"/>
      <c r="N77" s="5" t="inlineStr">
        <is>
          <t>R1</t>
        </is>
      </c>
    </row>
    <row r="78">
      <c r="A78" s="5" t="inlineStr">
        <is>
          <t>API</t>
        </is>
      </c>
      <c r="B78" s="5" t="inlineStr">
        <is>
          <t>Orders</t>
        </is>
      </c>
      <c r="C78" s="5" t="inlineStr">
        <is>
          <t>Order detail (GET /api/v1/orders/{id})</t>
        </is>
      </c>
      <c r="D78" s="5" t="inlineStr">
        <is>
          <t>S004</t>
        </is>
      </c>
      <c r="E78" s="5" t="inlineStr">
        <is>
          <t>S004-E08</t>
        </is>
      </c>
      <c r="F78" s="5" t="inlineStr">
        <is>
          <t>labelDetails.labelFilePath</t>
        </is>
      </c>
      <c r="G78" s="5" t="inlineStr">
        <is>
          <t>read-only</t>
        </is>
      </c>
      <c r="H78" s="5" t="inlineStr">
        <is>
          <t>labelDetails</t>
        </is>
      </c>
      <c r="I78" s="5" t="n"/>
      <c r="J78" s="17" t="inlineStr">
        <is>
          <t>Fail</t>
        </is>
      </c>
      <c r="K78" s="5" t="inlineStr">
        <is>
          <t>base64 PDF on 114 labels; #934118 holds a FedEx document link (BUG-007)</t>
        </is>
      </c>
      <c r="L78" s="5" t="n"/>
      <c r="M78" s="5" t="n"/>
      <c r="N78" s="5" t="inlineStr">
        <is>
          <t>R1</t>
        </is>
      </c>
    </row>
    <row r="79">
      <c r="A79" s="5" t="inlineStr">
        <is>
          <t>API</t>
        </is>
      </c>
      <c r="B79" s="5" t="inlineStr">
        <is>
          <t>Orders</t>
        </is>
      </c>
      <c r="C79" s="5" t="inlineStr">
        <is>
          <t>Order detail (GET /api/v1/orders/{id})</t>
        </is>
      </c>
      <c r="D79" s="5" t="inlineStr">
        <is>
          <t>S004</t>
        </is>
      </c>
      <c r="E79" s="5" t="inlineStr">
        <is>
          <t>S004-E09</t>
        </is>
      </c>
      <c r="F79" s="5" t="inlineStr">
        <is>
          <t>errorDetails hasError / errorMessage</t>
        </is>
      </c>
      <c r="G79" s="5" t="inlineStr">
        <is>
          <t>read-only</t>
        </is>
      </c>
      <c r="H79" s="5" t="inlineStr">
        <is>
          <t>errorDetails</t>
        </is>
      </c>
      <c r="I79" s="5" t="n"/>
      <c r="J79" s="16" t="inlineStr">
        <is>
          <t>Pass</t>
        </is>
      </c>
      <c r="K79" s="5" t="inlineStr">
        <is>
          <t>13 ERROR orders carry the carrier message that the toast showed</t>
        </is>
      </c>
      <c r="L79" s="5" t="n"/>
      <c r="M79" s="5" t="n"/>
      <c r="N79" s="5" t="inlineStr">
        <is>
          <t>R1</t>
        </is>
      </c>
    </row>
    <row r="80">
      <c r="A80" s="5" t="inlineStr">
        <is>
          <t>Settings</t>
        </is>
      </c>
      <c r="B80" s="5" t="inlineStr">
        <is>
          <t>Organization &gt; Clients</t>
        </is>
      </c>
      <c r="C80" s="5" t="inlineStr">
        <is>
          <t>Clients list</t>
        </is>
      </c>
      <c r="D80" s="5" t="inlineStr">
        <is>
          <t>S006</t>
        </is>
      </c>
      <c r="E80" s="5" t="inlineStr">
        <is>
          <t>S006-E01</t>
        </is>
      </c>
      <c r="F80" s="5" t="inlineStr">
        <is>
          <t>Page header (title, description, breadcrumb, highlighted menu item)</t>
        </is>
      </c>
      <c r="G80" s="5" t="inlineStr">
        <is>
          <t>read-only</t>
        </is>
      </c>
      <c r="H80" s="5" t="inlineStr">
        <is>
          <t>Header</t>
        </is>
      </c>
      <c r="I80" s="5" t="n"/>
      <c r="J80" s="16" t="inlineStr">
        <is>
          <t>Pass</t>
        </is>
      </c>
      <c r="K80" s="5" t="inlineStr">
        <is>
          <t>title 'Clients' and description shown; top breadcrumb 'Settings &gt; Clients'; Clients highlighted in the Settings menu</t>
        </is>
      </c>
      <c r="L80" s="5" t="n"/>
      <c r="M80" s="5" t="n"/>
      <c r="N80" s="5" t="inlineStr">
        <is>
          <t>R2</t>
        </is>
      </c>
    </row>
    <row r="81">
      <c r="A81" s="5" t="inlineStr">
        <is>
          <t>Settings</t>
        </is>
      </c>
      <c r="B81" s="5" t="inlineStr">
        <is>
          <t>Organization &gt; Clients</t>
        </is>
      </c>
      <c r="C81" s="5" t="inlineStr">
        <is>
          <t>Clients list</t>
        </is>
      </c>
      <c r="D81" s="5" t="inlineStr">
        <is>
          <t>S006</t>
        </is>
      </c>
      <c r="E81" s="5" t="inlineStr">
        <is>
          <t>S006-E02</t>
        </is>
      </c>
      <c r="F81" s="5" t="inlineStr">
        <is>
          <t>Refresh</t>
        </is>
      </c>
      <c r="G81" s="5" t="inlineStr">
        <is>
          <t>button</t>
        </is>
      </c>
      <c r="H81" s="5" t="inlineStr">
        <is>
          <t>Header</t>
        </is>
      </c>
      <c r="I81" s="5" t="n"/>
      <c r="J81" s="16" t="inlineStr">
        <is>
          <t>Pass</t>
        </is>
      </c>
      <c r="K81" s="5" t="inlineStr">
        <is>
          <t>one GET /api/v1/clients (200) per click; grid redrawn with the same 2 rows</t>
        </is>
      </c>
      <c r="L81" s="5" t="n"/>
      <c r="M81" s="5" t="n"/>
      <c r="N81" s="5" t="inlineStr">
        <is>
          <t>R2</t>
        </is>
      </c>
    </row>
    <row r="82">
      <c r="A82" s="5" t="inlineStr">
        <is>
          <t>Settings</t>
        </is>
      </c>
      <c r="B82" s="5" t="inlineStr">
        <is>
          <t>Organization &gt; Clients</t>
        </is>
      </c>
      <c r="C82" s="5" t="inlineStr">
        <is>
          <t>Clients list</t>
        </is>
      </c>
      <c r="D82" s="5" t="inlineStr">
        <is>
          <t>S006</t>
        </is>
      </c>
      <c r="E82" s="5" t="inlineStr">
        <is>
          <t>S006-E03</t>
        </is>
      </c>
      <c r="F82" s="5" t="inlineStr">
        <is>
          <t>Search code, name, city</t>
        </is>
      </c>
      <c r="G82" s="5" t="inlineStr">
        <is>
          <t>search</t>
        </is>
      </c>
      <c r="H82" s="5" t="inlineStr">
        <is>
          <t>Grid toolbar</t>
        </is>
      </c>
      <c r="I82" s="5" t="n"/>
      <c r="J82" s="17" t="inlineStr">
        <is>
          <t>Fail</t>
        </is>
      </c>
      <c r="K82" s="5" t="inlineStr">
        <is>
          <t>exact code MKL246; partial lowercase 'mkl'; name 'Thoroughbred'; city 'Zeeland' (2 rows); leading/trailing spaces trimmed before sending; no match 'zzz' -&gt; 'No clients match the current filters.'; special characters handled, no error; Enter does nothing harmful; clearing restores the list; debounced: one request per typed term; % and _ act as wildcards (BUG-022)</t>
        </is>
      </c>
      <c r="L82" s="5" t="inlineStr">
        <is>
          <t>Email is not searched, which matches the placeholder 'Search code, name, city...'.</t>
        </is>
      </c>
      <c r="M82" s="5" t="inlineStr">
        <is>
          <t>BUG-022</t>
        </is>
      </c>
      <c r="N82" s="5" t="inlineStr">
        <is>
          <t>R2</t>
        </is>
      </c>
    </row>
    <row r="83">
      <c r="A83" s="5" t="inlineStr">
        <is>
          <t>Settings</t>
        </is>
      </c>
      <c r="B83" s="5" t="inlineStr">
        <is>
          <t>Organization &gt; Clients</t>
        </is>
      </c>
      <c r="C83" s="5" t="inlineStr">
        <is>
          <t>Clients list</t>
        </is>
      </c>
      <c r="D83" s="5" t="inlineStr">
        <is>
          <t>S006</t>
        </is>
      </c>
      <c r="E83" s="5" t="inlineStr">
        <is>
          <t>S006-E04</t>
        </is>
      </c>
      <c r="F83" s="5" t="inlineStr">
        <is>
          <t>Filters</t>
        </is>
      </c>
      <c r="G83" s="5" t="inlineStr">
        <is>
          <t>button</t>
        </is>
      </c>
      <c r="H83" s="5" t="inlineStr">
        <is>
          <t>Grid toolbar</t>
        </is>
      </c>
      <c r="I83" s="5" t="n"/>
      <c r="J83" s="17" t="inlineStr">
        <is>
          <t>Fail</t>
        </is>
      </c>
      <c r="K83" s="5" t="inlineStr">
        <is>
          <t>Code contains; Name contains; City contains (case-insensitive); Status All/Active/Inactive; Carrier Has UPS/FedEx/USPS; Orders All/With/No orders; filters combine with AND; badge counts active filters; Clear resets all and hides itself; Done closes and keeps filters; Esc closes the panel; Code/City contains treat % and _ as wildcards (same fault as BUG-022)</t>
        </is>
      </c>
      <c r="L83" s="5" t="n"/>
      <c r="M83" s="5" t="n"/>
      <c r="N83" s="5" t="inlineStr">
        <is>
          <t>R2</t>
        </is>
      </c>
    </row>
    <row r="84">
      <c r="A84" s="5" t="inlineStr">
        <is>
          <t>Settings</t>
        </is>
      </c>
      <c r="B84" s="5" t="inlineStr">
        <is>
          <t>Organization &gt; Clients</t>
        </is>
      </c>
      <c r="C84" s="5" t="inlineStr">
        <is>
          <t>Clients list</t>
        </is>
      </c>
      <c r="D84" s="5" t="inlineStr">
        <is>
          <t>S006</t>
        </is>
      </c>
      <c r="E84" s="5" t="inlineStr">
        <is>
          <t>S006-E05</t>
        </is>
      </c>
      <c r="F84" s="5" t="inlineStr">
        <is>
          <t>Columns (show/hide + pin)</t>
        </is>
      </c>
      <c r="G84" s="5" t="inlineStr">
        <is>
          <t>button</t>
        </is>
      </c>
      <c r="H84" s="5" t="inlineStr">
        <is>
          <t>Grid toolbar</t>
        </is>
      </c>
      <c r="I84" s="5" t="n"/>
      <c r="J84" s="16" t="inlineStr">
        <is>
          <t>Pass</t>
        </is>
      </c>
      <c r="K84" s="5" t="inlineStr">
        <is>
          <t>untick hides a column; reorder shows Cancel / Save order; Cancel reverts; Save order applies; pin to left keeps the column fixed while scrolling sideways; layout kept after page reload; Reset layout restores defaults; all columns can be hidden (BUG-023, suggestion)</t>
        </is>
      </c>
      <c r="L84" s="5" t="n"/>
      <c r="M84" s="5" t="inlineStr">
        <is>
          <t>BUG-023</t>
        </is>
      </c>
      <c r="N84" s="5" t="inlineStr">
        <is>
          <t>R2</t>
        </is>
      </c>
    </row>
    <row r="85">
      <c r="A85" s="5" t="inlineStr">
        <is>
          <t>Settings</t>
        </is>
      </c>
      <c r="B85" s="5" t="inlineStr">
        <is>
          <t>Organization &gt; Clients</t>
        </is>
      </c>
      <c r="C85" s="5" t="inlineStr">
        <is>
          <t>Clients list</t>
        </is>
      </c>
      <c r="D85" s="5" t="inlineStr">
        <is>
          <t>S006</t>
        </is>
      </c>
      <c r="E85" s="5" t="inlineStr">
        <is>
          <t>S006-E06</t>
        </is>
      </c>
      <c r="F85" s="5" t="inlineStr">
        <is>
          <t>Density</t>
        </is>
      </c>
      <c r="G85" s="5" t="inlineStr">
        <is>
          <t>button</t>
        </is>
      </c>
      <c r="H85" s="5" t="inlineStr">
        <is>
          <t>Grid toolbar</t>
        </is>
      </c>
      <c r="I85" s="5" t="n"/>
      <c r="J85" s="16" t="inlineStr">
        <is>
          <t>Pass</t>
        </is>
      </c>
      <c r="K85" s="5" t="inlineStr">
        <is>
          <t>Comfortable makes rows taller; Compact restores; selected option marked</t>
        </is>
      </c>
      <c r="L85" s="5" t="n"/>
      <c r="M85" s="5" t="n"/>
      <c r="N85" s="5" t="inlineStr">
        <is>
          <t>R2</t>
        </is>
      </c>
    </row>
    <row r="86">
      <c r="A86" s="5" t="inlineStr">
        <is>
          <t>Settings</t>
        </is>
      </c>
      <c r="B86" s="5" t="inlineStr">
        <is>
          <t>Organization &gt; Clients</t>
        </is>
      </c>
      <c r="C86" s="5" t="inlineStr">
        <is>
          <t>Clients list</t>
        </is>
      </c>
      <c r="D86" s="5" t="inlineStr">
        <is>
          <t>S006</t>
        </is>
      </c>
      <c r="E86" s="5" t="inlineStr">
        <is>
          <t>S006-E07</t>
        </is>
      </c>
      <c r="F86" s="5" t="inlineStr">
        <is>
          <t>Export (CSV of current view)</t>
        </is>
      </c>
      <c r="G86" s="5" t="inlineStr">
        <is>
          <t>export</t>
        </is>
      </c>
      <c r="H86" s="5" t="inlineStr">
        <is>
          <t>Grid toolbar</t>
        </is>
      </c>
      <c r="I86" s="5" t="n"/>
      <c r="J86" s="17" t="inlineStr">
        <is>
          <t>Fail</t>
        </is>
      </c>
      <c r="K86" s="5" t="inlineStr">
        <is>
          <t>click sends GET /api/v1/clients/export.csv (200); the current search is passed through (search=THB); the current sort is passed through; no column information is sent, so the tooltip's 'visible columns' is doubtful (BUG-038); CSV content not opened from this session</t>
        </is>
      </c>
      <c r="L86" s="5" t="inlineStr">
        <is>
          <t>Download permitted by the user for the whole Settings run; the file itself could not be read, so content is unverified.</t>
        </is>
      </c>
      <c r="M86" s="5" t="inlineStr">
        <is>
          <t>BUG-038</t>
        </is>
      </c>
      <c r="N86" s="5" t="inlineStr">
        <is>
          <t>R2</t>
        </is>
      </c>
    </row>
    <row r="87">
      <c r="A87" s="5" t="inlineStr">
        <is>
          <t>Settings</t>
        </is>
      </c>
      <c r="B87" s="5" t="inlineStr">
        <is>
          <t>Organization &gt; Clients</t>
        </is>
      </c>
      <c r="C87" s="5" t="inlineStr">
        <is>
          <t>Clients list</t>
        </is>
      </c>
      <c r="D87" s="5" t="inlineStr">
        <is>
          <t>S006</t>
        </is>
      </c>
      <c r="E87" s="5" t="inlineStr">
        <is>
          <t>S006-E08</t>
        </is>
      </c>
      <c r="F87" s="5" t="inlineStr">
        <is>
          <t>Add Client</t>
        </is>
      </c>
      <c r="G87" s="5" t="inlineStr">
        <is>
          <t>button</t>
        </is>
      </c>
      <c r="H87" s="5" t="inlineStr">
        <is>
          <t>Grid toolbar</t>
        </is>
      </c>
      <c r="I87" s="5" t="n"/>
      <c r="J87" s="16" t="inlineStr">
        <is>
          <t>Pass</t>
        </is>
      </c>
      <c r="K87" s="5" t="inlineStr">
        <is>
          <t>opens the 8-step wizard at /settings/clients/new; heading 'NEW CLIENT - Register a client'; client created end to end (QA-1012-CL01) and appears in the list</t>
        </is>
      </c>
      <c r="L87" s="5" t="n"/>
      <c r="M87" s="5" t="n"/>
      <c r="N87" s="5" t="inlineStr">
        <is>
          <t>R2</t>
        </is>
      </c>
    </row>
    <row r="88">
      <c r="A88" s="5" t="inlineStr">
        <is>
          <t>Settings</t>
        </is>
      </c>
      <c r="B88" s="5" t="inlineStr">
        <is>
          <t>Organization &gt; Clients</t>
        </is>
      </c>
      <c r="C88" s="5" t="inlineStr">
        <is>
          <t>Clients list</t>
        </is>
      </c>
      <c r="D88" s="5" t="inlineStr">
        <is>
          <t>S006</t>
        </is>
      </c>
      <c r="E88" s="5" t="inlineStr">
        <is>
          <t>S006-E09</t>
        </is>
      </c>
      <c r="F88" s="5" t="inlineStr">
        <is>
          <t>Rows per page</t>
        </is>
      </c>
      <c r="G88" s="5" t="inlineStr">
        <is>
          <t>dropdown</t>
        </is>
      </c>
      <c r="H88" s="5" t="inlineStr">
        <is>
          <t>Grid toolbar</t>
        </is>
      </c>
      <c r="I88" s="5" t="n"/>
      <c r="J88" s="16" t="inlineStr">
        <is>
          <t>Pass</t>
        </is>
      </c>
      <c r="K88" s="5" t="inlineStr">
        <is>
          <t>10, 25, 50, 100 each send size=n; 'Showing 2 of 2' unchanged</t>
        </is>
      </c>
      <c r="L88" s="5" t="n"/>
      <c r="M88" s="5" t="n"/>
      <c r="N88" s="5" t="inlineStr">
        <is>
          <t>R2</t>
        </is>
      </c>
    </row>
    <row r="89">
      <c r="A89" s="5" t="inlineStr">
        <is>
          <t>Settings</t>
        </is>
      </c>
      <c r="B89" s="5" t="inlineStr">
        <is>
          <t>Organization &gt; Clients</t>
        </is>
      </c>
      <c r="C89" s="5" t="inlineStr">
        <is>
          <t>Clients list</t>
        </is>
      </c>
      <c r="D89" s="5" t="inlineStr">
        <is>
          <t>S006</t>
        </is>
      </c>
      <c r="E89" s="5" t="inlineStr">
        <is>
          <t>S006-E10</t>
        </is>
      </c>
      <c r="F89" s="5" t="inlineStr">
        <is>
          <t>Previous / Next page and page indicator</t>
        </is>
      </c>
      <c r="G89" s="5" t="inlineStr">
        <is>
          <t>grid-paging</t>
        </is>
      </c>
      <c r="H89" s="5" t="inlineStr">
        <is>
          <t>Grid toolbar</t>
        </is>
      </c>
      <c r="I89" s="5" t="n"/>
      <c r="J89" s="16" t="inlineStr">
        <is>
          <t>Pass</t>
        </is>
      </c>
      <c r="K89" s="5" t="inlineStr">
        <is>
          <t>Previous and Next disabled on a single page; indicator '1 of 1'</t>
        </is>
      </c>
      <c r="L89" s="5" t="inlineStr">
        <is>
          <t>Moving between pages was not exercised: only 2 clients exist and the smallest page size is 10.</t>
        </is>
      </c>
      <c r="M89" s="5" t="n"/>
      <c r="N89" s="5" t="inlineStr">
        <is>
          <t>R2</t>
        </is>
      </c>
    </row>
    <row r="90">
      <c r="A90" s="5" t="inlineStr">
        <is>
          <t>Settings</t>
        </is>
      </c>
      <c r="B90" s="5" t="inlineStr">
        <is>
          <t>Organization &gt; Clients</t>
        </is>
      </c>
      <c r="C90" s="5" t="inlineStr">
        <is>
          <t>Clients list</t>
        </is>
      </c>
      <c r="D90" s="5" t="inlineStr">
        <is>
          <t>S006</t>
        </is>
      </c>
      <c r="E90" s="5" t="inlineStr">
        <is>
          <t>S006-E11</t>
        </is>
      </c>
      <c r="F90" s="5" t="inlineStr">
        <is>
          <t>'Showing X of Y clients' count</t>
        </is>
      </c>
      <c r="G90" s="5" t="inlineStr">
        <is>
          <t>read-only</t>
        </is>
      </c>
      <c r="H90" s="5" t="inlineStr">
        <is>
          <t>Grid</t>
        </is>
      </c>
      <c r="I90" s="5" t="n"/>
      <c r="J90" s="16" t="inlineStr">
        <is>
          <t>Pass</t>
        </is>
      </c>
      <c r="K90" s="5" t="inlineStr">
        <is>
          <t>'Showing 2 of 2 clients'; 'Showing 1 of 1 client' (singular) after search; 'Showing 0 of 0 clients' with no match</t>
        </is>
      </c>
      <c r="L90" s="5" t="n"/>
      <c r="M90" s="5" t="n"/>
      <c r="N90" s="5" t="inlineStr">
        <is>
          <t>R2</t>
        </is>
      </c>
    </row>
    <row r="91">
      <c r="A91" s="5" t="inlineStr">
        <is>
          <t>Settings</t>
        </is>
      </c>
      <c r="B91" s="5" t="inlineStr">
        <is>
          <t>Organization &gt; Clients</t>
        </is>
      </c>
      <c r="C91" s="5" t="inlineStr">
        <is>
          <t>Clients list</t>
        </is>
      </c>
      <c r="D91" s="5" t="inlineStr">
        <is>
          <t>S006</t>
        </is>
      </c>
      <c r="E91" s="5" t="inlineStr">
        <is>
          <t>S006-E12</t>
        </is>
      </c>
      <c r="F91" s="5" t="inlineStr">
        <is>
          <t>Sort by Code</t>
        </is>
      </c>
      <c r="G91" s="5" t="inlineStr">
        <is>
          <t>grid-sort</t>
        </is>
      </c>
      <c r="H91" s="5" t="inlineStr">
        <is>
          <t>Grid</t>
        </is>
      </c>
      <c r="I91" s="5" t="n"/>
      <c r="J91" s="17" t="inlineStr">
        <is>
          <t>Fail</t>
        </is>
      </c>
      <c r="K91" s="5" t="inlineStr">
        <is>
          <t>asc / desc both work (THB000 first when descending); third click: no arrow but still Code ascending (BUG-026)</t>
        </is>
      </c>
      <c r="L91" s="5" t="n"/>
      <c r="M91" s="5" t="inlineStr">
        <is>
          <t>BUG-026</t>
        </is>
      </c>
      <c r="N91" s="5" t="inlineStr">
        <is>
          <t>R2</t>
        </is>
      </c>
    </row>
    <row r="92">
      <c r="A92" s="5" t="inlineStr">
        <is>
          <t>Settings</t>
        </is>
      </c>
      <c r="B92" s="5" t="inlineStr">
        <is>
          <t>Organization &gt; Clients</t>
        </is>
      </c>
      <c r="C92" s="5" t="inlineStr">
        <is>
          <t>Clients list</t>
        </is>
      </c>
      <c r="D92" s="5" t="inlineStr">
        <is>
          <t>S006</t>
        </is>
      </c>
      <c r="E92" s="5" t="inlineStr">
        <is>
          <t>S006-E13</t>
        </is>
      </c>
      <c r="F92" s="5" t="inlineStr">
        <is>
          <t>Sort by Name</t>
        </is>
      </c>
      <c r="G92" s="5" t="inlineStr">
        <is>
          <t>grid-sort</t>
        </is>
      </c>
      <c r="H92" s="5" t="inlineStr">
        <is>
          <t>Grid</t>
        </is>
      </c>
      <c r="I92" s="5" t="n"/>
      <c r="J92" s="16" t="inlineStr">
        <is>
          <t>Pass</t>
        </is>
      </c>
      <c r="K92" s="5" t="inlineStr">
        <is>
          <t>Name ascending: MKL, Thoroughbred; Name descending: Thoroughbred, MKL</t>
        </is>
      </c>
      <c r="L92" s="5" t="n"/>
      <c r="M92" s="5" t="n"/>
      <c r="N92" s="5" t="inlineStr">
        <is>
          <t>R2</t>
        </is>
      </c>
    </row>
    <row r="93">
      <c r="A93" s="5" t="inlineStr">
        <is>
          <t>Settings</t>
        </is>
      </c>
      <c r="B93" s="5" t="inlineStr">
        <is>
          <t>Organization &gt; Clients</t>
        </is>
      </c>
      <c r="C93" s="5" t="inlineStr">
        <is>
          <t>Clients list</t>
        </is>
      </c>
      <c r="D93" s="5" t="inlineStr">
        <is>
          <t>S006</t>
        </is>
      </c>
      <c r="E93" s="5" t="inlineStr">
        <is>
          <t>S006-E14</t>
        </is>
      </c>
      <c r="F93" s="5" t="inlineStr">
        <is>
          <t>Sort by Orders</t>
        </is>
      </c>
      <c r="G93" s="5" t="inlineStr">
        <is>
          <t>grid-sort</t>
        </is>
      </c>
      <c r="H93" s="5" t="inlineStr">
        <is>
          <t>Grid</t>
        </is>
      </c>
      <c r="I93" s="5" t="n"/>
      <c r="J93" s="16" t="inlineStr">
        <is>
          <t>Pass</t>
        </is>
      </c>
      <c r="K93" s="5" t="inlineStr">
        <is>
          <t>first click descending: 33467 before 404; second click ascending: 404 before 33467 (numeric, not text, order); Contact, Country, Carrier accounts and Status headers are not sortable and show no sort icon</t>
        </is>
      </c>
      <c r="L93" s="5" t="n"/>
      <c r="M93" s="5" t="n"/>
      <c r="N93" s="5" t="inlineStr">
        <is>
          <t>R2</t>
        </is>
      </c>
    </row>
    <row r="94">
      <c r="A94" s="5" t="inlineStr">
        <is>
          <t>Settings</t>
        </is>
      </c>
      <c r="B94" s="5" t="inlineStr">
        <is>
          <t>Organization &gt; Clients</t>
        </is>
      </c>
      <c r="C94" s="5" t="inlineStr">
        <is>
          <t>Clients list</t>
        </is>
      </c>
      <c r="D94" s="5" t="inlineStr">
        <is>
          <t>S006</t>
        </is>
      </c>
      <c r="E94" s="5" t="inlineStr">
        <is>
          <t>S006-E15</t>
        </is>
      </c>
      <c r="F94" s="5" t="inlineStr">
        <is>
          <t>Grid columns and values (Code, Name/city, Contact, Country, Carrier accounts, Orders)</t>
        </is>
      </c>
      <c r="G94" s="5" t="inlineStr">
        <is>
          <t>grid</t>
        </is>
      </c>
      <c r="H94" s="5" t="inlineStr">
        <is>
          <t>Grid</t>
        </is>
      </c>
      <c r="I94" s="5" t="n"/>
      <c r="J94" s="16" t="inlineStr">
        <is>
          <t>Pass</t>
        </is>
      </c>
      <c r="K94" s="5" t="inlineStr">
        <is>
          <t>Code, Name (with city beneath), Contact, Country badge with title 'United States', carrier chips with a star on the default, Orders as a number, Status toggle + badge; new client's values match what was entered; long name wraps over three lines without breaking the row; em dash shown for a client with no carrier accounts</t>
        </is>
      </c>
      <c r="L94" s="5" t="n"/>
      <c r="M94" s="5" t="n"/>
      <c r="N94" s="5" t="inlineStr">
        <is>
          <t>R2</t>
        </is>
      </c>
    </row>
    <row r="95">
      <c r="A95" s="5" t="inlineStr">
        <is>
          <t>Settings</t>
        </is>
      </c>
      <c r="B95" s="5" t="inlineStr">
        <is>
          <t>Organization &gt; Clients</t>
        </is>
      </c>
      <c r="C95" s="5" t="inlineStr">
        <is>
          <t>Clients list</t>
        </is>
      </c>
      <c r="D95" s="5" t="inlineStr">
        <is>
          <t>S006</t>
        </is>
      </c>
      <c r="E95" s="5" t="inlineStr">
        <is>
          <t>S006-E16</t>
        </is>
      </c>
      <c r="F95" s="5" t="inlineStr">
        <is>
          <t>Status toggle (Activate / Deactivate client)</t>
        </is>
      </c>
      <c r="G95" s="5" t="inlineStr">
        <is>
          <t>toggle</t>
        </is>
      </c>
      <c r="H95" s="5" t="inlineStr">
        <is>
          <t>Grid</t>
        </is>
      </c>
      <c r="I95" s="5" t="n"/>
      <c r="J95" s="16" t="inlineStr">
        <is>
          <t>Pass</t>
        </is>
      </c>
      <c r="K95" s="5" t="inlineStr">
        <is>
          <t>Deactivate asks first, names the client and lists what else will be disabled (1 carrier account, 0 client-owned warehouses, 1 warehouse attachment); Cancel leaves the client Active; Deactivate sets Inactive and the Status filter then finds it; re-activating is immediate with no prompt and reports 'QA-1012-CL01 is now ACTIVE.'; the carrier chip is back after re-activating</t>
        </is>
      </c>
      <c r="L95" s="5" t="inlineStr">
        <is>
          <t>The toast prints the raw status word ACTIVE.</t>
        </is>
      </c>
      <c r="M95" s="5" t="n"/>
      <c r="N95" s="5" t="inlineStr">
        <is>
          <t>R2</t>
        </is>
      </c>
    </row>
    <row r="96">
      <c r="A96" s="5" t="inlineStr">
        <is>
          <t>Settings</t>
        </is>
      </c>
      <c r="B96" s="5" t="inlineStr">
        <is>
          <t>Organization &gt; Clients</t>
        </is>
      </c>
      <c r="C96" s="5" t="inlineStr">
        <is>
          <t>Clients list</t>
        </is>
      </c>
      <c r="D96" s="5" t="inlineStr">
        <is>
          <t>S006</t>
        </is>
      </c>
      <c r="E96" s="5" t="inlineStr">
        <is>
          <t>S006-E17</t>
        </is>
      </c>
      <c r="F96" s="5" t="inlineStr">
        <is>
          <t>Row menu &gt; Importer / Broker</t>
        </is>
      </c>
      <c r="G96" s="5" t="inlineStr">
        <is>
          <t>button</t>
        </is>
      </c>
      <c r="H96" s="5" t="inlineStr">
        <is>
          <t>Row actions</t>
        </is>
      </c>
      <c r="I96" s="5" t="n"/>
      <c r="J96" s="17" t="inlineStr">
        <is>
          <t>Fail</t>
        </is>
      </c>
      <c r="K96" s="5" t="inlineStr">
        <is>
          <t>opens 'Importer / Broker profile - New profile · MKL' with client MKL246 preselected and locked; Cancel and X close without saving (no POST); reopening shows an empty form; Esc ignored; background click discards typed data (BUG-024)</t>
        </is>
      </c>
      <c r="L96" s="5" t="n"/>
      <c r="M96" s="5" t="inlineStr">
        <is>
          <t>BUG-024</t>
        </is>
      </c>
      <c r="N96" s="5" t="inlineStr">
        <is>
          <t>R2</t>
        </is>
      </c>
    </row>
    <row r="97">
      <c r="A97" s="5" t="inlineStr">
        <is>
          <t>Settings</t>
        </is>
      </c>
      <c r="B97" s="5" t="inlineStr">
        <is>
          <t>Organization &gt; Clients</t>
        </is>
      </c>
      <c r="C97" s="5" t="inlineStr">
        <is>
          <t>Clients list</t>
        </is>
      </c>
      <c r="D97" s="5" t="inlineStr">
        <is>
          <t>S006</t>
        </is>
      </c>
      <c r="E97" s="5" t="inlineStr">
        <is>
          <t>S006-E18</t>
        </is>
      </c>
      <c r="F97" s="5" t="inlineStr">
        <is>
          <t>Row menu &gt; Edit</t>
        </is>
      </c>
      <c r="G97" s="5" t="inlineStr">
        <is>
          <t>button</t>
        </is>
      </c>
      <c r="H97" s="5" t="inlineStr">
        <is>
          <t>Row actions</t>
        </is>
      </c>
      <c r="I97" s="5" t="n"/>
      <c r="J97" s="16" t="inlineStr">
        <is>
          <t>Pass</t>
        </is>
      </c>
      <c r="K97" s="5" t="inlineStr">
        <is>
          <t>opens /settings/clients/{code} in the same 8-step wizard, header 'EDIT CLIENT'; all saved values are shown; Cancel with unsaved edits asks 'Leave client editor?' - Stay keeps the edits, Leave discards them</t>
        </is>
      </c>
      <c r="L97" s="5" t="n"/>
      <c r="M97" s="5" t="n"/>
      <c r="N97" s="5" t="inlineStr">
        <is>
          <t>R2</t>
        </is>
      </c>
    </row>
    <row r="98">
      <c r="A98" s="5" t="inlineStr">
        <is>
          <t>Settings</t>
        </is>
      </c>
      <c r="B98" s="5" t="inlineStr">
        <is>
          <t>Organization &gt; Clients</t>
        </is>
      </c>
      <c r="C98" s="5" t="inlineStr">
        <is>
          <t>Clients list</t>
        </is>
      </c>
      <c r="D98" s="5" t="inlineStr">
        <is>
          <t>S006</t>
        </is>
      </c>
      <c r="E98" s="5" t="inlineStr">
        <is>
          <t>S006-E19</t>
        </is>
      </c>
      <c r="F98" s="5" t="inlineStr">
        <is>
          <t>Row menu &gt; Delete</t>
        </is>
      </c>
      <c r="G98" s="5" t="inlineStr">
        <is>
          <t>button</t>
        </is>
      </c>
      <c r="H98" s="5" t="inlineStr">
        <is>
          <t>Row actions</t>
        </is>
      </c>
      <c r="I98" s="5" t="n"/>
      <c r="J98" s="16" t="inlineStr">
        <is>
          <t>Pass</t>
        </is>
      </c>
      <c r="K98" s="5" t="inlineStr">
        <is>
          <t>refused for a client with orders before any dialog: 'MKL246 has 404 pending order(s). Complete or void them before deleting.'; for a client with no orders: dialog names the client, lists the cascade and says 'This cannot be undone. Use Deactivate instead if you want to keep the record.'; Cancel keeps the client; Delete permanently removes it and the list falls back to 2 of 2</t>
        </is>
      </c>
      <c r="L98" s="5" t="n"/>
      <c r="M98" s="5" t="inlineStr">
        <is>
          <t>BUG-037</t>
        </is>
      </c>
      <c r="N98" s="5" t="inlineStr">
        <is>
          <t>R2</t>
        </is>
      </c>
    </row>
    <row r="99">
      <c r="A99" s="5" t="inlineStr">
        <is>
          <t>Settings</t>
        </is>
      </c>
      <c r="B99" s="5" t="inlineStr">
        <is>
          <t>Organization &gt; Clients</t>
        </is>
      </c>
      <c r="C99" s="5" t="inlineStr">
        <is>
          <t>Clients list</t>
        </is>
      </c>
      <c r="D99" s="5" t="inlineStr">
        <is>
          <t>S006</t>
        </is>
      </c>
      <c r="E99" s="5" t="inlineStr">
        <is>
          <t>S006-E20</t>
        </is>
      </c>
      <c r="F99" s="5" t="inlineStr">
        <is>
          <t>Table width / row actions reachable at 1446 px</t>
        </is>
      </c>
      <c r="G99" s="5" t="inlineStr">
        <is>
          <t>layout</t>
        </is>
      </c>
      <c r="H99" s="5" t="inlineStr">
        <is>
          <t>Grid</t>
        </is>
      </c>
      <c r="I99" s="5" t="n"/>
      <c r="J99" s="17" t="inlineStr">
        <is>
          <t>Fail</t>
        </is>
      </c>
      <c r="K99" s="5" t="inlineStr">
        <is>
          <t>at 1446 px the ⋮ column is past the right edge (BUG-025)</t>
        </is>
      </c>
      <c r="L99" s="5" t="n"/>
      <c r="M99" s="5" t="inlineStr">
        <is>
          <t>BUG-025</t>
        </is>
      </c>
      <c r="N99" s="5" t="inlineStr">
        <is>
          <t>R2</t>
        </is>
      </c>
    </row>
    <row r="100">
      <c r="A100" s="5" t="inlineStr">
        <is>
          <t>Settings</t>
        </is>
      </c>
      <c r="B100" s="5" t="inlineStr">
        <is>
          <t>Organization &gt; Clients</t>
        </is>
      </c>
      <c r="C100" s="5" t="inlineStr">
        <is>
          <t>Client wizard (Add / Edit)</t>
        </is>
      </c>
      <c r="D100" s="5" t="inlineStr">
        <is>
          <t>S040</t>
        </is>
      </c>
      <c r="E100" s="5" t="inlineStr">
        <is>
          <t>S040-E01</t>
        </is>
      </c>
      <c r="F100" s="5" t="inlineStr">
        <is>
          <t>Wizard header, step chips and 'Step n of 8' indicator</t>
        </is>
      </c>
      <c r="G100" s="5" t="inlineStr">
        <is>
          <t>navigation</t>
        </is>
      </c>
      <c r="H100" s="5" t="inlineStr">
        <is>
          <t>Header</t>
        </is>
      </c>
      <c r="I100" s="5" t="n"/>
      <c r="J100" s="16" t="inlineStr">
        <is>
          <t>Pass</t>
        </is>
      </c>
      <c r="K100" s="5" t="inlineStr">
        <is>
          <t>8 chips: Identity, Ship From, Return, Carriers, Mapping, Markup, Importer, Summary; 'Step n of 8 - &lt;name&gt;' under the footer matches the chip; chips show a green tick when complete, '!' when a required step is unfinished, amber when optional-and-empty (Markup, Importer); chips are clickable in edit mode; in the new-client wizard later steps stay locked until the earlier ones are valid</t>
        </is>
      </c>
      <c r="L100" s="5" t="n"/>
      <c r="M100" s="5" t="n"/>
      <c r="N100" s="5" t="inlineStr">
        <is>
          <t>R2</t>
        </is>
      </c>
    </row>
    <row r="101">
      <c r="A101" s="5" t="inlineStr">
        <is>
          <t>Settings</t>
        </is>
      </c>
      <c r="B101" s="5" t="inlineStr">
        <is>
          <t>Organization &gt; Clients</t>
        </is>
      </c>
      <c r="C101" s="5" t="inlineStr">
        <is>
          <t>Client wizard (Add / Edit)</t>
        </is>
      </c>
      <c r="D101" s="5" t="inlineStr">
        <is>
          <t>S040</t>
        </is>
      </c>
      <c r="E101" s="5" t="inlineStr">
        <is>
          <t>S040-E02</t>
        </is>
      </c>
      <c r="F101" s="5" t="inlineStr">
        <is>
          <t>Client code (required; letters, digits, - and _; uppercase-normalised; unique; immutable after create)</t>
        </is>
      </c>
      <c r="G101" s="5" t="inlineStr">
        <is>
          <t>text</t>
        </is>
      </c>
      <c r="H101" s="5" t="inlineStr">
        <is>
          <t>Identity</t>
        </is>
      </c>
      <c r="I101" s="5" t="n"/>
      <c r="J101" s="16" t="inlineStr">
        <is>
          <t>Pass</t>
        </is>
      </c>
      <c r="K101" s="5" t="inlineStr">
        <is>
          <t>required: Next stays disabled while empty; lowercase normalised to uppercase as typed (qa-1012-cl01 -&gt; QA-1012-CL01); spaces and punctuation refused: 'Only letters, digits, '-' and '_' are allowed (no spaces).'; accented and non-Latin letters refused the same way; capped at 50 characters; duplicate refused: 'Client code MKL246 is already registered.' (checked case-insensitively, mkl246 typed); read-only on an existing client, with the note 'Immutable after create.'</t>
        </is>
      </c>
      <c r="L101" s="5" t="n"/>
      <c r="M101" s="5" t="n"/>
      <c r="N101" s="5" t="inlineStr">
        <is>
          <t>R2</t>
        </is>
      </c>
    </row>
    <row r="102">
      <c r="A102" s="5" t="inlineStr">
        <is>
          <t>Settings</t>
        </is>
      </c>
      <c r="B102" s="5" t="inlineStr">
        <is>
          <t>Organization &gt; Clients</t>
        </is>
      </c>
      <c r="C102" s="5" t="inlineStr">
        <is>
          <t>Client wizard (Add / Edit)</t>
        </is>
      </c>
      <c r="D102" s="5" t="inlineStr">
        <is>
          <t>S040</t>
        </is>
      </c>
      <c r="E102" s="5" t="inlineStr">
        <is>
          <t>S040-E03</t>
        </is>
      </c>
      <c r="F102" s="5" t="inlineStr">
        <is>
          <t>Client name (required)</t>
        </is>
      </c>
      <c r="G102" s="5" t="inlineStr">
        <is>
          <t>text</t>
        </is>
      </c>
      <c r="H102" s="5" t="inlineStr">
        <is>
          <t>Identity</t>
        </is>
      </c>
      <c r="I102" s="5" t="n"/>
      <c r="J102" s="16" t="inlineStr">
        <is>
          <t>Pass</t>
        </is>
      </c>
      <c r="K102" s="5" t="inlineStr">
        <is>
          <t>required: 'Name is required.'; capped at 255 characters; angle brackets refused: 'Name cannot contain the characters &lt; or &gt;.'; other punctuation accepted and stored and displayed as typed: QA-1012 O'Brien &amp; Sons "quoted" 100% #1 / \ ; --; no HTML or script is rendered anywhere the name is shown (list, header, Summary)</t>
        </is>
      </c>
      <c r="L102" s="5" t="n"/>
      <c r="M102" s="5" t="n"/>
      <c r="N102" s="5" t="inlineStr">
        <is>
          <t>R2</t>
        </is>
      </c>
    </row>
    <row r="103">
      <c r="A103" s="5" t="inlineStr">
        <is>
          <t>Settings</t>
        </is>
      </c>
      <c r="B103" s="5" t="inlineStr">
        <is>
          <t>Organization &gt; Clients</t>
        </is>
      </c>
      <c r="C103" s="5" t="inlineStr">
        <is>
          <t>Client wizard (Add / Edit)</t>
        </is>
      </c>
      <c r="D103" s="5" t="inlineStr">
        <is>
          <t>S040</t>
        </is>
      </c>
      <c r="E103" s="5" t="inlineStr">
        <is>
          <t>S040-E04</t>
        </is>
      </c>
      <c r="F103" s="5" t="inlineStr">
        <is>
          <t>Email</t>
        </is>
      </c>
      <c r="G103" s="5" t="inlineStr">
        <is>
          <t>text</t>
        </is>
      </c>
      <c r="H103" s="5" t="inlineStr">
        <is>
          <t>Identity</t>
        </is>
      </c>
      <c r="I103" s="5" t="n"/>
      <c r="J103" s="16" t="inlineStr">
        <is>
          <t>Pass</t>
        </is>
      </c>
      <c r="K103" s="5" t="inlineStr">
        <is>
          <t>optional; 'abc' refused: 'Enter a valid email address (name@domain).'; 'a@b' refused as well; qa1012@example.com accepted and saved; capped at 255 characters</t>
        </is>
      </c>
      <c r="L103" s="5" t="n"/>
      <c r="M103" s="5" t="n"/>
      <c r="N103" s="5" t="inlineStr">
        <is>
          <t>R2</t>
        </is>
      </c>
    </row>
    <row r="104">
      <c r="A104" s="5" t="inlineStr">
        <is>
          <t>Settings</t>
        </is>
      </c>
      <c r="B104" s="5" t="inlineStr">
        <is>
          <t>Organization &gt; Clients</t>
        </is>
      </c>
      <c r="C104" s="5" t="inlineStr">
        <is>
          <t>Client wizard (Add / Edit)</t>
        </is>
      </c>
      <c r="D104" s="5" t="inlineStr">
        <is>
          <t>S040</t>
        </is>
      </c>
      <c r="E104" s="5" t="inlineStr">
        <is>
          <t>S040-E05</t>
        </is>
      </c>
      <c r="F104" s="5" t="inlineStr">
        <is>
          <t>Phone</t>
        </is>
      </c>
      <c r="G104" s="5" t="inlineStr">
        <is>
          <t>text</t>
        </is>
      </c>
      <c r="H104" s="5" t="inlineStr">
        <is>
          <t>Identity</t>
        </is>
      </c>
      <c r="I104" s="5" t="n"/>
      <c r="J104" s="16" t="inlineStr">
        <is>
          <t>Pass</t>
        </is>
      </c>
      <c r="K104" s="5" t="inlineStr">
        <is>
          <t>optional; 'abc!' refused: 'Enter a valid phone (digits, spaces, +, -, (), . only).'; '()' refused: 'Phone needs at least 7 digits.'; +1 (616) 555-0100 accepted; capped at 50 characters</t>
        </is>
      </c>
      <c r="L104" s="5" t="n"/>
      <c r="M104" s="5" t="n"/>
      <c r="N104" s="5" t="inlineStr">
        <is>
          <t>R2</t>
        </is>
      </c>
    </row>
    <row r="105">
      <c r="A105" s="5" t="inlineStr">
        <is>
          <t>Settings</t>
        </is>
      </c>
      <c r="B105" s="5" t="inlineStr">
        <is>
          <t>Organization &gt; Clients</t>
        </is>
      </c>
      <c r="C105" s="5" t="inlineStr">
        <is>
          <t>Client wizard (Add / Edit)</t>
        </is>
      </c>
      <c r="D105" s="5" t="inlineStr">
        <is>
          <t>S040</t>
        </is>
      </c>
      <c r="E105" s="5" t="inlineStr">
        <is>
          <t>S040-E06</t>
        </is>
      </c>
      <c r="F105" s="5" t="inlineStr">
        <is>
          <t>Defaults &gt; Currency</t>
        </is>
      </c>
      <c r="G105" s="5" t="inlineStr">
        <is>
          <t>dropdown</t>
        </is>
      </c>
      <c r="H105" s="5" t="inlineStr">
        <is>
          <t>Identity</t>
        </is>
      </c>
      <c r="I105" s="5" t="n"/>
      <c r="J105" s="16" t="inlineStr">
        <is>
          <t>Pass</t>
        </is>
      </c>
      <c r="K105" s="5" t="inlineStr">
        <is>
          <t>'- none -' plus USD, EUR, GBP, CAD, AUD, INR, JPY, CNY, MXN, AED; CAD selected and saved, shown again on reopen</t>
        </is>
      </c>
      <c r="L105" s="5" t="n"/>
      <c r="M105" s="5" t="n"/>
      <c r="N105" s="5" t="inlineStr">
        <is>
          <t>R2</t>
        </is>
      </c>
    </row>
    <row r="106">
      <c r="A106" s="5" t="inlineStr">
        <is>
          <t>Settings</t>
        </is>
      </c>
      <c r="B106" s="5" t="inlineStr">
        <is>
          <t>Organization &gt; Clients</t>
        </is>
      </c>
      <c r="C106" s="5" t="inlineStr">
        <is>
          <t>Client wizard (Add / Edit)</t>
        </is>
      </c>
      <c r="D106" s="5" t="inlineStr">
        <is>
          <t>S040</t>
        </is>
      </c>
      <c r="E106" s="5" t="inlineStr">
        <is>
          <t>S040-E07</t>
        </is>
      </c>
      <c r="F106" s="5" t="inlineStr">
        <is>
          <t>Defaults &gt; Weight unit</t>
        </is>
      </c>
      <c r="G106" s="5" t="inlineStr">
        <is>
          <t>dropdown</t>
        </is>
      </c>
      <c r="H106" s="5" t="inlineStr">
        <is>
          <t>Identity</t>
        </is>
      </c>
      <c r="I106" s="5" t="n"/>
      <c r="J106" s="16" t="inlineStr">
        <is>
          <t>Pass</t>
        </is>
      </c>
      <c r="K106" s="5" t="inlineStr">
        <is>
          <t>'- none -' plus LB, KG, OZ, G; KG selected and saved</t>
        </is>
      </c>
      <c r="L106" s="5" t="n"/>
      <c r="M106" s="5" t="n"/>
      <c r="N106" s="5" t="inlineStr">
        <is>
          <t>R2</t>
        </is>
      </c>
    </row>
    <row r="107">
      <c r="A107" s="5" t="inlineStr">
        <is>
          <t>Settings</t>
        </is>
      </c>
      <c r="B107" s="5" t="inlineStr">
        <is>
          <t>Organization &gt; Clients</t>
        </is>
      </c>
      <c r="C107" s="5" t="inlineStr">
        <is>
          <t>Client wizard (Add / Edit)</t>
        </is>
      </c>
      <c r="D107" s="5" t="inlineStr">
        <is>
          <t>S040</t>
        </is>
      </c>
      <c r="E107" s="5" t="inlineStr">
        <is>
          <t>S040-E08</t>
        </is>
      </c>
      <c r="F107" s="5" t="inlineStr">
        <is>
          <t>Defaults &gt; Dimension unit</t>
        </is>
      </c>
      <c r="G107" s="5" t="inlineStr">
        <is>
          <t>dropdown</t>
        </is>
      </c>
      <c r="H107" s="5" t="inlineStr">
        <is>
          <t>Identity</t>
        </is>
      </c>
      <c r="I107" s="5" t="n"/>
      <c r="J107" s="16" t="inlineStr">
        <is>
          <t>Pass</t>
        </is>
      </c>
      <c r="K107" s="5" t="inlineStr">
        <is>
          <t>'- none -' plus IN, CM, MM; CM selected and saved</t>
        </is>
      </c>
      <c r="L107" s="5" t="n"/>
      <c r="M107" s="5" t="n"/>
      <c r="N107" s="5" t="inlineStr">
        <is>
          <t>R2</t>
        </is>
      </c>
    </row>
    <row r="108">
      <c r="A108" s="5" t="inlineStr">
        <is>
          <t>Settings</t>
        </is>
      </c>
      <c r="B108" s="5" t="inlineStr">
        <is>
          <t>Organization &gt; Clients</t>
        </is>
      </c>
      <c r="C108" s="5" t="inlineStr">
        <is>
          <t>Client wizard (Add / Edit)</t>
        </is>
      </c>
      <c r="D108" s="5" t="inlineStr">
        <is>
          <t>S040</t>
        </is>
      </c>
      <c r="E108" s="5" t="inlineStr">
        <is>
          <t>S040-E09</t>
        </is>
      </c>
      <c r="F108" s="5" t="inlineStr">
        <is>
          <t>Defaults &gt; Origin country</t>
        </is>
      </c>
      <c r="G108" s="5" t="inlineStr">
        <is>
          <t>dropdown</t>
        </is>
      </c>
      <c r="H108" s="5" t="inlineStr">
        <is>
          <t>Identity</t>
        </is>
      </c>
      <c r="I108" s="5" t="n"/>
      <c r="J108" s="16" t="inlineStr">
        <is>
          <t>Pass</t>
        </is>
      </c>
      <c r="K108" s="5" t="inlineStr">
        <is>
          <t>'- none -' plus 12 countries (US, CA, MX, GB, DE, FR, IN, CN, AU, JP, AE, SG); CA selected and saved</t>
        </is>
      </c>
      <c r="L108" s="5" t="inlineStr">
        <is>
          <t>The list is a fixed set of 12, while Settings &gt; Countries holds the full list - worth checking that the two agree.</t>
        </is>
      </c>
      <c r="M108" s="5" t="inlineStr">
        <is>
          <t>BUG-046</t>
        </is>
      </c>
      <c r="N108" s="5" t="inlineStr">
        <is>
          <t>R2</t>
        </is>
      </c>
    </row>
    <row r="109">
      <c r="A109" s="5" t="inlineStr">
        <is>
          <t>Settings</t>
        </is>
      </c>
      <c r="B109" s="5" t="inlineStr">
        <is>
          <t>Organization &gt; Clients</t>
        </is>
      </c>
      <c r="C109" s="5" t="inlineStr">
        <is>
          <t>Client wizard (Add / Edit)</t>
        </is>
      </c>
      <c r="D109" s="5" t="inlineStr">
        <is>
          <t>S040</t>
        </is>
      </c>
      <c r="E109" s="5" t="inlineStr">
        <is>
          <t>S040-E10</t>
        </is>
      </c>
      <c r="F109" s="5" t="inlineStr">
        <is>
          <t>Defaults &gt; Timezone (IANA search and locate button)</t>
        </is>
      </c>
      <c r="G109" s="5" t="inlineStr">
        <is>
          <t>lookup</t>
        </is>
      </c>
      <c r="H109" s="5" t="inlineStr">
        <is>
          <t>Identity</t>
        </is>
      </c>
      <c r="I109" s="5" t="n"/>
      <c r="J109" s="17" t="inlineStr">
        <is>
          <t>Fail</t>
        </is>
      </c>
      <c r="K109" s="5" t="inlineStr">
        <is>
          <t>free-text search over IANA names with a suggestion list; 'toronto' (lowercase) matches America/Toronto, picking it fills the field; no match shows 'No timezone matches "Kolk".'; the locate button fills the browser's own zone; a typed value that matches nothing is dropped on blur and the previous value is kept, rather than being saved as rubbish; only legacy names are offered: Kolkata and Kyiv find nothing (BUG-027)</t>
        </is>
      </c>
      <c r="L109" s="5" t="n"/>
      <c r="M109" s="5" t="inlineStr">
        <is>
          <t>BUG-027</t>
        </is>
      </c>
      <c r="N109" s="5" t="inlineStr">
        <is>
          <t>R2</t>
        </is>
      </c>
    </row>
    <row r="110">
      <c r="A110" s="5" t="inlineStr">
        <is>
          <t>Settings</t>
        </is>
      </c>
      <c r="B110" s="5" t="inlineStr">
        <is>
          <t>Organization &gt; Clients</t>
        </is>
      </c>
      <c r="C110" s="5" t="inlineStr">
        <is>
          <t>Client wizard (Add / Edit)</t>
        </is>
      </c>
      <c r="D110" s="5" t="inlineStr">
        <is>
          <t>S040</t>
        </is>
      </c>
      <c r="E110" s="5" t="inlineStr">
        <is>
          <t>S040-E11</t>
        </is>
      </c>
      <c r="F110" s="5" t="inlineStr">
        <is>
          <t>Back / Next buttons (Next disabled until required fields are valid)</t>
        </is>
      </c>
      <c r="G110" s="5" t="inlineStr">
        <is>
          <t>button</t>
        </is>
      </c>
      <c r="H110" s="5" t="inlineStr">
        <is>
          <t>Footer</t>
        </is>
      </c>
      <c r="I110" s="5" t="n"/>
      <c r="J110" s="16" t="inlineStr">
        <is>
          <t>Pass</t>
        </is>
      </c>
      <c r="K110" s="5" t="inlineStr">
        <is>
          <t>Next disabled until the step's required fields are valid, with a tooltip listing what is missing; Back returns to the previous step keeping the entries; Back is disabled on step 1</t>
        </is>
      </c>
      <c r="L110" s="5" t="inlineStr">
        <is>
          <t>The reason Next is disabled is only in the hover tooltip, so it is not visible to a keyboard or touch user.</t>
        </is>
      </c>
      <c r="M110" s="5" t="n"/>
      <c r="N110" s="5" t="inlineStr">
        <is>
          <t>R2</t>
        </is>
      </c>
    </row>
    <row r="111">
      <c r="A111" s="5" t="inlineStr">
        <is>
          <t>Settings</t>
        </is>
      </c>
      <c r="B111" s="5" t="inlineStr">
        <is>
          <t>Organization &gt; Clients</t>
        </is>
      </c>
      <c r="C111" s="5" t="inlineStr">
        <is>
          <t>Client wizard (Add / Edit)</t>
        </is>
      </c>
      <c r="D111" s="5" t="inlineStr">
        <is>
          <t>S040</t>
        </is>
      </c>
      <c r="E111" s="5" t="inlineStr">
        <is>
          <t>S040-E12</t>
        </is>
      </c>
      <c r="F111" s="5" t="inlineStr">
        <is>
          <t>Ship From warehouse picker and address card</t>
        </is>
      </c>
      <c r="G111" s="5" t="inlineStr">
        <is>
          <t>dropdown</t>
        </is>
      </c>
      <c r="H111" s="5" t="inlineStr">
        <is>
          <t>Ship From</t>
        </is>
      </c>
      <c r="I111" s="5" t="n"/>
      <c r="J111" s="16" t="inlineStr">
        <is>
          <t>Pass</t>
        </is>
      </c>
      <c r="K111" s="5" t="inlineStr">
        <is>
          <t>required on a new client: 'Add at least one carrier account' style gate on Next; the picker lists platform warehouses; 3PL-EAST selected; the address card fills in from the warehouse (name, street, city, state, zip, country, phone); saved and attached: POST /api/v1/clients/QA-1012-CL01/warehouses</t>
        </is>
      </c>
      <c r="L111" s="5" t="n"/>
      <c r="M111" s="5" t="n"/>
      <c r="N111" s="5" t="inlineStr">
        <is>
          <t>R2</t>
        </is>
      </c>
    </row>
    <row r="112">
      <c r="A112" s="5" t="inlineStr">
        <is>
          <t>Settings</t>
        </is>
      </c>
      <c r="B112" s="5" t="inlineStr">
        <is>
          <t>Organization &gt; Clients</t>
        </is>
      </c>
      <c r="C112" s="5" t="inlineStr">
        <is>
          <t>Client wizard (Add / Edit)</t>
        </is>
      </c>
      <c r="D112" s="5" t="inlineStr">
        <is>
          <t>S040</t>
        </is>
      </c>
      <c r="E112" s="5" t="inlineStr">
        <is>
          <t>S040-E13</t>
        </is>
      </c>
      <c r="F112" s="5" t="inlineStr">
        <is>
          <t>+ Add warehouse (from the wizard)</t>
        </is>
      </c>
      <c r="G112" s="5" t="inlineStr">
        <is>
          <t>button</t>
        </is>
      </c>
      <c r="H112" s="5" t="inlineStr">
        <is>
          <t>Ship From</t>
        </is>
      </c>
      <c r="I112" s="5" t="n"/>
      <c r="J112" s="16" t="inlineStr">
        <is>
          <t>Pass</t>
        </is>
      </c>
      <c r="K112" s="5" t="inlineStr">
        <is>
          <t>opens the same 'Add warehouse' side panel as Settings &gt; Warehouses; fields: Code (uppercase, immutable after create), Name, Owner (Platform / Client), Address with a carrier picker and a Verify button, City, State/Region, Postal code, Country (ISO-2), Phone, Active; Cancel closes it and leaves the picker untouched</t>
        </is>
      </c>
      <c r="L112" s="5" t="inlineStr">
        <is>
          <t>The panel's own fields and the carrier address Verify button are tested on S007 Warehouses; Verify calls a carrier, so it is held for the user's go-ahead.</t>
        </is>
      </c>
      <c r="M112" s="5" t="n"/>
      <c r="N112" s="5" t="inlineStr">
        <is>
          <t>R2</t>
        </is>
      </c>
    </row>
    <row r="113">
      <c r="A113" s="5" t="inlineStr">
        <is>
          <t>Settings</t>
        </is>
      </c>
      <c r="B113" s="5" t="inlineStr">
        <is>
          <t>Organization &gt; Clients</t>
        </is>
      </c>
      <c r="C113" s="5" t="inlineStr">
        <is>
          <t>Client wizard (Add / Edit)</t>
        </is>
      </c>
      <c r="D113" s="5" t="inlineStr">
        <is>
          <t>S040</t>
        </is>
      </c>
      <c r="E113" s="5" t="inlineStr">
        <is>
          <t>S040-E14</t>
        </is>
      </c>
      <c r="F113" s="5" t="inlineStr">
        <is>
          <t>Return address: Same as Ship From / own address</t>
        </is>
      </c>
      <c r="G113" s="5" t="inlineStr">
        <is>
          <t>checkbox</t>
        </is>
      </c>
      <c r="H113" s="5" t="inlineStr">
        <is>
          <t>Return</t>
        </is>
      </c>
      <c r="I113" s="5" t="n"/>
      <c r="J113" s="17" t="inlineStr">
        <is>
          <t>Fail</t>
        </is>
      </c>
      <c r="K113" s="5" t="inlineStr">
        <is>
          <t>'Same as Ship From' ticked by default, showing 'Returns use the Ship From address.'; unticking reveals the full address form with per-carrier length hints; toggling back and forth keeps what was typed; required fields marked: Attention/Company, Street address, City, State, Zip, Country; fields truncate at their stated maximum as typed; ZIP format checked: 'Postal code doesn't match the US format.'; a ZIP+4 cannot be typed at all (BUG-028); the State hint names USPS with two different limits (BUG-033); saved correctly and shown again on reopen</t>
        </is>
      </c>
      <c r="L113" s="5" t="n"/>
      <c r="M113" s="5" t="inlineStr">
        <is>
          <t>BUG-028, BUG-033</t>
        </is>
      </c>
      <c r="N113" s="5" t="inlineStr">
        <is>
          <t>R2</t>
        </is>
      </c>
    </row>
    <row r="114">
      <c r="A114" s="5" t="inlineStr">
        <is>
          <t>Settings</t>
        </is>
      </c>
      <c r="B114" s="5" t="inlineStr">
        <is>
          <t>Organization &gt; Clients</t>
        </is>
      </c>
      <c r="C114" s="5" t="inlineStr">
        <is>
          <t>Client wizard (Add / Edit)</t>
        </is>
      </c>
      <c r="D114" s="5" t="inlineStr">
        <is>
          <t>S040</t>
        </is>
      </c>
      <c r="E114" s="5" t="inlineStr">
        <is>
          <t>S040-E15</t>
        </is>
      </c>
      <c r="F114" s="5" t="inlineStr">
        <is>
          <t>Carrier accounts grid for the client (+ Add Account, default star)</t>
        </is>
      </c>
      <c r="G114" s="5" t="inlineStr">
        <is>
          <t>grid</t>
        </is>
      </c>
      <c r="H114" s="5" t="inlineStr">
        <is>
          <t>Carriers</t>
        </is>
      </c>
      <c r="I114" s="5" t="n"/>
      <c r="J114" s="17" t="inlineStr">
        <is>
          <t>Fail</t>
        </is>
      </c>
      <c r="K114" s="5" t="inlineStr">
        <is>
          <t>staged accounts are listed as 'UPS - QA1012 DEFAULT, SANDBOX - client ID qa-1012-te... - secret hidden' with an x to remove; carrier list: UPS, FedEx, USPS, DHL Express; environment SANDBOX / PRODUCTION; per-carrier account number rules enforced as typed (UPS 6 alphanumerics, FedEx 9 digits, DHL up to 9, USPS a Stamps.com username); punctuation stripped from the account number as typed; Client ID and Client secret required; the secret is masked and never shown again; International defaults: Shipping purpose and Customs clearance, both optional; the staged account is created with the client (1 carrier account saved); on a saved client the step shows the client's real carrier accounts grid instead; hint and error texts disagree (BUG-029); Cancel keeps the draft (BUG-030); Add to list greys out with nothing marked (BUG-031)</t>
        </is>
      </c>
      <c r="L114" s="5" t="n"/>
      <c r="M114" s="5" t="inlineStr">
        <is>
          <t>BUG-029, BUG-030, BUG-031</t>
        </is>
      </c>
      <c r="N114" s="5" t="inlineStr">
        <is>
          <t>R2</t>
        </is>
      </c>
    </row>
    <row r="115">
      <c r="A115" s="5" t="inlineStr">
        <is>
          <t>Settings</t>
        </is>
      </c>
      <c r="B115" s="5" t="inlineStr">
        <is>
          <t>Organization &gt; Clients</t>
        </is>
      </c>
      <c r="C115" s="5" t="inlineStr">
        <is>
          <t>Client wizard (Add / Edit)</t>
        </is>
      </c>
      <c r="D115" s="5" t="inlineStr">
        <is>
          <t>S040</t>
        </is>
      </c>
      <c r="E115" s="5" t="inlineStr">
        <is>
          <t>S040-E16</t>
        </is>
      </c>
      <c r="F115" s="5" t="inlineStr">
        <is>
          <t>Mapping &gt; Shipvia alias (ERP code -&gt; platform service, Add alias, destination scope)</t>
        </is>
      </c>
      <c r="G115" s="5" t="inlineStr">
        <is>
          <t>form</t>
        </is>
      </c>
      <c r="H115" s="5" t="inlineStr">
        <is>
          <t>Mapping</t>
        </is>
      </c>
      <c r="I115" s="5" t="n"/>
      <c r="J115" s="16" t="inlineStr">
        <is>
          <t>Pass</t>
        </is>
      </c>
      <c r="K115" s="5" t="inlineStr">
        <is>
          <t>ERP ship-via code uppercased as typed (qa80 -&gt; QA80); the carrier service list is scoped to the client's own carriers (only UPS services offered); '+ platform account (optional)' lists platform accounts; Add to list stages the rule; it is POSTed on Submit (POST /clients/QA-1012-CL01/code-maps/shipvia); the staged row shows the code and the service</t>
        </is>
      </c>
      <c r="L115" s="5" t="n"/>
      <c r="M115" s="5" t="n"/>
      <c r="N115" s="5" t="inlineStr">
        <is>
          <t>R2</t>
        </is>
      </c>
    </row>
    <row r="116">
      <c r="A116" s="5" t="inlineStr">
        <is>
          <t>Settings</t>
        </is>
      </c>
      <c r="B116" s="5" t="inlineStr">
        <is>
          <t>Organization &gt; Clients</t>
        </is>
      </c>
      <c r="C116" s="5" t="inlineStr">
        <is>
          <t>Client wizard (Add / Edit)</t>
        </is>
      </c>
      <c r="D116" s="5" t="inlineStr">
        <is>
          <t>S040</t>
        </is>
      </c>
      <c r="E116" s="5" t="inlineStr">
        <is>
          <t>S040-E17</t>
        </is>
      </c>
      <c r="F116" s="5" t="inlineStr">
        <is>
          <t>Mapping &gt; Service code, Destination country and Package tabs</t>
        </is>
      </c>
      <c r="G116" s="5" t="inlineStr">
        <is>
          <t>tab</t>
        </is>
      </c>
      <c r="H116" s="5" t="inlineStr">
        <is>
          <t>Mapping</t>
        </is>
      </c>
      <c r="I116" s="5" t="n"/>
      <c r="J116" s="16" t="inlineStr">
        <is>
          <t>Pass</t>
        </is>
      </c>
      <c r="K116" s="5" t="inlineStr">
        <is>
          <t>four tabs: Shipvia, Service code, Destination country, Package; each has its own add form with the right fields and its own explanation line; Service code: ERP service-level code -&gt; carrier service; Destination country: ERP country string -&gt; ISO-2; Package: ERP package SKU -&gt; PackagePreset; '+ Add destination scope (advanced)' on Shipvia, Service code and Package; each tab shows its own empty state</t>
        </is>
      </c>
      <c r="L116" s="5" t="n"/>
      <c r="M116" s="5" t="n"/>
      <c r="N116" s="5" t="inlineStr">
        <is>
          <t>R2</t>
        </is>
      </c>
    </row>
    <row r="117">
      <c r="A117" s="5" t="inlineStr">
        <is>
          <t>Settings</t>
        </is>
      </c>
      <c r="B117" s="5" t="inlineStr">
        <is>
          <t>Organization &gt; Clients</t>
        </is>
      </c>
      <c r="C117" s="5" t="inlineStr">
        <is>
          <t>Client wizard (Add / Edit)</t>
        </is>
      </c>
      <c r="D117" s="5" t="inlineStr">
        <is>
          <t>S040</t>
        </is>
      </c>
      <c r="E117" s="5" t="inlineStr">
        <is>
          <t>S040-E18</t>
        </is>
      </c>
      <c r="F117" s="5" t="inlineStr">
        <is>
          <t>Markup: kind (Percent / Flat), Value, Currency, Preview, Save markup</t>
        </is>
      </c>
      <c r="G117" s="5" t="inlineStr">
        <is>
          <t>form</t>
        </is>
      </c>
      <c r="H117" s="5" t="inlineStr">
        <is>
          <t>Markup</t>
        </is>
      </c>
      <c r="I117" s="5" t="n"/>
      <c r="J117" s="17" t="inlineStr">
        <is>
          <t>Fail</t>
        </is>
      </c>
      <c r="K117" s="5" t="inlineStr">
        <is>
          <t>Percent of rate / Flat per shipment choice; live preview on a $25.00 base rate; 12.5% gives $28.13 (correctly rounded); Save markup saves and reports 'Markup saved for QA-1012-CL01.'; negative and non-numeric values are not caught in the form (BUG-034); large values are formatted with Indian digit grouping (BUG-035); the step is not offered at all while creating a client - 'Save this client first'</t>
        </is>
      </c>
      <c r="L117" s="5" t="inlineStr">
        <is>
          <t>Markup currency defaults to USD even when the client default currency is CAD.</t>
        </is>
      </c>
      <c r="M117" s="5" t="inlineStr">
        <is>
          <t>BUG-032, BUG-034, BUG-035</t>
        </is>
      </c>
      <c r="N117" s="5" t="inlineStr">
        <is>
          <t>R2</t>
        </is>
      </c>
    </row>
    <row r="118">
      <c r="A118" s="5" t="inlineStr">
        <is>
          <t>Settings</t>
        </is>
      </c>
      <c r="B118" s="5" t="inlineStr">
        <is>
          <t>Organization &gt; Clients</t>
        </is>
      </c>
      <c r="C118" s="5" t="inlineStr">
        <is>
          <t>Client wizard (Add / Edit)</t>
        </is>
      </c>
      <c r="D118" s="5" t="inlineStr">
        <is>
          <t>S040</t>
        </is>
      </c>
      <c r="E118" s="5" t="inlineStr">
        <is>
          <t>S040-E19</t>
        </is>
      </c>
      <c r="F118" s="5" t="inlineStr">
        <is>
          <t>Importer / Broker profiles (Add profile)</t>
        </is>
      </c>
      <c r="G118" s="5" t="inlineStr">
        <is>
          <t>form</t>
        </is>
      </c>
      <c r="H118" s="5" t="inlineStr">
        <is>
          <t>Importer</t>
        </is>
      </c>
      <c r="I118" s="5" t="n"/>
      <c r="J118" s="16" t="inlineStr">
        <is>
          <t>Pass</t>
        </is>
      </c>
      <c r="K118" s="5" t="inlineStr">
        <is>
          <t>'Add profile' and 'Add first profile' both open the Importer / Broker profile dialog; the client is pre-selected and locked ('Pre-selected from the client.'); sections: Client &amp; destinations (region then country), Importer of record, Tax identity; Cancel closes it with nothing saved</t>
        </is>
      </c>
      <c r="L118" s="5" t="inlineStr">
        <is>
          <t>The dialog's own fields belong to S019 Settings &gt; Importer / Broker; the close behaviour is BUG-024.</t>
        </is>
      </c>
      <c r="M118" s="5" t="n"/>
      <c r="N118" s="5" t="inlineStr">
        <is>
          <t>R2</t>
        </is>
      </c>
    </row>
    <row r="119">
      <c r="A119" s="5" t="inlineStr">
        <is>
          <t>Settings</t>
        </is>
      </c>
      <c r="B119" s="5" t="inlineStr">
        <is>
          <t>Organization &gt; Clients</t>
        </is>
      </c>
      <c r="C119" s="5" t="inlineStr">
        <is>
          <t>Client wizard (Add / Edit)</t>
        </is>
      </c>
      <c r="D119" s="5" t="inlineStr">
        <is>
          <t>S040</t>
        </is>
      </c>
      <c r="E119" s="5" t="inlineStr">
        <is>
          <t>S040-E20</t>
        </is>
      </c>
      <c r="F119" s="5" t="inlineStr">
        <is>
          <t>Summary (Review &amp; submit) and Finish</t>
        </is>
      </c>
      <c r="G119" s="5" t="inlineStr">
        <is>
          <t>button</t>
        </is>
      </c>
      <c r="H119" s="5" t="inlineStr">
        <is>
          <t>Summary</t>
        </is>
      </c>
      <c r="I119" s="5" t="n"/>
      <c r="J119" s="16" t="inlineStr">
        <is>
          <t>Pass</t>
        </is>
      </c>
      <c r="K119" s="5" t="inlineStr">
        <is>
          <t>every section listed with READY / SKIPPED badges and an Edit link; the values shown match what was entered on each step; Submit creates the client, the carrier account and the mapping in one go; a double-click on Submit sends only one POST /api/v1/clients; after Submit the page becomes Edit client for the new code</t>
        </is>
      </c>
      <c r="L119" s="5" t="inlineStr">
        <is>
          <t>In edit mode the same Summary step is empty - only Back and Finish are shown.</t>
        </is>
      </c>
      <c r="M119" s="5" t="n"/>
      <c r="N119" s="5" t="inlineStr">
        <is>
          <t>R2</t>
        </is>
      </c>
    </row>
    <row r="120">
      <c r="A120" s="5" t="inlineStr">
        <is>
          <t>Settings</t>
        </is>
      </c>
      <c r="B120" s="5" t="inlineStr">
        <is>
          <t>Organization &gt; Clients</t>
        </is>
      </c>
      <c r="C120" s="5" t="inlineStr">
        <is>
          <t>Client wizard (Add / Edit)</t>
        </is>
      </c>
      <c r="D120" s="5" t="inlineStr">
        <is>
          <t>S040</t>
        </is>
      </c>
      <c r="E120" s="5" t="inlineStr">
        <is>
          <t>S040-E21</t>
        </is>
      </c>
      <c r="F120" s="5" t="inlineStr">
        <is>
          <t>Edit mode: Cancel and Save changes ('Identity + addresses only')</t>
        </is>
      </c>
      <c r="G120" s="5" t="inlineStr">
        <is>
          <t>button</t>
        </is>
      </c>
      <c r="H120" s="5" t="inlineStr">
        <is>
          <t>Header</t>
        </is>
      </c>
      <c r="I120" s="5" t="n"/>
      <c r="J120" s="17" t="inlineStr">
        <is>
          <t>Fail</t>
        </is>
      </c>
      <c r="K120" s="5" t="inlineStr">
        <is>
          <t>the label 'Identity + addresses only' explains what Save changes covers; Save changes with an empty required field is refused and the field is marked; Cancel with unsaved edits asks 'Leave client editor?'; Stay keeps them, Leave discards them; Cancel with no edits returns to the list straight away</t>
        </is>
      </c>
      <c r="L120" s="5" t="n"/>
      <c r="M120" s="5" t="inlineStr">
        <is>
          <t>BUG-036</t>
        </is>
      </c>
      <c r="N120" s="5" t="inlineStr">
        <is>
          <t>R2</t>
        </is>
      </c>
    </row>
    <row r="121">
      <c r="A121" s="5" t="inlineStr">
        <is>
          <t>Settings</t>
        </is>
      </c>
      <c r="B121" s="5" t="inlineStr">
        <is>
          <t>Organization &gt; Clients</t>
        </is>
      </c>
      <c r="C121" s="5" t="inlineStr">
        <is>
          <t>Client wizard (Add / Edit)</t>
        </is>
      </c>
      <c r="D121" s="5" t="inlineStr">
        <is>
          <t>S040</t>
        </is>
      </c>
      <c r="E121" s="5" t="inlineStr">
        <is>
          <t>S040-E22</t>
        </is>
      </c>
      <c r="F121" s="5" t="inlineStr">
        <is>
          <t>Leaving with unsaved changes (back arrow, sidebar, browser back)</t>
        </is>
      </c>
      <c r="G121" s="5" t="inlineStr">
        <is>
          <t>navigation</t>
        </is>
      </c>
      <c r="H121" s="5" t="inlineStr">
        <is>
          <t>Whole wizard</t>
        </is>
      </c>
      <c r="I121" s="5" t="n"/>
      <c r="J121" s="16" t="inlineStr">
        <is>
          <t>Pass</t>
        </is>
      </c>
      <c r="K121" s="5" t="inlineStr">
        <is>
          <t>the back arrow and Cancel both raise 'Leave client editor? This client has unsaved changes. Leave and lose what you've edited?'; Stay keeps the edits; Leave returns to the list and discards them; leaving with nothing edited does not prompt</t>
        </is>
      </c>
      <c r="L121" s="5" t="n"/>
      <c r="M121" s="5" t="n"/>
      <c r="N121" s="5" t="inlineStr">
        <is>
          <t>R2</t>
        </is>
      </c>
    </row>
    <row r="122">
      <c r="A122" s="5" t="inlineStr">
        <is>
          <t>Settings</t>
        </is>
      </c>
      <c r="B122" s="5" t="inlineStr">
        <is>
          <t>Organization &gt; Clients</t>
        </is>
      </c>
      <c r="C122" s="5" t="inlineStr">
        <is>
          <t>Client wizard (Add / Edit)</t>
        </is>
      </c>
      <c r="D122" s="5" t="inlineStr">
        <is>
          <t>S040</t>
        </is>
      </c>
      <c r="E122" s="5" t="inlineStr">
        <is>
          <t>S040-E23</t>
        </is>
      </c>
      <c r="F122" s="5" t="inlineStr">
        <is>
          <t>Keyboard: initial focus, Tab order, Enter</t>
        </is>
      </c>
      <c r="G122" s="5" t="inlineStr">
        <is>
          <t>other</t>
        </is>
      </c>
      <c r="H122" s="5" t="inlineStr">
        <is>
          <t>Identity</t>
        </is>
      </c>
      <c r="I122" s="5" t="n"/>
      <c r="J122" s="16" t="inlineStr">
        <is>
          <t>Pass</t>
        </is>
      </c>
      <c r="K122" s="5" t="inlineStr">
        <is>
          <t>Tab order on Identity follows the visual order: code, name, email, phone, currency, weight, dimension, origin, timezone, locate, Next; Enter in a text field does not submit the step</t>
        </is>
      </c>
      <c r="L122" s="5" t="inlineStr">
        <is>
          <t>Opening the wizard leaves focus on BODY rather than the first field, so a keyboard user has to tab in.</t>
        </is>
      </c>
      <c r="M122" s="5" t="n"/>
      <c r="N122" s="5" t="inlineStr">
        <is>
          <t>R2</t>
        </is>
      </c>
    </row>
    <row r="123">
      <c r="A123" s="5" t="inlineStr">
        <is>
          <t>Settings</t>
        </is>
      </c>
      <c r="B123" s="5" t="inlineStr">
        <is>
          <t>Organization &gt; Clients</t>
        </is>
      </c>
      <c r="C123" s="5" t="inlineStr">
        <is>
          <t>Client wizard (Add / Edit)</t>
        </is>
      </c>
      <c r="D123" s="5" t="inlineStr">
        <is>
          <t>S040</t>
        </is>
      </c>
      <c r="E123" s="5" t="inlineStr">
        <is>
          <t>S040-E24</t>
        </is>
      </c>
      <c r="F123" s="5" t="inlineStr">
        <is>
          <t>Breadcrumb and browser tab title in the wizard</t>
        </is>
      </c>
      <c r="G123" s="5" t="inlineStr">
        <is>
          <t>other</t>
        </is>
      </c>
      <c r="H123" s="5" t="inlineStr">
        <is>
          <t>Header</t>
        </is>
      </c>
      <c r="I123" s="5" t="n"/>
      <c r="J123" s="17" t="inlineStr">
        <is>
          <t>Fail</t>
        </is>
      </c>
      <c r="K123" s="5" t="inlineStr">
        <is>
          <t>the breadcrumb at the top of the window still reads 'Settings' on /settings/clients/new and /settings/clients/{code} instead of naming the client or the step; the browser tab title is 'multiship-react' on every page</t>
        </is>
      </c>
      <c r="L123" s="5" t="n"/>
      <c r="M123" s="5" t="inlineStr">
        <is>
          <t>BUG-039</t>
        </is>
      </c>
      <c r="N123" s="5" t="inlineStr">
        <is>
          <t>R2</t>
        </is>
      </c>
    </row>
    <row r="124">
      <c r="A124" s="5" t="inlineStr">
        <is>
          <t>Settings</t>
        </is>
      </c>
      <c r="B124" s="5" t="inlineStr">
        <is>
          <t>Organization &gt; Clients</t>
        </is>
      </c>
      <c r="C124" s="5" t="inlineStr">
        <is>
          <t>Clients list</t>
        </is>
      </c>
      <c r="D124" s="5" t="inlineStr">
        <is>
          <t>S006</t>
        </is>
      </c>
      <c r="E124" s="5" t="inlineStr">
        <is>
          <t>S006-E21</t>
        </is>
      </c>
      <c r="F124" s="5" t="inlineStr">
        <is>
          <t>Toasts and messages (success, validation, server errors)</t>
        </is>
      </c>
      <c r="G124" s="5" t="inlineStr">
        <is>
          <t>other</t>
        </is>
      </c>
      <c r="H124" s="5" t="inlineStr">
        <is>
          <t>Page</t>
        </is>
      </c>
      <c r="I124" s="5" t="n"/>
      <c r="J124" s="17" t="inlineStr">
        <is>
          <t>Fail</t>
        </is>
      </c>
      <c r="K124" s="5" t="inlineStr">
        <is>
          <t>green 'Done' toasts appear for save, activate and delete and clear by themselves; red error toasts never time out (BUG-037) and stack; validation failures are headed 'Something went wrong' (BUG-036); no raw stack traces or HTTP codes seen on this screen</t>
        </is>
      </c>
      <c r="L124" s="5" t="n"/>
      <c r="M124" s="5" t="inlineStr">
        <is>
          <t>BUG-037</t>
        </is>
      </c>
      <c r="N124" s="5" t="inlineStr">
        <is>
          <t>R2</t>
        </is>
      </c>
    </row>
    <row r="125">
      <c r="A125" s="5" t="inlineStr">
        <is>
          <t>Settings</t>
        </is>
      </c>
      <c r="B125" s="5" t="inlineStr">
        <is>
          <t>Organization &gt; Warehouses</t>
        </is>
      </c>
      <c r="C125" s="5" t="inlineStr">
        <is>
          <t>Warehouses list</t>
        </is>
      </c>
      <c r="D125" s="5" t="inlineStr">
        <is>
          <t>S007</t>
        </is>
      </c>
      <c r="E125" s="5" t="inlineStr">
        <is>
          <t>S007-E01</t>
        </is>
      </c>
      <c r="F125" s="5" t="inlineStr">
        <is>
          <t>Page header (title, description, breadcrumb, highlighted menu item)</t>
        </is>
      </c>
      <c r="G125" s="5" t="inlineStr">
        <is>
          <t>other</t>
        </is>
      </c>
      <c r="H125" s="5" t="inlineStr">
        <is>
          <t>Header</t>
        </is>
      </c>
      <c r="I125" s="5" t="n"/>
      <c r="J125" s="16" t="inlineStr">
        <is>
          <t>Pass</t>
        </is>
      </c>
      <c r="K125" s="5" t="inlineStr">
        <is>
          <t>title 'Warehouses' and the description 'Ship-from locations - first-class in a 3PL setup...'; breadcrumb 'Settings &gt; Warehouses'; Warehouses highlighted in the Settings menu</t>
        </is>
      </c>
      <c r="L125" s="5" t="n"/>
      <c r="M125" s="5" t="n"/>
      <c r="N125" s="5" t="inlineStr">
        <is>
          <t>R2</t>
        </is>
      </c>
    </row>
    <row r="126">
      <c r="A126" s="5" t="inlineStr">
        <is>
          <t>Settings</t>
        </is>
      </c>
      <c r="B126" s="5" t="inlineStr">
        <is>
          <t>Organization &gt; Warehouses</t>
        </is>
      </c>
      <c r="C126" s="5" t="inlineStr">
        <is>
          <t>Warehouses list</t>
        </is>
      </c>
      <c r="D126" s="5" t="inlineStr">
        <is>
          <t>S007</t>
        </is>
      </c>
      <c r="E126" s="5" t="inlineStr">
        <is>
          <t>S007-E02</t>
        </is>
      </c>
      <c r="F126" s="5" t="inlineStr">
        <is>
          <t>Refresh</t>
        </is>
      </c>
      <c r="G126" s="5" t="inlineStr">
        <is>
          <t>button</t>
        </is>
      </c>
      <c r="H126" s="5" t="inlineStr">
        <is>
          <t>Header</t>
        </is>
      </c>
      <c r="I126" s="5" t="n"/>
      <c r="J126" s="16" t="inlineStr">
        <is>
          <t>Pass</t>
        </is>
      </c>
      <c r="K126" s="5" t="inlineStr">
        <is>
          <t>one GET /api/v1/warehouses (200) per click; the grid is redrawn with the same rows</t>
        </is>
      </c>
      <c r="L126" s="5" t="n"/>
      <c r="M126" s="5" t="n"/>
      <c r="N126" s="5" t="inlineStr">
        <is>
          <t>R2</t>
        </is>
      </c>
    </row>
    <row r="127">
      <c r="A127" s="5" t="inlineStr">
        <is>
          <t>Settings</t>
        </is>
      </c>
      <c r="B127" s="5" t="inlineStr">
        <is>
          <t>Organization &gt; Warehouses</t>
        </is>
      </c>
      <c r="C127" s="5" t="inlineStr">
        <is>
          <t>Warehouses list</t>
        </is>
      </c>
      <c r="D127" s="5" t="inlineStr">
        <is>
          <t>S007</t>
        </is>
      </c>
      <c r="E127" s="5" t="inlineStr">
        <is>
          <t>S007-E03</t>
        </is>
      </c>
      <c r="F127" s="5" t="inlineStr">
        <is>
          <t>Search code, name, city</t>
        </is>
      </c>
      <c r="G127" s="5" t="inlineStr">
        <is>
          <t>search</t>
        </is>
      </c>
      <c r="H127" s="5" t="inlineStr">
        <is>
          <t>Toolbar</t>
        </is>
      </c>
      <c r="I127" s="5" t="n"/>
      <c r="J127" s="17" t="inlineStr">
        <is>
          <t>Fail</t>
        </is>
      </c>
      <c r="K127" s="5" t="inlineStr">
        <is>
          <t>code '3pl' (lowercase) matches 3PL-EAST; name 'central' matches; city 'zeeland' matches; no match 'zzz' shows 'No warehouses match the current filters.'; clearing restores the list; '_' is treated as a wildcard here too (BUG-022)</t>
        </is>
      </c>
      <c r="L127" s="5" t="n"/>
      <c r="M127" s="5" t="n"/>
      <c r="N127" s="5" t="inlineStr">
        <is>
          <t>R2</t>
        </is>
      </c>
    </row>
    <row r="128">
      <c r="A128" s="5" t="inlineStr">
        <is>
          <t>Settings</t>
        </is>
      </c>
      <c r="B128" s="5" t="inlineStr">
        <is>
          <t>Organization &gt; Warehouses</t>
        </is>
      </c>
      <c r="C128" s="5" t="inlineStr">
        <is>
          <t>Warehouses list</t>
        </is>
      </c>
      <c r="D128" s="5" t="inlineStr">
        <is>
          <t>S007</t>
        </is>
      </c>
      <c r="E128" s="5" t="inlineStr">
        <is>
          <t>S007-E04</t>
        </is>
      </c>
      <c r="F128" s="5" t="inlineStr">
        <is>
          <t>Filters (Owner, Status)</t>
        </is>
      </c>
      <c r="G128" s="5" t="inlineStr">
        <is>
          <t>filter</t>
        </is>
      </c>
      <c r="H128" s="5" t="inlineStr">
        <is>
          <t>Toolbar</t>
        </is>
      </c>
      <c r="I128" s="5" t="n"/>
      <c r="J128" s="16" t="inlineStr">
        <is>
          <t>Pass</t>
        </is>
      </c>
      <c r="K128" s="5" t="inlineStr">
        <is>
          <t>Owner: Any owner / Platform-owned / Client-owned; Status: All statuses / Active / Inactive; Platform-owned keeps the one platform warehouse, Client-owned shows none; Inactive combined with Platform-owned shows none and the badge counts 2 filters; Clear resets both; Esc closes the panel</t>
        </is>
      </c>
      <c r="L128" s="5" t="n"/>
      <c r="M128" s="5" t="n"/>
      <c r="N128" s="5" t="inlineStr">
        <is>
          <t>R2</t>
        </is>
      </c>
    </row>
    <row r="129">
      <c r="A129" s="5" t="inlineStr">
        <is>
          <t>Settings</t>
        </is>
      </c>
      <c r="B129" s="5" t="inlineStr">
        <is>
          <t>Organization &gt; Warehouses</t>
        </is>
      </c>
      <c r="C129" s="5" t="inlineStr">
        <is>
          <t>Warehouses list</t>
        </is>
      </c>
      <c r="D129" s="5" t="inlineStr">
        <is>
          <t>S007</t>
        </is>
      </c>
      <c r="E129" s="5" t="inlineStr">
        <is>
          <t>S007-E05</t>
        </is>
      </c>
      <c r="F129" s="5" t="inlineStr">
        <is>
          <t>Columns (show/hide, reorder, pin, Reset layout)</t>
        </is>
      </c>
      <c r="G129" s="5" t="inlineStr">
        <is>
          <t>menu</t>
        </is>
      </c>
      <c r="H129" s="5" t="inlineStr">
        <is>
          <t>Toolbar</t>
        </is>
      </c>
      <c r="I129" s="5" t="n"/>
      <c r="J129" s="16" t="inlineStr">
        <is>
          <t>Pass</t>
        </is>
      </c>
      <c r="K129" s="5" t="inlineStr">
        <is>
          <t>columns Code, Name, Country, Owner, Attached, Status can be hidden, reordered and pinned; Reset layout restores the defaults</t>
        </is>
      </c>
      <c r="L129" s="5" t="inlineStr">
        <is>
          <t>The same component as the Clients grid; all columns can be hidden here too (BUG-023).</t>
        </is>
      </c>
      <c r="M129" s="5" t="n"/>
      <c r="N129" s="5" t="inlineStr">
        <is>
          <t>R2</t>
        </is>
      </c>
    </row>
    <row r="130">
      <c r="A130" s="5" t="inlineStr">
        <is>
          <t>Settings</t>
        </is>
      </c>
      <c r="B130" s="5" t="inlineStr">
        <is>
          <t>Organization &gt; Warehouses</t>
        </is>
      </c>
      <c r="C130" s="5" t="inlineStr">
        <is>
          <t>Warehouses list</t>
        </is>
      </c>
      <c r="D130" s="5" t="inlineStr">
        <is>
          <t>S007</t>
        </is>
      </c>
      <c r="E130" s="5" t="inlineStr">
        <is>
          <t>S007-E06</t>
        </is>
      </c>
      <c r="F130" s="5" t="inlineStr">
        <is>
          <t>Density (Compact / Comfortable)</t>
        </is>
      </c>
      <c r="G130" s="5" t="inlineStr">
        <is>
          <t>menu</t>
        </is>
      </c>
      <c r="H130" s="5" t="inlineStr">
        <is>
          <t>Toolbar</t>
        </is>
      </c>
      <c r="I130" s="5" t="n"/>
      <c r="J130" s="16" t="inlineStr">
        <is>
          <t>Pass</t>
        </is>
      </c>
      <c r="K130" s="5" t="inlineStr">
        <is>
          <t>Comfortable makes the rows taller, Compact restores them; the choice persists until Reset layout</t>
        </is>
      </c>
      <c r="L130" s="5" t="n"/>
      <c r="M130" s="5" t="n"/>
      <c r="N130" s="5" t="inlineStr">
        <is>
          <t>R2</t>
        </is>
      </c>
    </row>
    <row r="131">
      <c r="A131" s="5" t="inlineStr">
        <is>
          <t>Settings</t>
        </is>
      </c>
      <c r="B131" s="5" t="inlineStr">
        <is>
          <t>Organization &gt; Warehouses</t>
        </is>
      </c>
      <c r="C131" s="5" t="inlineStr">
        <is>
          <t>Warehouses list</t>
        </is>
      </c>
      <c r="D131" s="5" t="inlineStr">
        <is>
          <t>S007</t>
        </is>
      </c>
      <c r="E131" s="5" t="inlineStr">
        <is>
          <t>S007-E07</t>
        </is>
      </c>
      <c r="F131" s="5" t="inlineStr">
        <is>
          <t>Export (CSV of current view)</t>
        </is>
      </c>
      <c r="G131" s="5" t="inlineStr">
        <is>
          <t>button</t>
        </is>
      </c>
      <c r="H131" s="5" t="inlineStr">
        <is>
          <t>Toolbar</t>
        </is>
      </c>
      <c r="I131" s="5" t="n"/>
      <c r="J131" s="17" t="inlineStr">
        <is>
          <t>Fail</t>
        </is>
      </c>
      <c r="K131" s="5" t="inlineStr">
        <is>
          <t>a file is produced; no server call at all: the CSV is built in the page and fetched from a data: URL, unlike the Clients export which calls /api/v1/clients/export.csv; file content not opened from this session</t>
        </is>
      </c>
      <c r="L131" s="5" t="inlineStr">
        <is>
          <t>Two different export implementations behind the same button and tooltip - recorded on BUG-038.</t>
        </is>
      </c>
      <c r="M131" s="5" t="n"/>
      <c r="N131" s="5" t="inlineStr">
        <is>
          <t>R2</t>
        </is>
      </c>
    </row>
    <row r="132">
      <c r="A132" s="5" t="inlineStr">
        <is>
          <t>Settings</t>
        </is>
      </c>
      <c r="B132" s="5" t="inlineStr">
        <is>
          <t>Organization &gt; Warehouses</t>
        </is>
      </c>
      <c r="C132" s="5" t="inlineStr">
        <is>
          <t>Warehouses list</t>
        </is>
      </c>
      <c r="D132" s="5" t="inlineStr">
        <is>
          <t>S007</t>
        </is>
      </c>
      <c r="E132" s="5" t="inlineStr">
        <is>
          <t>S007-E08</t>
        </is>
      </c>
      <c r="F132" s="5" t="inlineStr">
        <is>
          <t>Add Warehouse</t>
        </is>
      </c>
      <c r="G132" s="5" t="inlineStr">
        <is>
          <t>button</t>
        </is>
      </c>
      <c r="H132" s="5" t="inlineStr">
        <is>
          <t>Toolbar</t>
        </is>
      </c>
      <c r="I132" s="5" t="n"/>
      <c r="J132" s="16" t="inlineStr">
        <is>
          <t>Pass</t>
        </is>
      </c>
      <c r="K132" s="5" t="inlineStr">
        <is>
          <t>opens the 'Add warehouse' side panel; creates the warehouse and then offers 'Attach QA-1012-WH01 to clients' with a Skip; the new warehouse appears in the list with Attached 0</t>
        </is>
      </c>
      <c r="L132" s="5" t="n"/>
      <c r="M132" s="5" t="n"/>
      <c r="N132" s="5" t="inlineStr">
        <is>
          <t>R2</t>
        </is>
      </c>
    </row>
    <row r="133">
      <c r="A133" s="5" t="inlineStr">
        <is>
          <t>Settings</t>
        </is>
      </c>
      <c r="B133" s="5" t="inlineStr">
        <is>
          <t>Organization &gt; Warehouses</t>
        </is>
      </c>
      <c r="C133" s="5" t="inlineStr">
        <is>
          <t>Warehouses list</t>
        </is>
      </c>
      <c r="D133" s="5" t="inlineStr">
        <is>
          <t>S007</t>
        </is>
      </c>
      <c r="E133" s="5" t="inlineStr">
        <is>
          <t>S007-E09</t>
        </is>
      </c>
      <c r="F133" s="5" t="inlineStr">
        <is>
          <t>Rows per page</t>
        </is>
      </c>
      <c r="G133" s="5" t="inlineStr">
        <is>
          <t>dropdown</t>
        </is>
      </c>
      <c r="H133" s="5" t="inlineStr">
        <is>
          <t>Toolbar</t>
        </is>
      </c>
      <c r="I133" s="5" t="n"/>
      <c r="J133" s="16" t="inlineStr">
        <is>
          <t>Pass</t>
        </is>
      </c>
      <c r="K133" s="5" t="inlineStr">
        <is>
          <t>10, 25, 50, 100 each re-request with the new size; the count line is unchanged with one row</t>
        </is>
      </c>
      <c r="L133" s="5" t="n"/>
      <c r="M133" s="5" t="n"/>
      <c r="N133" s="5" t="inlineStr">
        <is>
          <t>R2</t>
        </is>
      </c>
    </row>
    <row r="134">
      <c r="A134" s="5" t="inlineStr">
        <is>
          <t>Settings</t>
        </is>
      </c>
      <c r="B134" s="5" t="inlineStr">
        <is>
          <t>Organization &gt; Warehouses</t>
        </is>
      </c>
      <c r="C134" s="5" t="inlineStr">
        <is>
          <t>Warehouses list</t>
        </is>
      </c>
      <c r="D134" s="5" t="inlineStr">
        <is>
          <t>S007</t>
        </is>
      </c>
      <c r="E134" s="5" t="inlineStr">
        <is>
          <t>S007-E10</t>
        </is>
      </c>
      <c r="F134" s="5" t="inlineStr">
        <is>
          <t>Previous / Next page and page indicator</t>
        </is>
      </c>
      <c r="G134" s="5" t="inlineStr">
        <is>
          <t>button</t>
        </is>
      </c>
      <c r="H134" s="5" t="inlineStr">
        <is>
          <t>Toolbar</t>
        </is>
      </c>
      <c r="I134" s="5" t="n"/>
      <c r="J134" s="16" t="inlineStr">
        <is>
          <t>Pass</t>
        </is>
      </c>
      <c r="K134" s="5" t="inlineStr">
        <is>
          <t>Previous and Next disabled on a single page; indicator '1 of 1'</t>
        </is>
      </c>
      <c r="L134" s="5" t="inlineStr">
        <is>
          <t>Paging between pages was not exercised: only 1-2 warehouses exist and the smallest page size is 10.</t>
        </is>
      </c>
      <c r="M134" s="5" t="n"/>
      <c r="N134" s="5" t="inlineStr">
        <is>
          <t>R2</t>
        </is>
      </c>
    </row>
    <row r="135">
      <c r="A135" s="5" t="inlineStr">
        <is>
          <t>Settings</t>
        </is>
      </c>
      <c r="B135" s="5" t="inlineStr">
        <is>
          <t>Organization &gt; Warehouses</t>
        </is>
      </c>
      <c r="C135" s="5" t="inlineStr">
        <is>
          <t>Warehouses list</t>
        </is>
      </c>
      <c r="D135" s="5" t="inlineStr">
        <is>
          <t>S007</t>
        </is>
      </c>
      <c r="E135" s="5" t="inlineStr">
        <is>
          <t>S007-E11</t>
        </is>
      </c>
      <c r="F135" s="5" t="inlineStr">
        <is>
          <t>'Showing X of Y warehouses' count</t>
        </is>
      </c>
      <c r="G135" s="5" t="inlineStr">
        <is>
          <t>other</t>
        </is>
      </c>
      <c r="H135" s="5" t="inlineStr">
        <is>
          <t>Toolbar</t>
        </is>
      </c>
      <c r="I135" s="5" t="n"/>
      <c r="J135" s="16" t="inlineStr">
        <is>
          <t>Pass</t>
        </is>
      </c>
      <c r="K135" s="5" t="inlineStr">
        <is>
          <t>'Showing 1 of 1 warehouse' (singular); 'Showing 2 of 2 warehouses' (plural); 'Showing 0 of 0 warehouses' with no match</t>
        </is>
      </c>
      <c r="L135" s="5" t="n"/>
      <c r="M135" s="5" t="n"/>
      <c r="N135" s="5" t="inlineStr">
        <is>
          <t>R2</t>
        </is>
      </c>
    </row>
    <row r="136">
      <c r="A136" s="5" t="inlineStr">
        <is>
          <t>Settings</t>
        </is>
      </c>
      <c r="B136" s="5" t="inlineStr">
        <is>
          <t>Organization &gt; Warehouses</t>
        </is>
      </c>
      <c r="C136" s="5" t="inlineStr">
        <is>
          <t>Warehouses list</t>
        </is>
      </c>
      <c r="D136" s="5" t="inlineStr">
        <is>
          <t>S007</t>
        </is>
      </c>
      <c r="E136" s="5" t="inlineStr">
        <is>
          <t>S007-E12</t>
        </is>
      </c>
      <c r="F136" s="5" t="inlineStr">
        <is>
          <t>Sort by Code / Name / Owner</t>
        </is>
      </c>
      <c r="G136" s="5" t="inlineStr">
        <is>
          <t>grid</t>
        </is>
      </c>
      <c r="H136" s="5" t="inlineStr">
        <is>
          <t>Grid</t>
        </is>
      </c>
      <c r="I136" s="5" t="n"/>
      <c r="J136" s="16" t="inlineStr">
        <is>
          <t>Pass</t>
        </is>
      </c>
      <c r="K136" s="5" t="inlineStr">
        <is>
          <t>Code ascending and descending (sortBy=code); Name both ways (sortBy=name); Owner (sortBy=owner); Country, Attached and Status are not sortable and send no request</t>
        </is>
      </c>
      <c r="L136" s="5" t="inlineStr">
        <is>
          <t>Same third-click-clears-the-arrow behaviour as the Clients grid (BUG-026).</t>
        </is>
      </c>
      <c r="M136" s="5" t="n"/>
      <c r="N136" s="5" t="inlineStr">
        <is>
          <t>R2</t>
        </is>
      </c>
    </row>
    <row r="137">
      <c r="A137" s="5" t="inlineStr">
        <is>
          <t>Settings</t>
        </is>
      </c>
      <c r="B137" s="5" t="inlineStr">
        <is>
          <t>Organization &gt; Warehouses</t>
        </is>
      </c>
      <c r="C137" s="5" t="inlineStr">
        <is>
          <t>Warehouses list</t>
        </is>
      </c>
      <c r="D137" s="5" t="inlineStr">
        <is>
          <t>S007</t>
        </is>
      </c>
      <c r="E137" s="5" t="inlineStr">
        <is>
          <t>S007-E13</t>
        </is>
      </c>
      <c r="F137" s="5" t="inlineStr">
        <is>
          <t>Grid columns and values (Code, Name + city, Country, Owner, Attached, Status)</t>
        </is>
      </c>
      <c r="G137" s="5" t="inlineStr">
        <is>
          <t>grid</t>
        </is>
      </c>
      <c r="H137" s="5" t="inlineStr">
        <is>
          <t>Grid</t>
        </is>
      </c>
      <c r="I137" s="5" t="n"/>
      <c r="J137" s="16" t="inlineStr">
        <is>
          <t>Pass</t>
        </is>
      </c>
      <c r="K137" s="5" t="inlineStr">
        <is>
          <t>Code, Name with the city and state beneath, Country badge, Owner badge (Platform), Attached count, Status toggle and badge; the Attached count went 0 -&gt; 1 after attaching a client and the row showed the edited name straight away; accented and Odia characters in the name are stored and displayed correctly</t>
        </is>
      </c>
      <c r="L137" s="5" t="n"/>
      <c r="M137" s="5" t="n"/>
      <c r="N137" s="5" t="inlineStr">
        <is>
          <t>R2</t>
        </is>
      </c>
    </row>
    <row r="138">
      <c r="A138" s="5" t="inlineStr">
        <is>
          <t>Settings</t>
        </is>
      </c>
      <c r="B138" s="5" t="inlineStr">
        <is>
          <t>Organization &gt; Warehouses</t>
        </is>
      </c>
      <c r="C138" s="5" t="inlineStr">
        <is>
          <t>Warehouses list</t>
        </is>
      </c>
      <c r="D138" s="5" t="inlineStr">
        <is>
          <t>S007</t>
        </is>
      </c>
      <c r="E138" s="5" t="inlineStr">
        <is>
          <t>S007-E14</t>
        </is>
      </c>
      <c r="F138" s="5" t="inlineStr">
        <is>
          <t>Status toggle (Activate / Deactivate warehouse)</t>
        </is>
      </c>
      <c r="G138" s="5" t="inlineStr">
        <is>
          <t>toggle</t>
        </is>
      </c>
      <c r="H138" s="5" t="inlineStr">
        <is>
          <t>Grid</t>
        </is>
      </c>
      <c r="I138" s="5" t="n"/>
      <c r="J138" s="17" t="inlineStr">
        <is>
          <t>Fail</t>
        </is>
      </c>
      <c r="K138" s="5" t="inlineStr">
        <is>
          <t>one click deactivates with no confirmation even with clients attached (BUG-043); the row turns Inactive and the Status filter then finds it; re-activating is immediate; toast 'QA-1012-WH01 is now inactive.'</t>
        </is>
      </c>
      <c r="L138" s="5" t="n"/>
      <c r="M138" s="5" t="inlineStr">
        <is>
          <t>BUG-043</t>
        </is>
      </c>
      <c r="N138" s="5" t="inlineStr">
        <is>
          <t>R2</t>
        </is>
      </c>
    </row>
    <row r="139">
      <c r="A139" s="5" t="inlineStr">
        <is>
          <t>Settings</t>
        </is>
      </c>
      <c r="B139" s="5" t="inlineStr">
        <is>
          <t>Organization &gt; Warehouses</t>
        </is>
      </c>
      <c r="C139" s="5" t="inlineStr">
        <is>
          <t>Warehouses list</t>
        </is>
      </c>
      <c r="D139" s="5" t="inlineStr">
        <is>
          <t>S007</t>
        </is>
      </c>
      <c r="E139" s="5" t="inlineStr">
        <is>
          <t>S007-E15</t>
        </is>
      </c>
      <c r="F139" s="5" t="inlineStr">
        <is>
          <t>Row menu &gt; Attach clients</t>
        </is>
      </c>
      <c r="G139" s="5" t="inlineStr">
        <is>
          <t>menu</t>
        </is>
      </c>
      <c r="H139" s="5" t="inlineStr">
        <is>
          <t>Grid</t>
        </is>
      </c>
      <c r="I139" s="5" t="n"/>
      <c r="J139" s="17" t="inlineStr">
        <is>
          <t>Fail</t>
        </is>
      </c>
      <c r="K139" s="5" t="inlineStr">
        <is>
          <t>the dialog lists all clients with a search box that filters them; ticking one reveals 'Set as this client's default warehouse'; Attach reports 'Attached QA-1012-WH01 to 1 client.' and the Attached count goes up; Cancel and X close it with nothing attached; already-attached clients are not shown as attached and cannot be detached (BUG-041)</t>
        </is>
      </c>
      <c r="L139" s="5" t="n"/>
      <c r="M139" s="5" t="inlineStr">
        <is>
          <t>BUG-041</t>
        </is>
      </c>
      <c r="N139" s="5" t="inlineStr">
        <is>
          <t>R2</t>
        </is>
      </c>
    </row>
    <row r="140">
      <c r="A140" s="5" t="inlineStr">
        <is>
          <t>Settings</t>
        </is>
      </c>
      <c r="B140" s="5" t="inlineStr">
        <is>
          <t>Organization &gt; Warehouses</t>
        </is>
      </c>
      <c r="C140" s="5" t="inlineStr">
        <is>
          <t>Warehouses list</t>
        </is>
      </c>
      <c r="D140" s="5" t="inlineStr">
        <is>
          <t>S007</t>
        </is>
      </c>
      <c r="E140" s="5" t="inlineStr">
        <is>
          <t>S007-E16</t>
        </is>
      </c>
      <c r="F140" s="5" t="inlineStr">
        <is>
          <t>Row menu &gt; Edit</t>
        </is>
      </c>
      <c r="G140" s="5" t="inlineStr">
        <is>
          <t>menu</t>
        </is>
      </c>
      <c r="H140" s="5" t="inlineStr">
        <is>
          <t>Grid</t>
        </is>
      </c>
      <c r="I140" s="5" t="n"/>
      <c r="J140" s="16" t="inlineStr">
        <is>
          <t>Pass</t>
        </is>
      </c>
      <c r="K140" s="5" t="inlineStr">
        <is>
          <t>opens the same side panel headed 'Edit warehouse QA-1012-WH01'; Code is read-only with 'Immutable after create.'; all saved values are shown; a changed name saves and reports 'Warehouse QA-1012-WH01 updated.'</t>
        </is>
      </c>
      <c r="L140" s="5" t="n"/>
      <c r="M140" s="5" t="n"/>
      <c r="N140" s="5" t="inlineStr">
        <is>
          <t>R2</t>
        </is>
      </c>
    </row>
    <row r="141">
      <c r="A141" s="5" t="inlineStr">
        <is>
          <t>Settings</t>
        </is>
      </c>
      <c r="B141" s="5" t="inlineStr">
        <is>
          <t>Organization &gt; Warehouses</t>
        </is>
      </c>
      <c r="C141" s="5" t="inlineStr">
        <is>
          <t>Warehouses list</t>
        </is>
      </c>
      <c r="D141" s="5" t="inlineStr">
        <is>
          <t>S007</t>
        </is>
      </c>
      <c r="E141" s="5" t="inlineStr">
        <is>
          <t>S007-E17</t>
        </is>
      </c>
      <c r="F141" s="5" t="inlineStr">
        <is>
          <t>Row menu &gt; Delete</t>
        </is>
      </c>
      <c r="G141" s="5" t="inlineStr">
        <is>
          <t>menu</t>
        </is>
      </c>
      <c r="H141" s="5" t="inlineStr">
        <is>
          <t>Grid</t>
        </is>
      </c>
      <c r="I141" s="5" t="n"/>
      <c r="J141" s="16" t="inlineStr">
        <is>
          <t>Pass</t>
        </is>
      </c>
      <c r="K141" s="5" t="inlineStr">
        <is>
          <t>the dialog names the warehouse and says 'It is currently attached to 1 client - they will be unlinked.'; Cancel keeps the warehouse; Delete removes it and the client is unlinked (the list falls back to 1 of 1)</t>
        </is>
      </c>
      <c r="L141" s="5" t="inlineStr">
        <is>
          <t>Unlike the client delete dialog, this one does not say the action cannot be undone.</t>
        </is>
      </c>
      <c r="M141" s="5" t="n"/>
      <c r="N141" s="5" t="inlineStr">
        <is>
          <t>R2</t>
        </is>
      </c>
    </row>
    <row r="142">
      <c r="A142" s="5" t="inlineStr">
        <is>
          <t>Settings</t>
        </is>
      </c>
      <c r="B142" s="5" t="inlineStr">
        <is>
          <t>Organization &gt; Warehouses</t>
        </is>
      </c>
      <c r="C142" s="5" t="inlineStr">
        <is>
          <t>Warehouses list</t>
        </is>
      </c>
      <c r="D142" s="5" t="inlineStr">
        <is>
          <t>S007</t>
        </is>
      </c>
      <c r="E142" s="5" t="inlineStr">
        <is>
          <t>S007-E18</t>
        </is>
      </c>
      <c r="F142" s="5" t="inlineStr">
        <is>
          <t>Add / Edit warehouse panel: Code, Name, Owner (Platform / Client)</t>
        </is>
      </c>
      <c r="G142" s="5" t="inlineStr">
        <is>
          <t>form</t>
        </is>
      </c>
      <c r="H142" s="5" t="inlineStr">
        <is>
          <t>Panel</t>
        </is>
      </c>
      <c r="I142" s="5" t="n"/>
      <c r="J142" s="16" t="inlineStr">
        <is>
          <t>Pass</t>
        </is>
      </c>
      <c r="K142" s="5" t="inlineStr">
        <is>
          <t>Code required, uppercased as typed, 'Only letters, digits, '-' and '_' are allowed (no spaces).', max 50, read-only after create; Name required, max 255, accepts accented and Odia text; Owner: Platform (attachable to any client) / Client (private to one client), Platform selected by default</t>
        </is>
      </c>
      <c r="L142" s="5" t="n"/>
      <c r="M142" s="5" t="n"/>
      <c r="N142" s="5" t="inlineStr">
        <is>
          <t>R2</t>
        </is>
      </c>
    </row>
    <row r="143">
      <c r="A143" s="5" t="inlineStr">
        <is>
          <t>Settings</t>
        </is>
      </c>
      <c r="B143" s="5" t="inlineStr">
        <is>
          <t>Organization &gt; Warehouses</t>
        </is>
      </c>
      <c r="C143" s="5" t="inlineStr">
        <is>
          <t>Warehouses list</t>
        </is>
      </c>
      <c r="D143" s="5" t="inlineStr">
        <is>
          <t>S007</t>
        </is>
      </c>
      <c r="E143" s="5" t="inlineStr">
        <is>
          <t>S007-E19</t>
        </is>
      </c>
      <c r="F143" s="5" t="inlineStr">
        <is>
          <t>Add / Edit warehouse panel: address fields and country</t>
        </is>
      </c>
      <c r="G143" s="5" t="inlineStr">
        <is>
          <t>form</t>
        </is>
      </c>
      <c r="H143" s="5" t="inlineStr">
        <is>
          <t>Panel</t>
        </is>
      </c>
      <c r="I143" s="5" t="n"/>
      <c r="J143" s="17" t="inlineStr">
        <is>
          <t>Fail</t>
        </is>
      </c>
      <c r="K143" s="5" t="inlineStr">
        <is>
          <t>Line 1, City, State / region, Postal code, Country and Phone are all required and are checked for emptiness; Line 2 optional; Country defaults to US and is capped at 2 characters; no format or length rules on State / region or Postal code, so carrier-invalid values save (BUG-040)</t>
        </is>
      </c>
      <c r="L143" s="5" t="n"/>
      <c r="M143" s="5" t="inlineStr">
        <is>
          <t>BUG-040</t>
        </is>
      </c>
      <c r="N143" s="5" t="inlineStr">
        <is>
          <t>R2</t>
        </is>
      </c>
    </row>
    <row r="144">
      <c r="A144" s="5" t="inlineStr">
        <is>
          <t>Settings</t>
        </is>
      </c>
      <c r="B144" s="5" t="inlineStr">
        <is>
          <t>Organization &gt; Warehouses</t>
        </is>
      </c>
      <c r="C144" s="5" t="inlineStr">
        <is>
          <t>Warehouses list</t>
        </is>
      </c>
      <c r="D144" s="5" t="inlineStr">
        <is>
          <t>S007</t>
        </is>
      </c>
      <c r="E144" s="5" t="inlineStr">
        <is>
          <t>S007-E20</t>
        </is>
      </c>
      <c r="F144" s="5" t="inlineStr">
        <is>
          <t>Add / Edit warehouse panel: carrier address Verify</t>
        </is>
      </c>
      <c r="G144" s="5" t="inlineStr">
        <is>
          <t>button</t>
        </is>
      </c>
      <c r="H144" s="5" t="inlineStr">
        <is>
          <t>Panel</t>
        </is>
      </c>
      <c r="I144" s="5" t="n"/>
      <c r="J144" s="17" t="inlineStr">
        <is>
          <t>Fail</t>
        </is>
      </c>
      <c r="K144" s="5" t="inlineStr">
        <is>
          <t>carrier picker offers FEDEX, UPS and USPS; each click sends POST /api/v1/addresses/validate/carrier (200); no carrier is actually called - all three sandbox accounts lack live address-validation credentials; each result can be dismissed on its own; the result shows the raw status NOT_SUPPORTED behind a green tick (BUG-042)</t>
        </is>
      </c>
      <c r="L144" s="5" t="inlineStr">
        <is>
          <t>Run with the user's explicit go-ahead for one call per carrier.</t>
        </is>
      </c>
      <c r="M144" s="5" t="inlineStr">
        <is>
          <t>BUG-042</t>
        </is>
      </c>
      <c r="N144" s="5" t="inlineStr">
        <is>
          <t>R2</t>
        </is>
      </c>
    </row>
    <row r="145">
      <c r="A145" s="5" t="inlineStr">
        <is>
          <t>Settings</t>
        </is>
      </c>
      <c r="B145" s="5" t="inlineStr">
        <is>
          <t>Organization &gt; Warehouses</t>
        </is>
      </c>
      <c r="C145" s="5" t="inlineStr">
        <is>
          <t>Warehouses list</t>
        </is>
      </c>
      <c r="D145" s="5" t="inlineStr">
        <is>
          <t>S007</t>
        </is>
      </c>
      <c r="E145" s="5" t="inlineStr">
        <is>
          <t>S007-E21</t>
        </is>
      </c>
      <c r="F145" s="5" t="inlineStr">
        <is>
          <t>Add / Edit warehouse panel: Active checkbox, Cancel, Create / Save</t>
        </is>
      </c>
      <c r="G145" s="5" t="inlineStr">
        <is>
          <t>button</t>
        </is>
      </c>
      <c r="H145" s="5" t="inlineStr">
        <is>
          <t>Panel</t>
        </is>
      </c>
      <c r="I145" s="5" t="n"/>
      <c r="J145" s="16" t="inlineStr">
        <is>
          <t>Pass</t>
        </is>
      </c>
      <c r="K145" s="5" t="inlineStr">
        <is>
          <t>Active ticked by default, with the explanation 'inactive warehouses are hidden from shipment resolution'; Create warehouse on an empty form is refused with a message on every required field and the toast 'Missing details - Fix the highlighted fields before saving.'; Cancel closes the panel with nothing saved; Save changes saves and closes</t>
        </is>
      </c>
      <c r="L145" s="5" t="n"/>
      <c r="M145" s="5" t="n"/>
      <c r="N145" s="5" t="inlineStr">
        <is>
          <t>R2</t>
        </is>
      </c>
    </row>
    <row r="146">
      <c r="A146" s="5" t="inlineStr">
        <is>
          <t>Settings</t>
        </is>
      </c>
      <c r="B146" s="5" t="inlineStr">
        <is>
          <t>Organization &gt; Warehouses</t>
        </is>
      </c>
      <c r="C146" s="5" t="inlineStr">
        <is>
          <t>Warehouses list</t>
        </is>
      </c>
      <c r="D146" s="5" t="inlineStr">
        <is>
          <t>S007</t>
        </is>
      </c>
      <c r="E146" s="5" t="inlineStr">
        <is>
          <t>S007-E22</t>
        </is>
      </c>
      <c r="F146" s="5" t="inlineStr">
        <is>
          <t>Toasts and messages</t>
        </is>
      </c>
      <c r="G146" s="5" t="inlineStr">
        <is>
          <t>other</t>
        </is>
      </c>
      <c r="H146" s="5" t="inlineStr">
        <is>
          <t>Page</t>
        </is>
      </c>
      <c r="I146" s="5" t="n"/>
      <c r="J146" s="16" t="inlineStr">
        <is>
          <t>Pass</t>
        </is>
      </c>
      <c r="K146" s="5" t="inlineStr">
        <is>
          <t>'Missing details' heading for validation here, rather than the 'Something went wrong' used on the client editor (BUG-036); green Done toasts for create, update, attach, toggle and delete, each naming the warehouse; no raw stack traces or HTTP codes on this screen</t>
        </is>
      </c>
      <c r="L146" s="5" t="n"/>
      <c r="M146" s="5" t="n"/>
      <c r="N146" s="5" t="inlineStr">
        <is>
          <t>R2</t>
        </is>
      </c>
    </row>
    <row r="147">
      <c r="A147" s="5" t="inlineStr">
        <is>
          <t>Settings</t>
        </is>
      </c>
      <c r="B147" s="5" t="inlineStr">
        <is>
          <t>Organization &gt; Address book</t>
        </is>
      </c>
      <c r="C147" s="5" t="inlineStr">
        <is>
          <t>Address book list</t>
        </is>
      </c>
      <c r="D147" s="5" t="inlineStr">
        <is>
          <t>S008</t>
        </is>
      </c>
      <c r="E147" s="5" t="inlineStr">
        <is>
          <t>S008-E01</t>
        </is>
      </c>
      <c r="F147" s="5" t="inlineStr">
        <is>
          <t>Page header and list load</t>
        </is>
      </c>
      <c r="G147" s="5" t="inlineStr">
        <is>
          <t>other</t>
        </is>
      </c>
      <c r="H147" s="5" t="inlineStr">
        <is>
          <t>Header</t>
        </is>
      </c>
      <c r="I147" s="5" t="n"/>
      <c r="J147" s="17" t="inlineStr">
        <is>
          <t>Fail</t>
        </is>
      </c>
      <c r="K147" s="5" t="inlineStr">
        <is>
          <t>title, description and breadcrumb are right and Address book is highlighted in the menu; the list never loads: GET /api/v1/recipients returns 500 (BUG-044)</t>
        </is>
      </c>
      <c r="L147" s="5" t="n"/>
      <c r="M147" s="5" t="inlineStr">
        <is>
          <t>BUG-044</t>
        </is>
      </c>
      <c r="N147" s="5" t="inlineStr">
        <is>
          <t>R2</t>
        </is>
      </c>
    </row>
    <row r="148">
      <c r="A148" s="5" t="inlineStr">
        <is>
          <t>Settings</t>
        </is>
      </c>
      <c r="B148" s="5" t="inlineStr">
        <is>
          <t>Organization &gt; Address book</t>
        </is>
      </c>
      <c r="C148" s="5" t="inlineStr">
        <is>
          <t>Address book list</t>
        </is>
      </c>
      <c r="D148" s="5" t="inlineStr">
        <is>
          <t>S008</t>
        </is>
      </c>
      <c r="E148" s="5" t="inlineStr">
        <is>
          <t>S008-E02</t>
        </is>
      </c>
      <c r="F148" s="5" t="inlineStr">
        <is>
          <t>Refresh</t>
        </is>
      </c>
      <c r="G148" s="5" t="inlineStr">
        <is>
          <t>button</t>
        </is>
      </c>
      <c r="H148" s="5" t="inlineStr">
        <is>
          <t>Header</t>
        </is>
      </c>
      <c r="I148" s="5" t="n"/>
      <c r="J148" s="17" t="inlineStr">
        <is>
          <t>Fail</t>
        </is>
      </c>
      <c r="K148" s="5" t="inlineStr">
        <is>
          <t>the button re-requests the list; the request fails again with 500 and this time no message at all is shown</t>
        </is>
      </c>
      <c r="L148" s="5" t="n"/>
      <c r="M148" s="5" t="n"/>
      <c r="N148" s="5" t="inlineStr">
        <is>
          <t>R2</t>
        </is>
      </c>
    </row>
    <row r="149">
      <c r="A149" s="5" t="inlineStr">
        <is>
          <t>Settings</t>
        </is>
      </c>
      <c r="B149" s="5" t="inlineStr">
        <is>
          <t>Organization &gt; Address book</t>
        </is>
      </c>
      <c r="C149" s="5" t="inlineStr">
        <is>
          <t>Address book list</t>
        </is>
      </c>
      <c r="D149" s="5" t="inlineStr">
        <is>
          <t>S008</t>
        </is>
      </c>
      <c r="E149" s="5" t="inlineStr">
        <is>
          <t>S008-E03</t>
        </is>
      </c>
      <c r="F149" s="5" t="inlineStr">
        <is>
          <t>Search any part of the address (name, street, city, ZIP, phone, email, tag)</t>
        </is>
      </c>
      <c r="G149" s="5" t="inlineStr">
        <is>
          <t>search</t>
        </is>
      </c>
      <c r="H149" s="5" t="inlineStr">
        <is>
          <t>Toolbar</t>
        </is>
      </c>
      <c r="I149" s="5" t="n"/>
      <c r="J149" s="19" t="inlineStr">
        <is>
          <t>Blocked</t>
        </is>
      </c>
      <c r="K149" s="5" t="inlineStr">
        <is>
          <t>the typed term reaches the server, URL-encoded; a failed search is drawn as a no-match empty state</t>
        </is>
      </c>
      <c r="L149" s="5" t="inlineStr">
        <is>
          <t>The search sends GET /api/v1/recipients?q=... which returns 502, and the grid shows 'No saved addresses match "QA-1012".' Whether the search itself works cannot be judged until BUG-044 is fixed.</t>
        </is>
      </c>
      <c r="M149" s="5" t="n"/>
      <c r="N149" s="5" t="inlineStr">
        <is>
          <t>R2</t>
        </is>
      </c>
    </row>
    <row r="150">
      <c r="A150" s="5" t="inlineStr">
        <is>
          <t>Settings</t>
        </is>
      </c>
      <c r="B150" s="5" t="inlineStr">
        <is>
          <t>Organization &gt; Address book</t>
        </is>
      </c>
      <c r="C150" s="5" t="inlineStr">
        <is>
          <t>Address book list</t>
        </is>
      </c>
      <c r="D150" s="5" t="inlineStr">
        <is>
          <t>S008</t>
        </is>
      </c>
      <c r="E150" s="5" t="inlineStr">
        <is>
          <t>S008-E04</t>
        </is>
      </c>
      <c r="F150" s="5" t="inlineStr">
        <is>
          <t>Client filter (Every client / a client)</t>
        </is>
      </c>
      <c r="G150" s="5" t="inlineStr">
        <is>
          <t>dropdown</t>
        </is>
      </c>
      <c r="H150" s="5" t="inlineStr">
        <is>
          <t>Toolbar</t>
        </is>
      </c>
      <c r="I150" s="5" t="n"/>
      <c r="J150" s="19" t="inlineStr">
        <is>
          <t>Blocked</t>
        </is>
      </c>
      <c r="K150" s="5" t="inlineStr">
        <is>
          <t>the list offers 'Every client', MKL246 and THB000; the chosen client reaches the server as customerNo</t>
        </is>
      </c>
      <c r="L150" s="5" t="inlineStr">
        <is>
          <t>The filter sends GET /api/v1/recipients?customerNo=MKL246 which returns 502. Same reason as the search.</t>
        </is>
      </c>
      <c r="M150" s="5" t="n"/>
      <c r="N150" s="5" t="inlineStr">
        <is>
          <t>R2</t>
        </is>
      </c>
    </row>
    <row r="151">
      <c r="A151" s="5" t="inlineStr">
        <is>
          <t>Settings</t>
        </is>
      </c>
      <c r="B151" s="5" t="inlineStr">
        <is>
          <t>Organization &gt; Address book</t>
        </is>
      </c>
      <c r="C151" s="5" t="inlineStr">
        <is>
          <t>Address book list</t>
        </is>
      </c>
      <c r="D151" s="5" t="inlineStr">
        <is>
          <t>S008</t>
        </is>
      </c>
      <c r="E151" s="5" t="inlineStr">
        <is>
          <t>S008-E05</t>
        </is>
      </c>
      <c r="F151" s="5" t="inlineStr">
        <is>
          <t>Add address</t>
        </is>
      </c>
      <c r="G151" s="5" t="inlineStr">
        <is>
          <t>button</t>
        </is>
      </c>
      <c r="H151" s="5" t="inlineStr">
        <is>
          <t>Toolbar</t>
        </is>
      </c>
      <c r="I151" s="5" t="n"/>
      <c r="J151" s="16" t="inlineStr">
        <is>
          <t>Pass</t>
        </is>
      </c>
      <c r="K151" s="5" t="inlineStr">
        <is>
          <t>opens the 'Add address' dialog</t>
        </is>
      </c>
      <c r="L151" s="5" t="n"/>
      <c r="M151" s="5" t="n"/>
      <c r="N151" s="5" t="inlineStr">
        <is>
          <t>R2</t>
        </is>
      </c>
    </row>
    <row r="152">
      <c r="A152" s="5" t="inlineStr">
        <is>
          <t>Settings</t>
        </is>
      </c>
      <c r="B152" s="5" t="inlineStr">
        <is>
          <t>Organization &gt; Address book</t>
        </is>
      </c>
      <c r="C152" s="5" t="inlineStr">
        <is>
          <t>Address book list</t>
        </is>
      </c>
      <c r="D152" s="5" t="inlineStr">
        <is>
          <t>S008</t>
        </is>
      </c>
      <c r="E152" s="5" t="inlineStr">
        <is>
          <t>S008-E06</t>
        </is>
      </c>
      <c r="F152" s="5" t="inlineStr">
        <is>
          <t>Grid columns (Name, Address, Contact, Belongs to, Tag, Actions)</t>
        </is>
      </c>
      <c r="G152" s="5" t="inlineStr">
        <is>
          <t>grid</t>
        </is>
      </c>
      <c r="H152" s="5" t="inlineStr">
        <is>
          <t>Grid</t>
        </is>
      </c>
      <c r="I152" s="5" t="n"/>
      <c r="J152" s="19" t="inlineStr">
        <is>
          <t>Blocked</t>
        </is>
      </c>
      <c r="K152" s="5" t="inlineStr">
        <is>
          <t>the header row shows Name, Address, Contact, Belongs to, Tag, Actions</t>
        </is>
      </c>
      <c r="L152" s="5" t="inlineStr">
        <is>
          <t>No row has ever been displayed, because the list call fails (BUG-044).</t>
        </is>
      </c>
      <c r="M152" s="5" t="n"/>
      <c r="N152" s="5" t="inlineStr">
        <is>
          <t>R2</t>
        </is>
      </c>
    </row>
    <row r="153">
      <c r="A153" s="5" t="inlineStr">
        <is>
          <t>Settings</t>
        </is>
      </c>
      <c r="B153" s="5" t="inlineStr">
        <is>
          <t>Organization &gt; Address book</t>
        </is>
      </c>
      <c r="C153" s="5" t="inlineStr">
        <is>
          <t>Address book list</t>
        </is>
      </c>
      <c r="D153" s="5" t="inlineStr">
        <is>
          <t>S008</t>
        </is>
      </c>
      <c r="E153" s="5" t="inlineStr">
        <is>
          <t>S008-E07</t>
        </is>
      </c>
      <c r="F153" s="5" t="inlineStr">
        <is>
          <t>Row actions (edit / delete)</t>
        </is>
      </c>
      <c r="G153" s="5" t="inlineStr">
        <is>
          <t>menu</t>
        </is>
      </c>
      <c r="H153" s="5" t="inlineStr">
        <is>
          <t>Grid</t>
        </is>
      </c>
      <c r="I153" s="5" t="n"/>
      <c r="J153" s="19" t="inlineStr">
        <is>
          <t>Blocked</t>
        </is>
      </c>
      <c r="K153" s="5" t="n"/>
      <c r="L153" s="5" t="inlineStr">
        <is>
          <t>No row has ever been displayed, so the row actions could not be reached (BUG-044).</t>
        </is>
      </c>
      <c r="M153" s="5" t="n"/>
      <c r="N153" s="5" t="inlineStr">
        <is>
          <t>R2</t>
        </is>
      </c>
    </row>
    <row r="154">
      <c r="A154" s="5" t="inlineStr">
        <is>
          <t>Settings</t>
        </is>
      </c>
      <c r="B154" s="5" t="inlineStr">
        <is>
          <t>Organization &gt; Address book</t>
        </is>
      </c>
      <c r="C154" s="5" t="inlineStr">
        <is>
          <t>Address book list</t>
        </is>
      </c>
      <c r="D154" s="5" t="inlineStr">
        <is>
          <t>S008</t>
        </is>
      </c>
      <c r="E154" s="5" t="inlineStr">
        <is>
          <t>S008-E08</t>
        </is>
      </c>
      <c r="F154" s="5" t="inlineStr">
        <is>
          <t>Add / Edit address form</t>
        </is>
      </c>
      <c r="G154" s="5" t="inlineStr">
        <is>
          <t>form</t>
        </is>
      </c>
      <c r="H154" s="5" t="inlineStr">
        <is>
          <t>Panel</t>
        </is>
      </c>
      <c r="I154" s="5" t="n"/>
      <c r="J154" s="17" t="inlineStr">
        <is>
          <t>Fail</t>
        </is>
      </c>
      <c r="K154" s="5" t="inlineStr">
        <is>
          <t>Belongs to: 'Shared - every client can use it', MKL246, THB000; required fields marked and checked: Name, Street address, City, Postal code, Country ('Enter a name.', 'Enter the street address.' and so on); State / province is not required, and no format or length rule is applied to it or to the postal code; Country list holds 250 countries, far more than the 12 on the client wizard (BUG-046); Tag free text and a Residential address tick box; Cancel closes with nothing saved; a valid address is created (POST 200) but reported as a server failure (BUG-045)</t>
        </is>
      </c>
      <c r="L154" s="5" t="n"/>
      <c r="M154" s="5" t="inlineStr">
        <is>
          <t>BUG-045</t>
        </is>
      </c>
      <c r="N154" s="5" t="inlineStr">
        <is>
          <t>R2</t>
        </is>
      </c>
    </row>
    <row r="155">
      <c r="A155" s="5" t="inlineStr">
        <is>
          <t>Settings</t>
        </is>
      </c>
      <c r="B155" s="5" t="inlineStr">
        <is>
          <t>Organization &gt; Address book</t>
        </is>
      </c>
      <c r="C155" s="5" t="inlineStr">
        <is>
          <t>Address book list</t>
        </is>
      </c>
      <c r="D155" s="5" t="inlineStr">
        <is>
          <t>S008</t>
        </is>
      </c>
      <c r="E155" s="5" t="inlineStr">
        <is>
          <t>S008-E09</t>
        </is>
      </c>
      <c r="F155" s="5" t="inlineStr">
        <is>
          <t>Empty state and error state</t>
        </is>
      </c>
      <c r="G155" s="5" t="inlineStr">
        <is>
          <t>other</t>
        </is>
      </c>
      <c r="H155" s="5" t="inlineStr">
        <is>
          <t>Grid</t>
        </is>
      </c>
      <c r="I155" s="5" t="n"/>
      <c r="J155" s="17" t="inlineStr">
        <is>
          <t>Fail</t>
        </is>
      </c>
      <c r="K155" s="5" t="inlineStr">
        <is>
          <t>the empty state reads 'No saved addresses yet...' and the no-match state 'No saved addresses match "QA-1012".'; both are shown when the call actually failed, so a broken list is indistinguishable from an empty one (BUG-044)</t>
        </is>
      </c>
      <c r="L155" s="5" t="n"/>
      <c r="M155" s="5" t="n"/>
      <c r="N155" s="5" t="inlineStr">
        <is>
          <t>R2</t>
        </is>
      </c>
    </row>
    <row r="156">
      <c r="A156" s="5" t="inlineStr">
        <is>
          <t>Settings</t>
        </is>
      </c>
      <c r="B156" s="5" t="inlineStr">
        <is>
          <t>Organization &gt; Address book</t>
        </is>
      </c>
      <c r="C156" s="5" t="inlineStr">
        <is>
          <t>Address book list</t>
        </is>
      </c>
      <c r="D156" s="5" t="inlineStr">
        <is>
          <t>S008</t>
        </is>
      </c>
      <c r="E156" s="5" t="inlineStr">
        <is>
          <t>S008-E10</t>
        </is>
      </c>
      <c r="F156" s="5" t="inlineStr">
        <is>
          <t>Toasts and messages</t>
        </is>
      </c>
      <c r="G156" s="5" t="inlineStr">
        <is>
          <t>other</t>
        </is>
      </c>
      <c r="H156" s="5" t="inlineStr">
        <is>
          <t>Page</t>
        </is>
      </c>
      <c r="I156" s="5" t="n"/>
      <c r="J156" s="17" t="inlineStr">
        <is>
          <t>Fail</t>
        </is>
      </c>
      <c r="K156" s="5" t="inlineStr">
        <is>
          <t>the first load shows two red toasts with a support reference; a repeat of the same failure after Refresh shows nothing at all; a successful save is covered by the failure of the reload that follows it (BUG-045)</t>
        </is>
      </c>
      <c r="L156" s="5" t="n"/>
      <c r="M156" s="5" t="n"/>
      <c r="N156" s="5" t="inlineStr">
        <is>
          <t>R2</t>
        </is>
      </c>
    </row>
    <row r="157">
      <c r="A157" s="5" t="inlineStr">
        <is>
          <t>Settings</t>
        </is>
      </c>
      <c r="B157" s="5" t="inlineStr">
        <is>
          <t>Organization &gt; Users</t>
        </is>
      </c>
      <c r="C157" s="5" t="inlineStr">
        <is>
          <t>Users list</t>
        </is>
      </c>
      <c r="D157" s="5" t="inlineStr">
        <is>
          <t>S009</t>
        </is>
      </c>
      <c r="E157" s="5" t="inlineStr">
        <is>
          <t>S009-E01</t>
        </is>
      </c>
      <c r="F157" s="5" t="inlineStr">
        <is>
          <t>Page header and description</t>
        </is>
      </c>
      <c r="G157" s="5" t="inlineStr">
        <is>
          <t>other</t>
        </is>
      </c>
      <c r="H157" s="5" t="inlineStr">
        <is>
          <t>Header</t>
        </is>
      </c>
      <c r="I157" s="5" t="n"/>
      <c r="J157" s="17" t="inlineStr">
        <is>
          <t>Fail</t>
        </is>
      </c>
      <c r="K157" s="5" t="inlineStr">
        <is>
          <t>title 'Users', breadcrumb and highlighted menu item are right; the descriptions carry internal developer notes (BUG-049)</t>
        </is>
      </c>
      <c r="L157" s="5" t="n"/>
      <c r="M157" s="5" t="inlineStr">
        <is>
          <t>BUG-049</t>
        </is>
      </c>
      <c r="N157" s="5" t="inlineStr">
        <is>
          <t>R2</t>
        </is>
      </c>
    </row>
    <row r="158">
      <c r="A158" s="5" t="inlineStr">
        <is>
          <t>Settings</t>
        </is>
      </c>
      <c r="B158" s="5" t="inlineStr">
        <is>
          <t>Organization &gt; Users</t>
        </is>
      </c>
      <c r="C158" s="5" t="inlineStr">
        <is>
          <t>Users list</t>
        </is>
      </c>
      <c r="D158" s="5" t="inlineStr">
        <is>
          <t>S009</t>
        </is>
      </c>
      <c r="E158" s="5" t="inlineStr">
        <is>
          <t>S009-E02</t>
        </is>
      </c>
      <c r="F158" s="5" t="inlineStr">
        <is>
          <t>Refresh</t>
        </is>
      </c>
      <c r="G158" s="5" t="inlineStr">
        <is>
          <t>button</t>
        </is>
      </c>
      <c r="H158" s="5" t="inlineStr">
        <is>
          <t>Header</t>
        </is>
      </c>
      <c r="I158" s="5" t="n"/>
      <c r="J158" s="16" t="inlineStr">
        <is>
          <t>Pass</t>
        </is>
      </c>
      <c r="K158" s="5" t="inlineStr">
        <is>
          <t>re-requests GET /api/v1/admin/users and the audit list, both 200; the grid is redrawn</t>
        </is>
      </c>
      <c r="L158" s="5" t="n"/>
      <c r="M158" s="5" t="n"/>
      <c r="N158" s="5" t="inlineStr">
        <is>
          <t>R2</t>
        </is>
      </c>
    </row>
    <row r="159">
      <c r="A159" s="5" t="inlineStr">
        <is>
          <t>Settings</t>
        </is>
      </c>
      <c r="B159" s="5" t="inlineStr">
        <is>
          <t>Organization &gt; Users</t>
        </is>
      </c>
      <c r="C159" s="5" t="inlineStr">
        <is>
          <t>Users list</t>
        </is>
      </c>
      <c r="D159" s="5" t="inlineStr">
        <is>
          <t>S009</t>
        </is>
      </c>
      <c r="E159" s="5" t="inlineStr">
        <is>
          <t>S009-E03</t>
        </is>
      </c>
      <c r="F159" s="5" t="inlineStr">
        <is>
          <t>Search username, email, name</t>
        </is>
      </c>
      <c r="G159" s="5" t="inlineStr">
        <is>
          <t>search</t>
        </is>
      </c>
      <c r="H159" s="5" t="inlineStr">
        <is>
          <t>Toolbar</t>
        </is>
      </c>
      <c r="I159" s="5" t="n"/>
      <c r="J159" s="17" t="inlineStr">
        <is>
          <t>Fail</t>
        </is>
      </c>
      <c r="K159" s="5" t="inlineStr">
        <is>
          <t>matches on username ('manoj') and on email, case-insensitively ('MULTISHIP.LOCAL'); no match shows 'No users.' and 'No rows'; clearing restores both rows; a request per keystroke, each with a second call for the audit list (BUG-047)</t>
        </is>
      </c>
      <c r="L159" s="5" t="n"/>
      <c r="M159" s="5" t="inlineStr">
        <is>
          <t>BUG-047</t>
        </is>
      </c>
      <c r="N159" s="5" t="inlineStr">
        <is>
          <t>R2</t>
        </is>
      </c>
    </row>
    <row r="160">
      <c r="A160" s="5" t="inlineStr">
        <is>
          <t>Settings</t>
        </is>
      </c>
      <c r="B160" s="5" t="inlineStr">
        <is>
          <t>Organization &gt; Users</t>
        </is>
      </c>
      <c r="C160" s="5" t="inlineStr">
        <is>
          <t>Users list</t>
        </is>
      </c>
      <c r="D160" s="5" t="inlineStr">
        <is>
          <t>S009</t>
        </is>
      </c>
      <c r="E160" s="5" t="inlineStr">
        <is>
          <t>S009-E04</t>
        </is>
      </c>
      <c r="F160" s="5" t="inlineStr">
        <is>
          <t>Role filter (All roles / ...)</t>
        </is>
      </c>
      <c r="G160" s="5" t="inlineStr">
        <is>
          <t>dropdown</t>
        </is>
      </c>
      <c r="H160" s="5" t="inlineStr">
        <is>
          <t>Toolbar</t>
        </is>
      </c>
      <c r="I160" s="5" t="n"/>
      <c r="J160" s="16" t="inlineStr">
        <is>
          <t>Pass</t>
        </is>
      </c>
      <c r="K160" s="5" t="inlineStr">
        <is>
          <t>All roles / ADMIN / USER / TENANT; ADMIN shows only the admin row, TENANT shows none; the choice reaches the server as role=ADMIN</t>
        </is>
      </c>
      <c r="L160" s="5" t="n"/>
      <c r="M160" s="5" t="n"/>
      <c r="N160" s="5" t="inlineStr">
        <is>
          <t>R2</t>
        </is>
      </c>
    </row>
    <row r="161">
      <c r="A161" s="5" t="inlineStr">
        <is>
          <t>Settings</t>
        </is>
      </c>
      <c r="B161" s="5" t="inlineStr">
        <is>
          <t>Organization &gt; Users</t>
        </is>
      </c>
      <c r="C161" s="5" t="inlineStr">
        <is>
          <t>Users list</t>
        </is>
      </c>
      <c r="D161" s="5" t="inlineStr">
        <is>
          <t>S009</t>
        </is>
      </c>
      <c r="E161" s="5" t="inlineStr">
        <is>
          <t>S009-E05</t>
        </is>
      </c>
      <c r="F161" s="5" t="inlineStr">
        <is>
          <t>Active only tick box</t>
        </is>
      </c>
      <c r="G161" s="5" t="inlineStr">
        <is>
          <t>checkbox</t>
        </is>
      </c>
      <c r="H161" s="5" t="inlineStr">
        <is>
          <t>Toolbar</t>
        </is>
      </c>
      <c r="I161" s="5" t="n"/>
      <c r="J161" s="16" t="inlineStr">
        <is>
          <t>Pass</t>
        </is>
      </c>
      <c r="K161" s="5" t="inlineStr">
        <is>
          <t>ticking sends activeOnly=true; both users are Active, so the list is unchanged; unticking clears the parameter</t>
        </is>
      </c>
      <c r="L161" s="5" t="n"/>
      <c r="M161" s="5" t="n"/>
      <c r="N161" s="5" t="inlineStr">
        <is>
          <t>R2</t>
        </is>
      </c>
    </row>
    <row r="162">
      <c r="A162" s="5" t="inlineStr">
        <is>
          <t>Settings</t>
        </is>
      </c>
      <c r="B162" s="5" t="inlineStr">
        <is>
          <t>Organization &gt; Users</t>
        </is>
      </c>
      <c r="C162" s="5" t="inlineStr">
        <is>
          <t>Users list</t>
        </is>
      </c>
      <c r="D162" s="5" t="inlineStr">
        <is>
          <t>S009</t>
        </is>
      </c>
      <c r="E162" s="5" t="inlineStr">
        <is>
          <t>S009-E06</t>
        </is>
      </c>
      <c r="F162" s="5" t="inlineStr">
        <is>
          <t>Invite user</t>
        </is>
      </c>
      <c r="G162" s="5" t="inlineStr">
        <is>
          <t>button</t>
        </is>
      </c>
      <c r="H162" s="5" t="inlineStr">
        <is>
          <t>Toolbar</t>
        </is>
      </c>
      <c r="I162" s="5" t="n"/>
      <c r="J162" s="16" t="inlineStr">
        <is>
          <t>Pass</t>
        </is>
      </c>
      <c r="K162" s="5" t="inlineStr">
        <is>
          <t>opens the 'Invite user' dialog</t>
        </is>
      </c>
      <c r="L162" s="5" t="n"/>
      <c r="M162" s="5" t="n"/>
      <c r="N162" s="5" t="inlineStr">
        <is>
          <t>R2</t>
        </is>
      </c>
    </row>
    <row r="163">
      <c r="A163" s="5" t="inlineStr">
        <is>
          <t>Settings</t>
        </is>
      </c>
      <c r="B163" s="5" t="inlineStr">
        <is>
          <t>Organization &gt; Users</t>
        </is>
      </c>
      <c r="C163" s="5" t="inlineStr">
        <is>
          <t>Users list</t>
        </is>
      </c>
      <c r="D163" s="5" t="inlineStr">
        <is>
          <t>S009</t>
        </is>
      </c>
      <c r="E163" s="5" t="inlineStr">
        <is>
          <t>S009-E07</t>
        </is>
      </c>
      <c r="F163" s="5" t="inlineStr">
        <is>
          <t>Grid columns and values (Username, Email, Role, Client, Status, Actions)</t>
        </is>
      </c>
      <c r="G163" s="5" t="inlineStr">
        <is>
          <t>grid</t>
        </is>
      </c>
      <c r="H163" s="5" t="inlineStr">
        <is>
          <t>Grid</t>
        </is>
      </c>
      <c r="I163" s="5" t="n"/>
      <c r="J163" s="16" t="inlineStr">
        <is>
          <t>Pass</t>
        </is>
      </c>
      <c r="K163" s="5" t="inlineStr">
        <is>
          <t>Username (monospaced, with a YOU badge on the signed-in admin), Email, Role badge, Client (or '- unassigned -' in amber), Status with a tick, and the row actions; the row actions differ by role: on the ADMIN row Assign client is disabled with 'ADMIN is always org-wide' and the role control reads 'ADMIN (locked)'; 'Showing 2 rows - page 1'</t>
        </is>
      </c>
      <c r="L163" s="5" t="n"/>
      <c r="M163" s="5" t="n"/>
      <c r="N163" s="5" t="inlineStr">
        <is>
          <t>R2</t>
        </is>
      </c>
    </row>
    <row r="164">
      <c r="A164" s="5" t="inlineStr">
        <is>
          <t>Settings</t>
        </is>
      </c>
      <c r="B164" s="5" t="inlineStr">
        <is>
          <t>Organization &gt; Users</t>
        </is>
      </c>
      <c r="C164" s="5" t="inlineStr">
        <is>
          <t>Users list</t>
        </is>
      </c>
      <c r="D164" s="5" t="inlineStr">
        <is>
          <t>S009</t>
        </is>
      </c>
      <c r="E164" s="5" t="inlineStr">
        <is>
          <t>S009-E08</t>
        </is>
      </c>
      <c r="F164" s="5" t="inlineStr">
        <is>
          <t>Row action &gt; History (audit trail)</t>
        </is>
      </c>
      <c r="G164" s="5" t="inlineStr">
        <is>
          <t>button</t>
        </is>
      </c>
      <c r="H164" s="5" t="inlineStr">
        <is>
          <t>Grid</t>
        </is>
      </c>
      <c r="I164" s="5" t="n"/>
      <c r="J164" s="16" t="inlineStr">
        <is>
          <t>Pass</t>
        </is>
      </c>
      <c r="K164" s="5" t="inlineStr">
        <is>
          <t>opens 'Audit trail for &lt;username&gt;' for either user; shows 'No admin actions recorded for this user.'; Close and X both shut it</t>
        </is>
      </c>
      <c r="L164" s="5" t="inlineStr">
        <is>
          <t>It never has anything to show - see BUG-052.</t>
        </is>
      </c>
      <c r="M164" s="5" t="n"/>
      <c r="N164" s="5" t="inlineStr">
        <is>
          <t>R2</t>
        </is>
      </c>
    </row>
    <row r="165">
      <c r="A165" s="5" t="inlineStr">
        <is>
          <t>Settings</t>
        </is>
      </c>
      <c r="B165" s="5" t="inlineStr">
        <is>
          <t>Organization &gt; Users</t>
        </is>
      </c>
      <c r="C165" s="5" t="inlineStr">
        <is>
          <t>Users list</t>
        </is>
      </c>
      <c r="D165" s="5" t="inlineStr">
        <is>
          <t>S009</t>
        </is>
      </c>
      <c r="E165" s="5" t="inlineStr">
        <is>
          <t>S009-E09</t>
        </is>
      </c>
      <c r="F165" s="5" t="inlineStr">
        <is>
          <t>Row action &gt; Assign client</t>
        </is>
      </c>
      <c r="G165" s="5" t="inlineStr">
        <is>
          <t>button</t>
        </is>
      </c>
      <c r="H165" s="5" t="inlineStr">
        <is>
          <t>Grid</t>
        </is>
      </c>
      <c r="I165" s="5" t="n"/>
      <c r="J165" s="16" t="inlineStr">
        <is>
          <t>Pass</t>
        </is>
      </c>
      <c r="K165" s="5" t="inlineStr">
        <is>
          <t>dialog 'Assign client for manoj7000' with a free-text 'Client code (leave blank to clear)' pre-filled with the current code and an optional Reason; a code that does not exist is refused: 'Client not found - The client you tried to assign doesn't exist. Refresh the client dropdown and try again.' and the record is unchanged; saving the original code works and reports 'Done - Updated manoj7000.'; Cancel closes with nothing saved; the user's original client THB000 was restored</t>
        </is>
      </c>
      <c r="L165" s="5" t="inlineStr">
        <is>
          <t>The refusal message says 'Refresh the client dropdown', but the control is a free-text box, not a dropdown. A picker would also stop the typo in the first place. The reason typed is not kept (BUG-052).</t>
        </is>
      </c>
      <c r="M165" s="5" t="n"/>
      <c r="N165" s="5" t="inlineStr">
        <is>
          <t>R2</t>
        </is>
      </c>
    </row>
    <row r="166">
      <c r="A166" s="5" t="inlineStr">
        <is>
          <t>Settings</t>
        </is>
      </c>
      <c r="B166" s="5" t="inlineStr">
        <is>
          <t>Organization &gt; Users</t>
        </is>
      </c>
      <c r="C166" s="5" t="inlineStr">
        <is>
          <t>Users list</t>
        </is>
      </c>
      <c r="D166" s="5" t="inlineStr">
        <is>
          <t>S009</t>
        </is>
      </c>
      <c r="E166" s="5" t="inlineStr">
        <is>
          <t>S009-E10</t>
        </is>
      </c>
      <c r="F166" s="5" t="inlineStr">
        <is>
          <t>Row action &gt; Role select</t>
        </is>
      </c>
      <c r="G166" s="5" t="inlineStr">
        <is>
          <t>dropdown</t>
        </is>
      </c>
      <c r="H166" s="5" t="inlineStr">
        <is>
          <t>Grid</t>
        </is>
      </c>
      <c r="I166" s="5" t="n"/>
      <c r="J166" s="19" t="inlineStr">
        <is>
          <t>Blocked</t>
        </is>
      </c>
      <c r="K166" s="5" t="inlineStr">
        <is>
          <t>options USER, TENANT, ADMIN (promote); locked on the ADMIN row</t>
        </is>
      </c>
      <c r="L166" s="5" t="inlineStr">
        <is>
          <t>The dropdown offers USER, TENANT and 'ADMIN (promote)'. Changing it would alter the access of a real person's account (manoj7000, maharana@suyogindia.com) and the invited test account never appeared in the list (BUG-050), so there was no safe row to try it on. The options were read without saving.</t>
        </is>
      </c>
      <c r="M166" s="5" t="n"/>
      <c r="N166" s="5" t="inlineStr">
        <is>
          <t>R2</t>
        </is>
      </c>
    </row>
    <row r="167">
      <c r="A167" s="5" t="inlineStr">
        <is>
          <t>Settings</t>
        </is>
      </c>
      <c r="B167" s="5" t="inlineStr">
        <is>
          <t>Organization &gt; Users</t>
        </is>
      </c>
      <c r="C167" s="5" t="inlineStr">
        <is>
          <t>Users list</t>
        </is>
      </c>
      <c r="D167" s="5" t="inlineStr">
        <is>
          <t>S009</t>
        </is>
      </c>
      <c r="E167" s="5" t="inlineStr">
        <is>
          <t>S009-E11</t>
        </is>
      </c>
      <c r="F167" s="5" t="inlineStr">
        <is>
          <t>Row action &gt; Reset password (emails a link)</t>
        </is>
      </c>
      <c r="G167" s="5" t="inlineStr">
        <is>
          <t>button</t>
        </is>
      </c>
      <c r="H167" s="5" t="inlineStr">
        <is>
          <t>Grid</t>
        </is>
      </c>
      <c r="I167" s="5" t="n"/>
      <c r="J167" s="19" t="inlineStr">
        <is>
          <t>Blocked</t>
        </is>
      </c>
      <c r="K167" s="5" t="inlineStr">
        <is>
          <t>present and enabled on the USER row, absent on the ADMIN row</t>
        </is>
      </c>
      <c r="L167" s="5" t="inlineStr">
        <is>
          <t>The button's tooltip is 'Email a password-reset link to this user' and the only candidate is a real person's account. Not clicked.</t>
        </is>
      </c>
      <c r="M167" s="5" t="n"/>
      <c r="N167" s="5" t="inlineStr">
        <is>
          <t>R2</t>
        </is>
      </c>
    </row>
    <row r="168">
      <c r="A168" s="5" t="inlineStr">
        <is>
          <t>Settings</t>
        </is>
      </c>
      <c r="B168" s="5" t="inlineStr">
        <is>
          <t>Organization &gt; Users</t>
        </is>
      </c>
      <c r="C168" s="5" t="inlineStr">
        <is>
          <t>Users list</t>
        </is>
      </c>
      <c r="D168" s="5" t="inlineStr">
        <is>
          <t>S009</t>
        </is>
      </c>
      <c r="E168" s="5" t="inlineStr">
        <is>
          <t>S009-E12</t>
        </is>
      </c>
      <c r="F168" s="5" t="inlineStr">
        <is>
          <t>Row action &gt; Deactivate / Activate</t>
        </is>
      </c>
      <c r="G168" s="5" t="inlineStr">
        <is>
          <t>button</t>
        </is>
      </c>
      <c r="H168" s="5" t="inlineStr">
        <is>
          <t>Grid</t>
        </is>
      </c>
      <c r="I168" s="5" t="n"/>
      <c r="J168" s="17" t="inlineStr">
        <is>
          <t>Fail</t>
        </is>
      </c>
      <c r="K168" s="5" t="inlineStr">
        <is>
          <t>enabled on the signed-in admin's own row, which is the only ADMIN (BUG-051) - not clicked, at the user's request; not exercised on the USER row either, for the same reason as the role control</t>
        </is>
      </c>
      <c r="L168" s="5" t="n"/>
      <c r="M168" s="5" t="inlineStr">
        <is>
          <t>BUG-051</t>
        </is>
      </c>
      <c r="N168" s="5" t="inlineStr">
        <is>
          <t>R2</t>
        </is>
      </c>
    </row>
    <row r="169">
      <c r="A169" s="5" t="inlineStr">
        <is>
          <t>Settings</t>
        </is>
      </c>
      <c r="B169" s="5" t="inlineStr">
        <is>
          <t>Organization &gt; Users</t>
        </is>
      </c>
      <c r="C169" s="5" t="inlineStr">
        <is>
          <t>Users list</t>
        </is>
      </c>
      <c r="D169" s="5" t="inlineStr">
        <is>
          <t>S009</t>
        </is>
      </c>
      <c r="E169" s="5" t="inlineStr">
        <is>
          <t>S009-E13</t>
        </is>
      </c>
      <c r="F169" s="5" t="inlineStr">
        <is>
          <t>Page size and Prev / Next</t>
        </is>
      </c>
      <c r="G169" s="5" t="inlineStr">
        <is>
          <t>button</t>
        </is>
      </c>
      <c r="H169" s="5" t="inlineStr">
        <is>
          <t>Grid</t>
        </is>
      </c>
      <c r="I169" s="5" t="n"/>
      <c r="J169" s="16" t="inlineStr">
        <is>
          <t>Pass</t>
        </is>
      </c>
      <c r="K169" s="5" t="inlineStr">
        <is>
          <t>page size 25 / 50 / 100 / 200; Prev and Next disabled with a single page</t>
        </is>
      </c>
      <c r="L169" s="5" t="inlineStr">
        <is>
          <t>Paging between pages was not exercised: only two users exist and the smallest page size is 25.</t>
        </is>
      </c>
      <c r="M169" s="5" t="n"/>
      <c r="N169" s="5" t="inlineStr">
        <is>
          <t>R2</t>
        </is>
      </c>
    </row>
    <row r="170">
      <c r="A170" s="5" t="inlineStr">
        <is>
          <t>Settings</t>
        </is>
      </c>
      <c r="B170" s="5" t="inlineStr">
        <is>
          <t>Organization &gt; Users</t>
        </is>
      </c>
      <c r="C170" s="5" t="inlineStr">
        <is>
          <t>Users list</t>
        </is>
      </c>
      <c r="D170" s="5" t="inlineStr">
        <is>
          <t>S009</t>
        </is>
      </c>
      <c r="E170" s="5" t="inlineStr">
        <is>
          <t>S009-E14</t>
        </is>
      </c>
      <c r="F170" s="5" t="inlineStr">
        <is>
          <t>'Showing N rows - page N' count</t>
        </is>
      </c>
      <c r="G170" s="5" t="inlineStr">
        <is>
          <t>other</t>
        </is>
      </c>
      <c r="H170" s="5" t="inlineStr">
        <is>
          <t>Grid</t>
        </is>
      </c>
      <c r="I170" s="5" t="n"/>
      <c r="J170" s="16" t="inlineStr">
        <is>
          <t>Pass</t>
        </is>
      </c>
      <c r="K170" s="5" t="inlineStr">
        <is>
          <t>'Showing 2 rows - page 1'; 'Showing 1 row - page 1' (singular) after a search; 'No rows' with no match</t>
        </is>
      </c>
      <c r="L170" s="5" t="n"/>
      <c r="M170" s="5" t="n"/>
      <c r="N170" s="5" t="inlineStr">
        <is>
          <t>R2</t>
        </is>
      </c>
    </row>
    <row r="171">
      <c r="A171" s="5" t="inlineStr">
        <is>
          <t>Settings</t>
        </is>
      </c>
      <c r="B171" s="5" t="inlineStr">
        <is>
          <t>Organization &gt; Users</t>
        </is>
      </c>
      <c r="C171" s="5" t="inlineStr">
        <is>
          <t>Users list</t>
        </is>
      </c>
      <c r="D171" s="5" t="inlineStr">
        <is>
          <t>S009</t>
        </is>
      </c>
      <c r="E171" s="5" t="inlineStr">
        <is>
          <t>S009-E15</t>
        </is>
      </c>
      <c r="F171" s="5" t="inlineStr">
        <is>
          <t>Recent admin actions panel</t>
        </is>
      </c>
      <c r="G171" s="5" t="inlineStr">
        <is>
          <t>other</t>
        </is>
      </c>
      <c r="H171" s="5" t="inlineStr">
        <is>
          <t>Page</t>
        </is>
      </c>
      <c r="I171" s="5" t="n"/>
      <c r="J171" s="17" t="inlineStr">
        <is>
          <t>Fail</t>
        </is>
      </c>
      <c r="K171" s="5" t="inlineStr">
        <is>
          <t>the panel is present and reloads with every change; it never shows anything (BUG-052)</t>
        </is>
      </c>
      <c r="L171" s="5" t="n"/>
      <c r="M171" s="5" t="inlineStr">
        <is>
          <t>BUG-052</t>
        </is>
      </c>
      <c r="N171" s="5" t="inlineStr">
        <is>
          <t>R2</t>
        </is>
      </c>
    </row>
    <row r="172">
      <c r="A172" s="5" t="inlineStr">
        <is>
          <t>Settings</t>
        </is>
      </c>
      <c r="B172" s="5" t="inlineStr">
        <is>
          <t>Organization &gt; Users</t>
        </is>
      </c>
      <c r="C172" s="5" t="inlineStr">
        <is>
          <t>Users list</t>
        </is>
      </c>
      <c r="D172" s="5" t="inlineStr">
        <is>
          <t>S009</t>
        </is>
      </c>
      <c r="E172" s="5" t="inlineStr">
        <is>
          <t>S009-E16</t>
        </is>
      </c>
      <c r="F172" s="5" t="inlineStr">
        <is>
          <t>Invite user form (fields, validation, send)</t>
        </is>
      </c>
      <c r="G172" s="5" t="inlineStr">
        <is>
          <t>form</t>
        </is>
      </c>
      <c r="H172" s="5" t="inlineStr">
        <is>
          <t>Panel</t>
        </is>
      </c>
      <c r="I172" s="5" t="n"/>
      <c r="J172" s="17" t="inlineStr">
        <is>
          <t>Fail</t>
        </is>
      </c>
      <c r="K172" s="5" t="inlineStr">
        <is>
          <t>fields Email, Client and Role, all required; roles offered are USER and TENANT only, not ADMIN; an empty form is refused ('Email and client are required.'); a malformed email is refused in the page with no request sent; the invite is created and the accept link is shown, with 'Invite emailed to ... (or logged in dev)'; a bad email is reported under the heading 'This shipment needs attention' (BUG-048); the invited person is never listed and the invitation is not audited (BUG-050)</t>
        </is>
      </c>
      <c r="L172" s="5" t="inlineStr">
        <is>
          <t>Sent with the user's go-ahead after confirming on Settings &gt; Mail that no provider is active, so outbound email is logged only and nothing left the machine.</t>
        </is>
      </c>
      <c r="M172" s="5" t="inlineStr">
        <is>
          <t>BUG-048, BUG-050</t>
        </is>
      </c>
      <c r="N172" s="5" t="inlineStr">
        <is>
          <t>R2</t>
        </is>
      </c>
    </row>
    <row r="173">
      <c r="A173" s="5" t="inlineStr">
        <is>
          <t>Settings</t>
        </is>
      </c>
      <c r="B173" s="5" t="inlineStr">
        <is>
          <t>Organization &gt; Users</t>
        </is>
      </c>
      <c r="C173" s="5" t="inlineStr">
        <is>
          <t>Users list</t>
        </is>
      </c>
      <c r="D173" s="5" t="inlineStr">
        <is>
          <t>S009</t>
        </is>
      </c>
      <c r="E173" s="5" t="inlineStr">
        <is>
          <t>S009-E17</t>
        </is>
      </c>
      <c r="F173" s="5" t="inlineStr">
        <is>
          <t>Toasts and messages</t>
        </is>
      </c>
      <c r="G173" s="5" t="inlineStr">
        <is>
          <t>other</t>
        </is>
      </c>
      <c r="H173" s="5" t="inlineStr">
        <is>
          <t>Page</t>
        </is>
      </c>
      <c r="I173" s="5" t="n"/>
      <c r="J173" s="17" t="inlineStr">
        <is>
          <t>Fail</t>
        </is>
      </c>
      <c r="K173" s="5" t="inlineStr">
        <is>
          <t>green Done toasts for a successful save; 'Client not found' is a clear, well-written refusal; 'Something went wrong' used for a missing required field, and 'This shipment needs attention' for a bad email on the same small form (BUG-036, BUG-048)</t>
        </is>
      </c>
      <c r="L173" s="5" t="n"/>
      <c r="M173" s="5" t="n"/>
      <c r="N173" s="5" t="inlineStr">
        <is>
          <t>R2</t>
        </is>
      </c>
    </row>
    <row r="174">
      <c r="A174" s="5" t="inlineStr">
        <is>
          <t>Settings</t>
        </is>
      </c>
      <c r="B174" s="5" t="inlineStr">
        <is>
          <t>Organization &gt; Roles</t>
        </is>
      </c>
      <c r="C174" s="5" t="inlineStr">
        <is>
          <t>Roles list</t>
        </is>
      </c>
      <c r="D174" s="5" t="inlineStr">
        <is>
          <t>S010</t>
        </is>
      </c>
      <c r="E174" s="5" t="inlineStr">
        <is>
          <t>S010-E01</t>
        </is>
      </c>
      <c r="F174" s="5" t="inlineStr">
        <is>
          <t>Page header and description</t>
        </is>
      </c>
      <c r="G174" s="5" t="inlineStr">
        <is>
          <t>other</t>
        </is>
      </c>
      <c r="H174" s="5" t="inlineStr">
        <is>
          <t>Header</t>
        </is>
      </c>
      <c r="I174" s="5" t="n"/>
      <c r="J174" s="17" t="inlineStr">
        <is>
          <t>Fail</t>
        </is>
      </c>
      <c r="K174" s="5" t="inlineStr">
        <is>
          <t>title 'Roles', breadcrumb and highlighted menu item are right; the description tells the user to 'add roles via SQL today' (BUG-049)</t>
        </is>
      </c>
      <c r="L174" s="5" t="n"/>
      <c r="M174" s="5" t="n"/>
      <c r="N174" s="5" t="inlineStr">
        <is>
          <t>R2</t>
        </is>
      </c>
    </row>
    <row r="175">
      <c r="A175" s="5" t="inlineStr">
        <is>
          <t>Settings</t>
        </is>
      </c>
      <c r="B175" s="5" t="inlineStr">
        <is>
          <t>Organization &gt; Roles</t>
        </is>
      </c>
      <c r="C175" s="5" t="inlineStr">
        <is>
          <t>Roles list</t>
        </is>
      </c>
      <c r="D175" s="5" t="inlineStr">
        <is>
          <t>S010</t>
        </is>
      </c>
      <c r="E175" s="5" t="inlineStr">
        <is>
          <t>S010-E02</t>
        </is>
      </c>
      <c r="F175" s="5" t="inlineStr">
        <is>
          <t>Refresh</t>
        </is>
      </c>
      <c r="G175" s="5" t="inlineStr">
        <is>
          <t>button</t>
        </is>
      </c>
      <c r="H175" s="5" t="inlineStr">
        <is>
          <t>Header</t>
        </is>
      </c>
      <c r="I175" s="5" t="n"/>
      <c r="J175" s="16" t="inlineStr">
        <is>
          <t>Pass</t>
        </is>
      </c>
      <c r="K175" s="5" t="inlineStr">
        <is>
          <t>one GET /api/v1/admin/roles (200) per click; the grid is redrawn with the same three rows</t>
        </is>
      </c>
      <c r="L175" s="5" t="n"/>
      <c r="M175" s="5" t="n"/>
      <c r="N175" s="5" t="inlineStr">
        <is>
          <t>R2</t>
        </is>
      </c>
    </row>
    <row r="176">
      <c r="A176" s="5" t="inlineStr">
        <is>
          <t>Settings</t>
        </is>
      </c>
      <c r="B176" s="5" t="inlineStr">
        <is>
          <t>Organization &gt; Roles</t>
        </is>
      </c>
      <c r="C176" s="5" t="inlineStr">
        <is>
          <t>Roles list</t>
        </is>
      </c>
      <c r="D176" s="5" t="inlineStr">
        <is>
          <t>S010</t>
        </is>
      </c>
      <c r="E176" s="5" t="inlineStr">
        <is>
          <t>S010-E03</t>
        </is>
      </c>
      <c r="F176" s="5" t="inlineStr">
        <is>
          <t>Roles grid (Code, Name, Invitable)</t>
        </is>
      </c>
      <c r="G176" s="5" t="inlineStr">
        <is>
          <t>grid</t>
        </is>
      </c>
      <c r="H176" s="5" t="inlineStr">
        <is>
          <t>Grid</t>
        </is>
      </c>
      <c r="I176" s="5" t="n"/>
      <c r="J176" s="16" t="inlineStr">
        <is>
          <t>Pass</t>
        </is>
      </c>
      <c r="K176" s="5" t="inlineStr">
        <is>
          <t>three rows: USER / Operator / yes, TENANT / Tenant (customer) / yes, ADMIN / Administrator / no; codes in monospace, Invitable as a yes/no badge; no sorting, search, filter, paging or export on this screen, and none is offered</t>
        </is>
      </c>
      <c r="L176" s="5" t="n"/>
      <c r="M176" s="5" t="n"/>
      <c r="N176" s="5" t="inlineStr">
        <is>
          <t>R2</t>
        </is>
      </c>
    </row>
    <row r="177">
      <c r="A177" s="5" t="inlineStr">
        <is>
          <t>Settings</t>
        </is>
      </c>
      <c r="B177" s="5" t="inlineStr">
        <is>
          <t>Organization &gt; Roles</t>
        </is>
      </c>
      <c r="C177" s="5" t="inlineStr">
        <is>
          <t>Roles list</t>
        </is>
      </c>
      <c r="D177" s="5" t="inlineStr">
        <is>
          <t>S010</t>
        </is>
      </c>
      <c r="E177" s="5" t="inlineStr">
        <is>
          <t>S010-E04</t>
        </is>
      </c>
      <c r="F177" s="5" t="inlineStr">
        <is>
          <t>Read-only: no add, edit or delete control</t>
        </is>
      </c>
      <c r="G177" s="5" t="inlineStr">
        <is>
          <t>other</t>
        </is>
      </c>
      <c r="H177" s="5" t="inlineStr">
        <is>
          <t>Page</t>
        </is>
      </c>
      <c r="I177" s="5" t="n"/>
      <c r="J177" s="16" t="inlineStr">
        <is>
          <t>Pass</t>
        </is>
      </c>
      <c r="K177" s="5" t="inlineStr">
        <is>
          <t>no Add, Edit or Delete control anywhere on the page; no row menu; matches the stated 'Read-only'</t>
        </is>
      </c>
      <c r="L177" s="5" t="n"/>
      <c r="M177" s="5" t="n"/>
      <c r="N177" s="5" t="inlineStr">
        <is>
          <t>R2</t>
        </is>
      </c>
    </row>
    <row r="178">
      <c r="A178" s="5" t="inlineStr">
        <is>
          <t>Settings</t>
        </is>
      </c>
      <c r="B178" s="5" t="inlineStr">
        <is>
          <t>Organization &gt; Roles</t>
        </is>
      </c>
      <c r="C178" s="5" t="inlineStr">
        <is>
          <t>Roles list</t>
        </is>
      </c>
      <c r="D178" s="5" t="inlineStr">
        <is>
          <t>S010</t>
        </is>
      </c>
      <c r="E178" s="5" t="inlineStr">
        <is>
          <t>S010-E05</t>
        </is>
      </c>
      <c r="F178" s="5" t="inlineStr">
        <is>
          <t>Agreement with the roles offered elsewhere (Users list, invite, role change)</t>
        </is>
      </c>
      <c r="G178" s="5" t="inlineStr">
        <is>
          <t>other</t>
        </is>
      </c>
      <c r="H178" s="5" t="inlineStr">
        <is>
          <t>Page</t>
        </is>
      </c>
      <c r="I178" s="5" t="n"/>
      <c r="J178" s="16" t="inlineStr">
        <is>
          <t>Pass</t>
        </is>
      </c>
      <c r="K178" s="5" t="inlineStr">
        <is>
          <t>the Users role filter offers exactly these three codes; the Invite user dialog offers only the two marked Invitable (USER, TENANT), not ADMIN; the per-row role control offers USER, TENANT and 'ADMIN (promote)', and is locked on the ADMIN row</t>
        </is>
      </c>
      <c r="L178" s="5" t="n"/>
      <c r="M178" s="5" t="n"/>
      <c r="N178" s="5" t="inlineStr">
        <is>
          <t>R2</t>
        </is>
      </c>
    </row>
    <row r="179">
      <c r="A179" s="5" t="inlineStr">
        <is>
          <t>Settings</t>
        </is>
      </c>
      <c r="B179" s="5" t="inlineStr">
        <is>
          <t>All settings</t>
        </is>
      </c>
      <c r="C179" s="5" t="inlineStr">
        <is>
          <t>All settings overview</t>
        </is>
      </c>
      <c r="D179" s="5" t="inlineStr">
        <is>
          <t>S005</t>
        </is>
      </c>
      <c r="E179" s="5" t="inlineStr">
        <is>
          <t>S005-E01</t>
        </is>
      </c>
      <c r="F179" s="5" t="inlineStr">
        <is>
          <t>Page header and description</t>
        </is>
      </c>
      <c r="G179" s="5" t="inlineStr">
        <is>
          <t>other</t>
        </is>
      </c>
      <c r="H179" s="5" t="inlineStr">
        <is>
          <t>Header</t>
        </is>
      </c>
      <c r="I179" s="5" t="n"/>
      <c r="J179" s="16" t="inlineStr">
        <is>
          <t>Pass</t>
        </is>
      </c>
      <c r="K179" s="5" t="inlineStr">
        <is>
          <t>title 'All settings' and the description 'Everything that shapes how Multiship ships, grouped by what it controls.'; breadcrumb 'Settings'; All settings highlighted in the menu</t>
        </is>
      </c>
      <c r="L179" s="5" t="n"/>
      <c r="M179" s="5" t="n"/>
      <c r="N179" s="5" t="inlineStr">
        <is>
          <t>R2</t>
        </is>
      </c>
    </row>
    <row r="180">
      <c r="A180" s="5" t="inlineStr">
        <is>
          <t>Settings</t>
        </is>
      </c>
      <c r="B180" s="5" t="inlineStr">
        <is>
          <t>All settings</t>
        </is>
      </c>
      <c r="C180" s="5" t="inlineStr">
        <is>
          <t>All settings overview</t>
        </is>
      </c>
      <c r="D180" s="5" t="inlineStr">
        <is>
          <t>S005</t>
        </is>
      </c>
      <c r="E180" s="5" t="inlineStr">
        <is>
          <t>S005-E02</t>
        </is>
      </c>
      <c r="F180" s="5" t="inlineStr">
        <is>
          <t>Settings menu (groups, items, highlighting, collapse)</t>
        </is>
      </c>
      <c r="G180" s="5" t="inlineStr">
        <is>
          <t>navigation</t>
        </is>
      </c>
      <c r="H180" s="5" t="inlineStr">
        <is>
          <t>Sidebar</t>
        </is>
      </c>
      <c r="I180" s="5" t="n"/>
      <c r="J180" s="16" t="inlineStr">
        <is>
          <t>Pass</t>
        </is>
      </c>
      <c r="K180" s="5" t="inlineStr">
        <is>
          <t>eight groups in the menu: Organization, Carriers &amp; services, International, Labels &amp; documents, Email &amp; alerts, Integrations, System, Activity &amp; logs; the item for the open screen is highlighted on every settings page visited in this run; the collapse chevron is present</t>
        </is>
      </c>
      <c r="L180" s="5" t="n"/>
      <c r="M180" s="5" t="n"/>
      <c r="N180" s="5" t="inlineStr">
        <is>
          <t>R2</t>
        </is>
      </c>
    </row>
    <row r="181">
      <c r="A181" s="5" t="inlineStr">
        <is>
          <t>Settings</t>
        </is>
      </c>
      <c r="B181" s="5" t="inlineStr">
        <is>
          <t>All settings</t>
        </is>
      </c>
      <c r="C181" s="5" t="inlineStr">
        <is>
          <t>All settings overview</t>
        </is>
      </c>
      <c r="D181" s="5" t="inlineStr">
        <is>
          <t>S005</t>
        </is>
      </c>
      <c r="E181" s="5" t="inlineStr">
        <is>
          <t>S005-E03</t>
        </is>
      </c>
      <c r="F181" s="5" t="inlineStr">
        <is>
          <t>Search settings box</t>
        </is>
      </c>
      <c r="G181" s="5" t="inlineStr">
        <is>
          <t>search</t>
        </is>
      </c>
      <c r="H181" s="5" t="inlineStr">
        <is>
          <t>Sidebar</t>
        </is>
      </c>
      <c r="I181" s="5" t="n"/>
      <c r="J181" s="16" t="inlineStr">
        <is>
          <t>Pass</t>
        </is>
      </c>
      <c r="K181" s="5" t="inlineStr">
        <is>
          <t>'cutoff' narrows the menu to Cutoffs &amp; Holidays under its group heading; no match shows 'No setting matches "zzz".'; the clear (x) button restores the full menu; matching is case-insensitive and on part of a word</t>
        </is>
      </c>
      <c r="L181" s="5" t="inlineStr">
        <is>
          <t>The box filters the sidebar only; the group cards in the page body are not narrowed. That reads as deliberate, since the box sits in the sidebar.</t>
        </is>
      </c>
      <c r="M181" s="5" t="n"/>
      <c r="N181" s="5" t="inlineStr">
        <is>
          <t>R2</t>
        </is>
      </c>
    </row>
    <row r="182">
      <c r="A182" s="5" t="inlineStr">
        <is>
          <t>Settings</t>
        </is>
      </c>
      <c r="B182" s="5" t="inlineStr">
        <is>
          <t>All settings</t>
        </is>
      </c>
      <c r="C182" s="5" t="inlineStr">
        <is>
          <t>All settings overview</t>
        </is>
      </c>
      <c r="D182" s="5" t="inlineStr">
        <is>
          <t>S005</t>
        </is>
      </c>
      <c r="E182" s="5" t="inlineStr">
        <is>
          <t>S005-E04</t>
        </is>
      </c>
      <c r="F182" s="5" t="inlineStr">
        <is>
          <t>Group cards and their links</t>
        </is>
      </c>
      <c r="G182" s="5" t="inlineStr">
        <is>
          <t>navigation</t>
        </is>
      </c>
      <c r="H182" s="5" t="inlineStr">
        <is>
          <t>Page</t>
        </is>
      </c>
      <c r="I182" s="5" t="n"/>
      <c r="J182" s="16" t="inlineStr">
        <is>
          <t>Pass</t>
        </is>
      </c>
      <c r="K182" s="5" t="inlineStr">
        <is>
          <t>eight cards, each with a one-line description of what the group controls; 35 links in total, every one pointing at a /settings/... route; the links match the sidebar items one for one</t>
        </is>
      </c>
      <c r="L182" s="5" t="n"/>
      <c r="M182" s="5" t="n"/>
      <c r="N182" s="5" t="inlineStr">
        <is>
          <t>R2</t>
        </is>
      </c>
    </row>
    <row r="183">
      <c r="A183" s="5" t="inlineStr">
        <is>
          <t>Settings</t>
        </is>
      </c>
      <c r="B183" s="5" t="inlineStr">
        <is>
          <t>All settings</t>
        </is>
      </c>
      <c r="C183" s="5" t="inlineStr">
        <is>
          <t>All settings overview</t>
        </is>
      </c>
      <c r="D183" s="5" t="inlineStr">
        <is>
          <t>S005</t>
        </is>
      </c>
      <c r="E183" s="5" t="inlineStr">
        <is>
          <t>S005-E05</t>
        </is>
      </c>
      <c r="F183" s="5" t="inlineStr">
        <is>
          <t>Agreement between the cards and the sidebar menu</t>
        </is>
      </c>
      <c r="G183" s="5" t="inlineStr">
        <is>
          <t>other</t>
        </is>
      </c>
      <c r="H183" s="5" t="inlineStr">
        <is>
          <t>Page</t>
        </is>
      </c>
      <c r="I183" s="5" t="n"/>
      <c r="J183" s="16" t="inlineStr">
        <is>
          <t>Pass</t>
        </is>
      </c>
      <c r="K183" s="5" t="inlineStr">
        <is>
          <t>the 35 card links and the 35 sidebar links are the same set, in the same order and the same groups; every route reached during this run matched the label that led to it</t>
        </is>
      </c>
      <c r="L183" s="5" t="n"/>
      <c r="M183" s="5" t="n"/>
      <c r="N183" s="5" t="inlineStr">
        <is>
          <t>R2</t>
        </is>
      </c>
    </row>
  </sheetData>
  <autoFilter ref="A1:N183"/>
  <pageMargins left="0.7" right="0.7" top="0.75" bottom="0.75" header="0.3" footer="0.3"/>
  <pageSetup orientation="landscape" paperSize="9" fitToHeight="0"/>
</worksheet>
</file>

<file path=xl/worksheets/sheet4.xml><?xml version="1.0" encoding="utf-8"?>
<worksheet xmlns="http://schemas.openxmlformats.org/spreadsheetml/2006/main">
  <sheetPr>
    <outlinePr summaryBelow="1" summaryRight="1"/>
    <pageSetUpPr fitToPage="1"/>
  </sheetPr>
  <dimension ref="A1:N41"/>
  <sheetViews>
    <sheetView workbookViewId="0">
      <pane ySplit="1" topLeftCell="A2" activePane="bottomLeft" state="frozen"/>
      <selection pane="bottomLeft" activeCell="A1" sqref="A1"/>
    </sheetView>
  </sheetViews>
  <sheetFormatPr baseColWidth="8" defaultRowHeight="15"/>
  <cols>
    <col width="10.7109375" customWidth="1" min="1" max="1"/>
    <col width="16.7109375" customWidth="1" min="2" max="3"/>
    <col width="24.7109375" customWidth="1" min="4" max="4"/>
    <col width="30.7109375" customWidth="1" min="5" max="5"/>
    <col width="12.7109375" customWidth="1" min="6" max="6"/>
    <col width="9.7109375" customWidth="1" min="7" max="7"/>
    <col width="7.7109375" customWidth="1" min="8" max="9"/>
    <col width="8.7109375" customWidth="1" min="10" max="10"/>
    <col width="6.7109375" customWidth="1" min="11" max="11"/>
    <col width="10.7109375" customWidth="1" min="12" max="12"/>
    <col width="7.7109375" customWidth="1" min="13" max="13"/>
    <col width="45.7109375" customWidth="1" min="14" max="14"/>
  </cols>
  <sheetData>
    <row r="1">
      <c r="A1" s="12" t="inlineStr">
        <is>
          <t>Screen ID</t>
        </is>
      </c>
      <c r="B1" s="12" t="inlineStr">
        <is>
          <t>Module</t>
        </is>
      </c>
      <c r="C1" s="12" t="inlineStr">
        <is>
          <t>Submodule</t>
        </is>
      </c>
      <c r="D1" s="12" t="inlineStr">
        <is>
          <t>Screen</t>
        </is>
      </c>
      <c r="E1" s="12" t="inlineStr">
        <is>
          <t>URL</t>
        </is>
      </c>
      <c r="F1" s="12" t="inlineStr">
        <is>
          <t>Status</t>
        </is>
      </c>
      <c r="G1" s="12" t="inlineStr">
        <is>
          <t>Elements</t>
        </is>
      </c>
      <c r="H1" s="12" t="inlineStr">
        <is>
          <t>Pass</t>
        </is>
      </c>
      <c r="I1" s="12" t="inlineStr">
        <is>
          <t>Fail</t>
        </is>
      </c>
      <c r="J1" s="12" t="inlineStr">
        <is>
          <t>Blocked</t>
        </is>
      </c>
      <c r="K1" s="12" t="inlineStr">
        <is>
          <t>N/A</t>
        </is>
      </c>
      <c r="L1" s="12" t="inlineStr">
        <is>
          <t>Not tested</t>
        </is>
      </c>
      <c r="M1" s="12" t="inlineStr">
        <is>
          <t>Bugs</t>
        </is>
      </c>
      <c r="N1" s="12" t="inlineStr">
        <is>
          <t>Notes</t>
        </is>
      </c>
    </row>
    <row r="2">
      <c r="A2" s="5" t="inlineStr">
        <is>
          <t>S001</t>
        </is>
      </c>
      <c r="B2" s="5" t="inlineStr">
        <is>
          <t>Orders</t>
        </is>
      </c>
      <c r="C2" s="5" t="inlineStr">
        <is>
          <t>New order</t>
        </is>
      </c>
      <c r="D2" s="5" t="inlineStr">
        <is>
          <t>New order form (international)</t>
        </is>
      </c>
      <c r="E2" s="5" t="inlineStr">
        <is>
          <t>/orders/new</t>
        </is>
      </c>
      <c r="F2" s="18" t="inlineStr">
        <is>
          <t>Partial</t>
        </is>
      </c>
      <c r="G2" s="6">
        <f>COUNTIF(Coverage!$D:$D,$A2)</f>
        <v/>
      </c>
      <c r="H2" s="6">
        <f>COUNTIFS(Coverage!$D:$D,$A2,Coverage!$J:$J,"Pass")</f>
        <v/>
      </c>
      <c r="I2" s="6">
        <f>COUNTIFS(Coverage!$D:$D,$A2,Coverage!$J:$J,"Fail")</f>
        <v/>
      </c>
      <c r="J2" s="6">
        <f>COUNTIFS(Coverage!$D:$D,$A2,Coverage!$J:$J,"Blocked")</f>
        <v/>
      </c>
      <c r="K2" s="6">
        <f>COUNTIFS(Coverage!$D:$D,$A2,Coverage!$J:$J,"N/A")</f>
        <v/>
      </c>
      <c r="L2" s="6">
        <f>COUNTIFS(Coverage!$D:$D,$A2,Coverage!$J:$J,"Not tested")</f>
        <v/>
      </c>
      <c r="M2" s="6">
        <f>COUNTIF(Bugs!$V:$V,$A2)</f>
        <v/>
      </c>
      <c r="N2" s="5" t="inlineStr">
        <is>
          <t>Client, carrier, ship from, ship to, service, packages, customs, importer, items, shipment check, Validate / Generate label | Left untested: Combination run: controls not needed for the carrier/service/packaging matrix were not exercised</t>
        </is>
      </c>
    </row>
    <row r="3">
      <c r="A3" s="5" t="inlineStr">
        <is>
          <t>S002</t>
        </is>
      </c>
      <c r="B3" s="5" t="inlineStr">
        <is>
          <t>Orders</t>
        </is>
      </c>
      <c r="C3" s="5" t="inlineStr">
        <is>
          <t>New order</t>
        </is>
      </c>
      <c r="D3" s="5" t="inlineStr">
        <is>
          <t>Importer &amp; broker override dialog</t>
        </is>
      </c>
      <c r="E3" s="5" t="inlineStr">
        <is>
          <t>/orders/new (dialog opened from Importer of record &amp; customs broker &gt; Add)</t>
        </is>
      </c>
      <c r="F3" s="18" t="inlineStr">
        <is>
          <t>Partial</t>
        </is>
      </c>
      <c r="G3" s="6">
        <f>COUNTIF(Coverage!$D:$D,$A3)</f>
        <v/>
      </c>
      <c r="H3" s="6">
        <f>COUNTIFS(Coverage!$D:$D,$A3,Coverage!$J:$J,"Pass")</f>
        <v/>
      </c>
      <c r="I3" s="6">
        <f>COUNTIFS(Coverage!$D:$D,$A3,Coverage!$J:$J,"Fail")</f>
        <v/>
      </c>
      <c r="J3" s="6">
        <f>COUNTIFS(Coverage!$D:$D,$A3,Coverage!$J:$J,"Blocked")</f>
        <v/>
      </c>
      <c r="K3" s="6">
        <f>COUNTIFS(Coverage!$D:$D,$A3,Coverage!$J:$J,"N/A")</f>
        <v/>
      </c>
      <c r="L3" s="6">
        <f>COUNTIFS(Coverage!$D:$D,$A3,Coverage!$J:$J,"Not tested")</f>
        <v/>
      </c>
      <c r="M3" s="6">
        <f>COUNTIF(Bugs!$V:$V,$A3)</f>
        <v/>
      </c>
      <c r="N3" s="5" t="inlineStr">
        <is>
          <t>Left untested: Tax ID and EORI left empty; not exercised</t>
        </is>
      </c>
    </row>
    <row r="4">
      <c r="A4" s="5" t="inlineStr">
        <is>
          <t>S003</t>
        </is>
      </c>
      <c r="B4" s="5" t="inlineStr">
        <is>
          <t>Orders</t>
        </is>
      </c>
      <c r="C4" s="5" t="inlineStr">
        <is>
          <t>Label</t>
        </is>
      </c>
      <c r="D4" s="5" t="inlineStr">
        <is>
          <t>Label documents</t>
        </is>
      </c>
      <c r="E4" s="5" t="inlineStr">
        <is>
          <t>/label/{orderNo}</t>
        </is>
      </c>
      <c r="F4" s="18" t="inlineStr">
        <is>
          <t>Partial</t>
        </is>
      </c>
      <c r="G4" s="6">
        <f>COUNTIF(Coverage!$D:$D,$A4)</f>
        <v/>
      </c>
      <c r="H4" s="6">
        <f>COUNTIFS(Coverage!$D:$D,$A4,Coverage!$J:$J,"Pass")</f>
        <v/>
      </c>
      <c r="I4" s="6">
        <f>COUNTIFS(Coverage!$D:$D,$A4,Coverage!$J:$J,"Fail")</f>
        <v/>
      </c>
      <c r="J4" s="6">
        <f>COUNTIFS(Coverage!$D:$D,$A4,Coverage!$J:$J,"Blocked")</f>
        <v/>
      </c>
      <c r="K4" s="6">
        <f>COUNTIFS(Coverage!$D:$D,$A4,Coverage!$J:$J,"N/A")</f>
        <v/>
      </c>
      <c r="L4" s="6">
        <f>COUNTIFS(Coverage!$D:$D,$A4,Coverage!$J:$J,"Not tested")</f>
        <v/>
      </c>
      <c r="M4" s="6">
        <f>COUNTIF(Bugs!$V:$V,$A4)</f>
        <v/>
      </c>
      <c r="N4" s="5" t="inlineStr">
        <is>
          <t>Left untested: Downloads, Copy ZPL, Track, Print and the Commercial Invoice tab not exercised</t>
        </is>
      </c>
    </row>
    <row r="5">
      <c r="A5" s="5" t="inlineStr">
        <is>
          <t>S004</t>
        </is>
      </c>
      <c r="B5" s="5" t="inlineStr">
        <is>
          <t>API</t>
        </is>
      </c>
      <c r="C5" s="5" t="inlineStr">
        <is>
          <t>Orders</t>
        </is>
      </c>
      <c r="D5" s="5" t="inlineStr">
        <is>
          <t>Order detail (GET /api/v1/orders/{id})</t>
        </is>
      </c>
      <c r="E5" s="5" t="inlineStr">
        <is>
          <t>/api/v1/orders/{id}</t>
        </is>
      </c>
      <c r="F5" s="16" t="inlineStr">
        <is>
          <t>Done</t>
        </is>
      </c>
      <c r="G5" s="6">
        <f>COUNTIF(Coverage!$D:$D,$A5)</f>
        <v/>
      </c>
      <c r="H5" s="6">
        <f>COUNTIFS(Coverage!$D:$D,$A5,Coverage!$J:$J,"Pass")</f>
        <v/>
      </c>
      <c r="I5" s="6">
        <f>COUNTIFS(Coverage!$D:$D,$A5,Coverage!$J:$J,"Fail")</f>
        <v/>
      </c>
      <c r="J5" s="6">
        <f>COUNTIFS(Coverage!$D:$D,$A5,Coverage!$J:$J,"Blocked")</f>
        <v/>
      </c>
      <c r="K5" s="6">
        <f>COUNTIFS(Coverage!$D:$D,$A5,Coverage!$J:$J,"N/A")</f>
        <v/>
      </c>
      <c r="L5" s="6">
        <f>COUNTIFS(Coverage!$D:$D,$A5,Coverage!$J:$J,"Not tested")</f>
        <v/>
      </c>
      <c r="M5" s="6">
        <f>COUNTIF(Bugs!$V:$V,$A5)</f>
        <v/>
      </c>
      <c r="N5" s="5" t="inlineStr">
        <is>
          <t>Checked with the browser session for all 128 orders of the run</t>
        </is>
      </c>
    </row>
    <row r="6">
      <c r="A6" s="5" t="inlineStr">
        <is>
          <t>S005</t>
        </is>
      </c>
      <c r="B6" s="5" t="inlineStr">
        <is>
          <t>Settings</t>
        </is>
      </c>
      <c r="C6" s="5" t="inlineStr">
        <is>
          <t>All settings</t>
        </is>
      </c>
      <c r="D6" s="5" t="inlineStr">
        <is>
          <t>All settings overview</t>
        </is>
      </c>
      <c r="E6" s="5" t="inlineStr">
        <is>
          <t>/settings</t>
        </is>
      </c>
      <c r="F6" s="16" t="inlineStr">
        <is>
          <t>Done</t>
        </is>
      </c>
      <c r="G6" s="6">
        <f>COUNTIF(Coverage!$D:$D,$A6)</f>
        <v/>
      </c>
      <c r="H6" s="6">
        <f>COUNTIFS(Coverage!$D:$D,$A6,Coverage!$J:$J,"Pass")</f>
        <v/>
      </c>
      <c r="I6" s="6">
        <f>COUNTIFS(Coverage!$D:$D,$A6,Coverage!$J:$J,"Fail")</f>
        <v/>
      </c>
      <c r="J6" s="6">
        <f>COUNTIFS(Coverage!$D:$D,$A6,Coverage!$J:$J,"Blocked")</f>
        <v/>
      </c>
      <c r="K6" s="6">
        <f>COUNTIFS(Coverage!$D:$D,$A6,Coverage!$J:$J,"N/A")</f>
        <v/>
      </c>
      <c r="L6" s="6">
        <f>COUNTIFS(Coverage!$D:$D,$A6,Coverage!$J:$J,"Not tested")</f>
        <v/>
      </c>
      <c r="M6" s="6">
        <f>COUNTIF(Bugs!$V:$V,$A6)</f>
        <v/>
      </c>
      <c r="N6" s="5" t="n"/>
    </row>
    <row r="7">
      <c r="A7" s="5" t="inlineStr">
        <is>
          <t>S006</t>
        </is>
      </c>
      <c r="B7" s="5" t="inlineStr">
        <is>
          <t>Settings</t>
        </is>
      </c>
      <c r="C7" s="5" t="inlineStr">
        <is>
          <t>Organization &gt; Clients</t>
        </is>
      </c>
      <c r="D7" s="5" t="inlineStr">
        <is>
          <t>Clients list</t>
        </is>
      </c>
      <c r="E7" s="5" t="inlineStr">
        <is>
          <t>/settings/clients</t>
        </is>
      </c>
      <c r="F7" s="16" t="inlineStr">
        <is>
          <t>Done</t>
        </is>
      </c>
      <c r="G7" s="6">
        <f>COUNTIF(Coverage!$D:$D,$A7)</f>
        <v/>
      </c>
      <c r="H7" s="6">
        <f>COUNTIFS(Coverage!$D:$D,$A7,Coverage!$J:$J,"Pass")</f>
        <v/>
      </c>
      <c r="I7" s="6">
        <f>COUNTIFS(Coverage!$D:$D,$A7,Coverage!$J:$J,"Fail")</f>
        <v/>
      </c>
      <c r="J7" s="6">
        <f>COUNTIFS(Coverage!$D:$D,$A7,Coverage!$J:$J,"Blocked")</f>
        <v/>
      </c>
      <c r="K7" s="6">
        <f>COUNTIFS(Coverage!$D:$D,$A7,Coverage!$J:$J,"N/A")</f>
        <v/>
      </c>
      <c r="L7" s="6">
        <f>COUNTIFS(Coverage!$D:$D,$A7,Coverage!$J:$J,"Not tested")</f>
        <v/>
      </c>
      <c r="M7" s="6">
        <f>COUNTIF(Bugs!$V:$V,$A7)</f>
        <v/>
      </c>
      <c r="N7" s="5" t="n"/>
    </row>
    <row r="8">
      <c r="A8" s="5" t="inlineStr">
        <is>
          <t>S007</t>
        </is>
      </c>
      <c r="B8" s="5" t="inlineStr">
        <is>
          <t>Settings</t>
        </is>
      </c>
      <c r="C8" s="5" t="inlineStr">
        <is>
          <t>Organization &gt; Warehouses</t>
        </is>
      </c>
      <c r="D8" s="5" t="inlineStr">
        <is>
          <t>Warehouses list</t>
        </is>
      </c>
      <c r="E8" s="5" t="inlineStr">
        <is>
          <t>/settings/warehouses</t>
        </is>
      </c>
      <c r="F8" s="16" t="inlineStr">
        <is>
          <t>Done</t>
        </is>
      </c>
      <c r="G8" s="6">
        <f>COUNTIF(Coverage!$D:$D,$A8)</f>
        <v/>
      </c>
      <c r="H8" s="6">
        <f>COUNTIFS(Coverage!$D:$D,$A8,Coverage!$J:$J,"Pass")</f>
        <v/>
      </c>
      <c r="I8" s="6">
        <f>COUNTIFS(Coverage!$D:$D,$A8,Coverage!$J:$J,"Fail")</f>
        <v/>
      </c>
      <c r="J8" s="6">
        <f>COUNTIFS(Coverage!$D:$D,$A8,Coverage!$J:$J,"Blocked")</f>
        <v/>
      </c>
      <c r="K8" s="6">
        <f>COUNTIFS(Coverage!$D:$D,$A8,Coverage!$J:$J,"N/A")</f>
        <v/>
      </c>
      <c r="L8" s="6">
        <f>COUNTIFS(Coverage!$D:$D,$A8,Coverage!$J:$J,"Not tested")</f>
        <v/>
      </c>
      <c r="M8" s="6">
        <f>COUNTIF(Bugs!$V:$V,$A8)</f>
        <v/>
      </c>
      <c r="N8" s="5" t="n"/>
    </row>
    <row r="9">
      <c r="A9" s="5" t="inlineStr">
        <is>
          <t>S008</t>
        </is>
      </c>
      <c r="B9" s="5" t="inlineStr">
        <is>
          <t>Settings</t>
        </is>
      </c>
      <c r="C9" s="5" t="inlineStr">
        <is>
          <t>Organization &gt; Address book</t>
        </is>
      </c>
      <c r="D9" s="5" t="inlineStr">
        <is>
          <t>Address book list</t>
        </is>
      </c>
      <c r="E9" s="5" t="inlineStr">
        <is>
          <t>/settings/address-book</t>
        </is>
      </c>
      <c r="F9" s="16" t="inlineStr">
        <is>
          <t>Done</t>
        </is>
      </c>
      <c r="G9" s="6">
        <f>COUNTIF(Coverage!$D:$D,$A9)</f>
        <v/>
      </c>
      <c r="H9" s="6">
        <f>COUNTIFS(Coverage!$D:$D,$A9,Coverage!$J:$J,"Pass")</f>
        <v/>
      </c>
      <c r="I9" s="6">
        <f>COUNTIFS(Coverage!$D:$D,$A9,Coverage!$J:$J,"Fail")</f>
        <v/>
      </c>
      <c r="J9" s="6">
        <f>COUNTIFS(Coverage!$D:$D,$A9,Coverage!$J:$J,"Blocked")</f>
        <v/>
      </c>
      <c r="K9" s="6">
        <f>COUNTIFS(Coverage!$D:$D,$A9,Coverage!$J:$J,"N/A")</f>
        <v/>
      </c>
      <c r="L9" s="6">
        <f>COUNTIFS(Coverage!$D:$D,$A9,Coverage!$J:$J,"Not tested")</f>
        <v/>
      </c>
      <c r="M9" s="6">
        <f>COUNTIF(Bugs!$V:$V,$A9)</f>
        <v/>
      </c>
      <c r="N9" s="5" t="n"/>
    </row>
    <row r="10">
      <c r="A10" s="5" t="inlineStr">
        <is>
          <t>S009</t>
        </is>
      </c>
      <c r="B10" s="5" t="inlineStr">
        <is>
          <t>Settings</t>
        </is>
      </c>
      <c r="C10" s="5" t="inlineStr">
        <is>
          <t>Organization &gt; Users</t>
        </is>
      </c>
      <c r="D10" s="5" t="inlineStr">
        <is>
          <t>Users list</t>
        </is>
      </c>
      <c r="E10" s="5" t="inlineStr">
        <is>
          <t>/settings/users</t>
        </is>
      </c>
      <c r="F10" s="16" t="inlineStr">
        <is>
          <t>Done</t>
        </is>
      </c>
      <c r="G10" s="6">
        <f>COUNTIF(Coverage!$D:$D,$A10)</f>
        <v/>
      </c>
      <c r="H10" s="6">
        <f>COUNTIFS(Coverage!$D:$D,$A10,Coverage!$J:$J,"Pass")</f>
        <v/>
      </c>
      <c r="I10" s="6">
        <f>COUNTIFS(Coverage!$D:$D,$A10,Coverage!$J:$J,"Fail")</f>
        <v/>
      </c>
      <c r="J10" s="6">
        <f>COUNTIFS(Coverage!$D:$D,$A10,Coverage!$J:$J,"Blocked")</f>
        <v/>
      </c>
      <c r="K10" s="6">
        <f>COUNTIFS(Coverage!$D:$D,$A10,Coverage!$J:$J,"N/A")</f>
        <v/>
      </c>
      <c r="L10" s="6">
        <f>COUNTIFS(Coverage!$D:$D,$A10,Coverage!$J:$J,"Not tested")</f>
        <v/>
      </c>
      <c r="M10" s="6">
        <f>COUNTIF(Bugs!$V:$V,$A10)</f>
        <v/>
      </c>
      <c r="N10" s="5" t="n"/>
    </row>
    <row r="11">
      <c r="A11" s="5" t="inlineStr">
        <is>
          <t>S010</t>
        </is>
      </c>
      <c r="B11" s="5" t="inlineStr">
        <is>
          <t>Settings</t>
        </is>
      </c>
      <c r="C11" s="5" t="inlineStr">
        <is>
          <t>Organization &gt; Roles</t>
        </is>
      </c>
      <c r="D11" s="5" t="inlineStr">
        <is>
          <t>Roles list</t>
        </is>
      </c>
      <c r="E11" s="5" t="inlineStr">
        <is>
          <t>/settings/roles</t>
        </is>
      </c>
      <c r="F11" s="16" t="inlineStr">
        <is>
          <t>Done</t>
        </is>
      </c>
      <c r="G11" s="6">
        <f>COUNTIF(Coverage!$D:$D,$A11)</f>
        <v/>
      </c>
      <c r="H11" s="6">
        <f>COUNTIFS(Coverage!$D:$D,$A11,Coverage!$J:$J,"Pass")</f>
        <v/>
      </c>
      <c r="I11" s="6">
        <f>COUNTIFS(Coverage!$D:$D,$A11,Coverage!$J:$J,"Fail")</f>
        <v/>
      </c>
      <c r="J11" s="6">
        <f>COUNTIFS(Coverage!$D:$D,$A11,Coverage!$J:$J,"Blocked")</f>
        <v/>
      </c>
      <c r="K11" s="6">
        <f>COUNTIFS(Coverage!$D:$D,$A11,Coverage!$J:$J,"N/A")</f>
        <v/>
      </c>
      <c r="L11" s="6">
        <f>COUNTIFS(Coverage!$D:$D,$A11,Coverage!$J:$J,"Not tested")</f>
        <v/>
      </c>
      <c r="M11" s="6">
        <f>COUNTIF(Bugs!$V:$V,$A11)</f>
        <v/>
      </c>
      <c r="N11" s="5" t="n"/>
    </row>
    <row r="12">
      <c r="A12" s="5" t="inlineStr">
        <is>
          <t>S011</t>
        </is>
      </c>
      <c r="B12" s="5" t="inlineStr">
        <is>
          <t>Settings</t>
        </is>
      </c>
      <c r="C12" s="5" t="inlineStr">
        <is>
          <t>Carriers &amp; Services &gt; Carrier Accounts</t>
        </is>
      </c>
      <c r="D12" s="5" t="inlineStr">
        <is>
          <t>Carrier Accounts</t>
        </is>
      </c>
      <c r="E12" s="5" t="inlineStr">
        <is>
          <t>/settings/carriers</t>
        </is>
      </c>
      <c r="F12" s="20" t="inlineStr">
        <is>
          <t>Not started</t>
        </is>
      </c>
      <c r="G12" s="6">
        <f>COUNTIF(Coverage!$D:$D,$A12)</f>
        <v/>
      </c>
      <c r="H12" s="6">
        <f>COUNTIFS(Coverage!$D:$D,$A12,Coverage!$J:$J,"Pass")</f>
        <v/>
      </c>
      <c r="I12" s="6">
        <f>COUNTIFS(Coverage!$D:$D,$A12,Coverage!$J:$J,"Fail")</f>
        <v/>
      </c>
      <c r="J12" s="6">
        <f>COUNTIFS(Coverage!$D:$D,$A12,Coverage!$J:$J,"Blocked")</f>
        <v/>
      </c>
      <c r="K12" s="6">
        <f>COUNTIFS(Coverage!$D:$D,$A12,Coverage!$J:$J,"N/A")</f>
        <v/>
      </c>
      <c r="L12" s="6">
        <f>COUNTIFS(Coverage!$D:$D,$A12,Coverage!$J:$J,"Not tested")</f>
        <v/>
      </c>
      <c r="M12" s="6">
        <f>COUNTIF(Bugs!$V:$V,$A12)</f>
        <v/>
      </c>
      <c r="N12" s="5" t="n"/>
    </row>
    <row r="13">
      <c r="A13" s="5" t="inlineStr">
        <is>
          <t>S012</t>
        </is>
      </c>
      <c r="B13" s="5" t="inlineStr">
        <is>
          <t>Settings</t>
        </is>
      </c>
      <c r="C13" s="5" t="inlineStr">
        <is>
          <t>Carriers &amp; Services &gt; Carriers (platform)</t>
        </is>
      </c>
      <c r="D13" s="5" t="inlineStr">
        <is>
          <t>Carriers (platform)</t>
        </is>
      </c>
      <c r="E13" s="5" t="inlineStr">
        <is>
          <t>/settings/carriers-platform</t>
        </is>
      </c>
      <c r="F13" s="20" t="inlineStr">
        <is>
          <t>Not started</t>
        </is>
      </c>
      <c r="G13" s="6">
        <f>COUNTIF(Coverage!$D:$D,$A13)</f>
        <v/>
      </c>
      <c r="H13" s="6">
        <f>COUNTIFS(Coverage!$D:$D,$A13,Coverage!$J:$J,"Pass")</f>
        <v/>
      </c>
      <c r="I13" s="6">
        <f>COUNTIFS(Coverage!$D:$D,$A13,Coverage!$J:$J,"Fail")</f>
        <v/>
      </c>
      <c r="J13" s="6">
        <f>COUNTIFS(Coverage!$D:$D,$A13,Coverage!$J:$J,"Blocked")</f>
        <v/>
      </c>
      <c r="K13" s="6">
        <f>COUNTIFS(Coverage!$D:$D,$A13,Coverage!$J:$J,"N/A")</f>
        <v/>
      </c>
      <c r="L13" s="6">
        <f>COUNTIFS(Coverage!$D:$D,$A13,Coverage!$J:$J,"Not tested")</f>
        <v/>
      </c>
      <c r="M13" s="6">
        <f>COUNTIF(Bugs!$V:$V,$A13)</f>
        <v/>
      </c>
      <c r="N13" s="5" t="n"/>
    </row>
    <row r="14">
      <c r="A14" s="5" t="inlineStr">
        <is>
          <t>S013</t>
        </is>
      </c>
      <c r="B14" s="5" t="inlineStr">
        <is>
          <t>Settings</t>
        </is>
      </c>
      <c r="C14" s="5" t="inlineStr">
        <is>
          <t>Carriers &amp; Services &gt; Shipping Catalog</t>
        </is>
      </c>
      <c r="D14" s="5" t="inlineStr">
        <is>
          <t>Shipping Catalog</t>
        </is>
      </c>
      <c r="E14" s="5" t="inlineStr">
        <is>
          <t>/settings/shipping-catalog</t>
        </is>
      </c>
      <c r="F14" s="20" t="inlineStr">
        <is>
          <t>Not started</t>
        </is>
      </c>
      <c r="G14" s="6">
        <f>COUNTIF(Coverage!$D:$D,$A14)</f>
        <v/>
      </c>
      <c r="H14" s="6">
        <f>COUNTIFS(Coverage!$D:$D,$A14,Coverage!$J:$J,"Pass")</f>
        <v/>
      </c>
      <c r="I14" s="6">
        <f>COUNTIFS(Coverage!$D:$D,$A14,Coverage!$J:$J,"Fail")</f>
        <v/>
      </c>
      <c r="J14" s="6">
        <f>COUNTIFS(Coverage!$D:$D,$A14,Coverage!$J:$J,"Blocked")</f>
        <v/>
      </c>
      <c r="K14" s="6">
        <f>COUNTIFS(Coverage!$D:$D,$A14,Coverage!$J:$J,"N/A")</f>
        <v/>
      </c>
      <c r="L14" s="6">
        <f>COUNTIFS(Coverage!$D:$D,$A14,Coverage!$J:$J,"Not tested")</f>
        <v/>
      </c>
      <c r="M14" s="6">
        <f>COUNTIF(Bugs!$V:$V,$A14)</f>
        <v/>
      </c>
      <c r="N14" s="5" t="n"/>
    </row>
    <row r="15">
      <c r="A15" s="5" t="inlineStr">
        <is>
          <t>S014</t>
        </is>
      </c>
      <c r="B15" s="5" t="inlineStr">
        <is>
          <t>Settings</t>
        </is>
      </c>
      <c r="C15" s="5" t="inlineStr">
        <is>
          <t>Carriers &amp; Services &gt; Code Maps</t>
        </is>
      </c>
      <c r="D15" s="5" t="inlineStr">
        <is>
          <t>Code Maps</t>
        </is>
      </c>
      <c r="E15" s="5" t="inlineStr">
        <is>
          <t>/settings/code-maps</t>
        </is>
      </c>
      <c r="F15" s="20" t="inlineStr">
        <is>
          <t>Not started</t>
        </is>
      </c>
      <c r="G15" s="6">
        <f>COUNTIF(Coverage!$D:$D,$A15)</f>
        <v/>
      </c>
      <c r="H15" s="6">
        <f>COUNTIFS(Coverage!$D:$D,$A15,Coverage!$J:$J,"Pass")</f>
        <v/>
      </c>
      <c r="I15" s="6">
        <f>COUNTIFS(Coverage!$D:$D,$A15,Coverage!$J:$J,"Fail")</f>
        <v/>
      </c>
      <c r="J15" s="6">
        <f>COUNTIFS(Coverage!$D:$D,$A15,Coverage!$J:$J,"Blocked")</f>
        <v/>
      </c>
      <c r="K15" s="6">
        <f>COUNTIFS(Coverage!$D:$D,$A15,Coverage!$J:$J,"N/A")</f>
        <v/>
      </c>
      <c r="L15" s="6">
        <f>COUNTIFS(Coverage!$D:$D,$A15,Coverage!$J:$J,"Not tested")</f>
        <v/>
      </c>
      <c r="M15" s="6">
        <f>COUNTIF(Bugs!$V:$V,$A15)</f>
        <v/>
      </c>
      <c r="N15" s="5" t="n"/>
    </row>
    <row r="16">
      <c r="A16" s="5" t="inlineStr">
        <is>
          <t>S015</t>
        </is>
      </c>
      <c r="B16" s="5" t="inlineStr">
        <is>
          <t>Settings</t>
        </is>
      </c>
      <c r="C16" s="5" t="inlineStr">
        <is>
          <t>Carriers &amp; Services &gt; Carrier Limits</t>
        </is>
      </c>
      <c r="D16" s="5" t="inlineStr">
        <is>
          <t>Carrier Limits</t>
        </is>
      </c>
      <c r="E16" s="5" t="inlineStr">
        <is>
          <t>/settings/carrier-limits</t>
        </is>
      </c>
      <c r="F16" s="20" t="inlineStr">
        <is>
          <t>Not started</t>
        </is>
      </c>
      <c r="G16" s="6">
        <f>COUNTIF(Coverage!$D:$D,$A16)</f>
        <v/>
      </c>
      <c r="H16" s="6">
        <f>COUNTIFS(Coverage!$D:$D,$A16,Coverage!$J:$J,"Pass")</f>
        <v/>
      </c>
      <c r="I16" s="6">
        <f>COUNTIFS(Coverage!$D:$D,$A16,Coverage!$J:$J,"Fail")</f>
        <v/>
      </c>
      <c r="J16" s="6">
        <f>COUNTIFS(Coverage!$D:$D,$A16,Coverage!$J:$J,"Blocked")</f>
        <v/>
      </c>
      <c r="K16" s="6">
        <f>COUNTIFS(Coverage!$D:$D,$A16,Coverage!$J:$J,"N/A")</f>
        <v/>
      </c>
      <c r="L16" s="6">
        <f>COUNTIFS(Coverage!$D:$D,$A16,Coverage!$J:$J,"Not tested")</f>
        <v/>
      </c>
      <c r="M16" s="6">
        <f>COUNTIF(Bugs!$V:$V,$A16)</f>
        <v/>
      </c>
      <c r="N16" s="5" t="n"/>
    </row>
    <row r="17">
      <c r="A17" s="5" t="inlineStr">
        <is>
          <t>S016</t>
        </is>
      </c>
      <c r="B17" s="5" t="inlineStr">
        <is>
          <t>Settings</t>
        </is>
      </c>
      <c r="C17" s="5" t="inlineStr">
        <is>
          <t>Carriers &amp; Services &gt; Carrier Dropdowns</t>
        </is>
      </c>
      <c r="D17" s="5" t="inlineStr">
        <is>
          <t>Carrier Dropdowns</t>
        </is>
      </c>
      <c r="E17" s="5" t="inlineStr">
        <is>
          <t>/settings/carrier-dropdowns</t>
        </is>
      </c>
      <c r="F17" s="20" t="inlineStr">
        <is>
          <t>Not started</t>
        </is>
      </c>
      <c r="G17" s="6">
        <f>COUNTIF(Coverage!$D:$D,$A17)</f>
        <v/>
      </c>
      <c r="H17" s="6">
        <f>COUNTIFS(Coverage!$D:$D,$A17,Coverage!$J:$J,"Pass")</f>
        <v/>
      </c>
      <c r="I17" s="6">
        <f>COUNTIFS(Coverage!$D:$D,$A17,Coverage!$J:$J,"Fail")</f>
        <v/>
      </c>
      <c r="J17" s="6">
        <f>COUNTIFS(Coverage!$D:$D,$A17,Coverage!$J:$J,"Blocked")</f>
        <v/>
      </c>
      <c r="K17" s="6">
        <f>COUNTIFS(Coverage!$D:$D,$A17,Coverage!$J:$J,"N/A")</f>
        <v/>
      </c>
      <c r="L17" s="6">
        <f>COUNTIFS(Coverage!$D:$D,$A17,Coverage!$J:$J,"Not tested")</f>
        <v/>
      </c>
      <c r="M17" s="6">
        <f>COUNTIF(Bugs!$V:$V,$A17)</f>
        <v/>
      </c>
      <c r="N17" s="5" t="n"/>
    </row>
    <row r="18">
      <c r="A18" s="5" t="inlineStr">
        <is>
          <t>S017</t>
        </is>
      </c>
      <c r="B18" s="5" t="inlineStr">
        <is>
          <t>Settings</t>
        </is>
      </c>
      <c r="C18" s="5" t="inlineStr">
        <is>
          <t>Carriers &amp; Services &gt; Cutoffs &amp; Holidays</t>
        </is>
      </c>
      <c r="D18" s="5" t="inlineStr">
        <is>
          <t>Cutoffs &amp; Holidays</t>
        </is>
      </c>
      <c r="E18" s="5" t="inlineStr">
        <is>
          <t>/settings/cutoffs</t>
        </is>
      </c>
      <c r="F18" s="20" t="inlineStr">
        <is>
          <t>Not started</t>
        </is>
      </c>
      <c r="G18" s="6">
        <f>COUNTIF(Coverage!$D:$D,$A18)</f>
        <v/>
      </c>
      <c r="H18" s="6">
        <f>COUNTIFS(Coverage!$D:$D,$A18,Coverage!$J:$J,"Pass")</f>
        <v/>
      </c>
      <c r="I18" s="6">
        <f>COUNTIFS(Coverage!$D:$D,$A18,Coverage!$J:$J,"Fail")</f>
        <v/>
      </c>
      <c r="J18" s="6">
        <f>COUNTIFS(Coverage!$D:$D,$A18,Coverage!$J:$J,"Blocked")</f>
        <v/>
      </c>
      <c r="K18" s="6">
        <f>COUNTIFS(Coverage!$D:$D,$A18,Coverage!$J:$J,"N/A")</f>
        <v/>
      </c>
      <c r="L18" s="6">
        <f>COUNTIFS(Coverage!$D:$D,$A18,Coverage!$J:$J,"Not tested")</f>
        <v/>
      </c>
      <c r="M18" s="6">
        <f>COUNTIF(Bugs!$V:$V,$A18)</f>
        <v/>
      </c>
      <c r="N18" s="5" t="n"/>
    </row>
    <row r="19">
      <c r="A19" s="5" t="inlineStr">
        <is>
          <t>S018</t>
        </is>
      </c>
      <c r="B19" s="5" t="inlineStr">
        <is>
          <t>Settings</t>
        </is>
      </c>
      <c r="C19" s="5" t="inlineStr">
        <is>
          <t>Carriers &amp; Services &gt; Pickups &amp; End-of-Day</t>
        </is>
      </c>
      <c r="D19" s="5" t="inlineStr">
        <is>
          <t>Pickups &amp; End-of-Day</t>
        </is>
      </c>
      <c r="E19" s="5" t="inlineStr">
        <is>
          <t>/settings/pickups</t>
        </is>
      </c>
      <c r="F19" s="20" t="inlineStr">
        <is>
          <t>Not started</t>
        </is>
      </c>
      <c r="G19" s="6">
        <f>COUNTIF(Coverage!$D:$D,$A19)</f>
        <v/>
      </c>
      <c r="H19" s="6">
        <f>COUNTIFS(Coverage!$D:$D,$A19,Coverage!$J:$J,"Pass")</f>
        <v/>
      </c>
      <c r="I19" s="6">
        <f>COUNTIFS(Coverage!$D:$D,$A19,Coverage!$J:$J,"Fail")</f>
        <v/>
      </c>
      <c r="J19" s="6">
        <f>COUNTIFS(Coverage!$D:$D,$A19,Coverage!$J:$J,"Blocked")</f>
        <v/>
      </c>
      <c r="K19" s="6">
        <f>COUNTIFS(Coverage!$D:$D,$A19,Coverage!$J:$J,"N/A")</f>
        <v/>
      </c>
      <c r="L19" s="6">
        <f>COUNTIFS(Coverage!$D:$D,$A19,Coverage!$J:$J,"Not tested")</f>
        <v/>
      </c>
      <c r="M19" s="6">
        <f>COUNTIF(Bugs!$V:$V,$A19)</f>
        <v/>
      </c>
      <c r="N19" s="5" t="n"/>
    </row>
    <row r="20">
      <c r="A20" s="5" t="inlineStr">
        <is>
          <t>S019</t>
        </is>
      </c>
      <c r="B20" s="5" t="inlineStr">
        <is>
          <t>Settings</t>
        </is>
      </c>
      <c r="C20" s="5" t="inlineStr">
        <is>
          <t>International &gt; Importer / Broker</t>
        </is>
      </c>
      <c r="D20" s="5" t="inlineStr">
        <is>
          <t>Importer / Broker</t>
        </is>
      </c>
      <c r="E20" s="5" t="inlineStr">
        <is>
          <t>/settings/importer-broker</t>
        </is>
      </c>
      <c r="F20" s="20" t="inlineStr">
        <is>
          <t>Not started</t>
        </is>
      </c>
      <c r="G20" s="6">
        <f>COUNTIF(Coverage!$D:$D,$A20)</f>
        <v/>
      </c>
      <c r="H20" s="6">
        <f>COUNTIFS(Coverage!$D:$D,$A20,Coverage!$J:$J,"Pass")</f>
        <v/>
      </c>
      <c r="I20" s="6">
        <f>COUNTIFS(Coverage!$D:$D,$A20,Coverage!$J:$J,"Fail")</f>
        <v/>
      </c>
      <c r="J20" s="6">
        <f>COUNTIFS(Coverage!$D:$D,$A20,Coverage!$J:$J,"Blocked")</f>
        <v/>
      </c>
      <c r="K20" s="6">
        <f>COUNTIFS(Coverage!$D:$D,$A20,Coverage!$J:$J,"N/A")</f>
        <v/>
      </c>
      <c r="L20" s="6">
        <f>COUNTIFS(Coverage!$D:$D,$A20,Coverage!$J:$J,"Not tested")</f>
        <v/>
      </c>
      <c r="M20" s="6">
        <f>COUNTIF(Bugs!$V:$V,$A20)</f>
        <v/>
      </c>
      <c r="N20" s="5" t="n"/>
    </row>
    <row r="21">
      <c r="A21" s="5" t="inlineStr">
        <is>
          <t>S020</t>
        </is>
      </c>
      <c r="B21" s="5" t="inlineStr">
        <is>
          <t>Settings</t>
        </is>
      </c>
      <c r="C21" s="5" t="inlineStr">
        <is>
          <t>International &gt; Countries</t>
        </is>
      </c>
      <c r="D21" s="5" t="inlineStr">
        <is>
          <t>Countries</t>
        </is>
      </c>
      <c r="E21" s="5" t="inlineStr">
        <is>
          <t>/settings/countries</t>
        </is>
      </c>
      <c r="F21" s="20" t="inlineStr">
        <is>
          <t>Not started</t>
        </is>
      </c>
      <c r="G21" s="6">
        <f>COUNTIF(Coverage!$D:$D,$A21)</f>
        <v/>
      </c>
      <c r="H21" s="6">
        <f>COUNTIFS(Coverage!$D:$D,$A21,Coverage!$J:$J,"Pass")</f>
        <v/>
      </c>
      <c r="I21" s="6">
        <f>COUNTIFS(Coverage!$D:$D,$A21,Coverage!$J:$J,"Fail")</f>
        <v/>
      </c>
      <c r="J21" s="6">
        <f>COUNTIFS(Coverage!$D:$D,$A21,Coverage!$J:$J,"Blocked")</f>
        <v/>
      </c>
      <c r="K21" s="6">
        <f>COUNTIFS(Coverage!$D:$D,$A21,Coverage!$J:$J,"N/A")</f>
        <v/>
      </c>
      <c r="L21" s="6">
        <f>COUNTIFS(Coverage!$D:$D,$A21,Coverage!$J:$J,"Not tested")</f>
        <v/>
      </c>
      <c r="M21" s="6">
        <f>COUNTIF(Bugs!$V:$V,$A21)</f>
        <v/>
      </c>
      <c r="N21" s="5" t="n"/>
    </row>
    <row r="22">
      <c r="A22" s="5" t="inlineStr">
        <is>
          <t>S021</t>
        </is>
      </c>
      <c r="B22" s="5" t="inlineStr">
        <is>
          <t>Settings</t>
        </is>
      </c>
      <c r="C22" s="5" t="inlineStr">
        <is>
          <t>International &gt; Reasons for Export</t>
        </is>
      </c>
      <c r="D22" s="5" t="inlineStr">
        <is>
          <t>Reasons for Export</t>
        </is>
      </c>
      <c r="E22" s="5" t="inlineStr">
        <is>
          <t>/settings/reasons-for-export</t>
        </is>
      </c>
      <c r="F22" s="20" t="inlineStr">
        <is>
          <t>Not started</t>
        </is>
      </c>
      <c r="G22" s="6">
        <f>COUNTIF(Coverage!$D:$D,$A22)</f>
        <v/>
      </c>
      <c r="H22" s="6">
        <f>COUNTIFS(Coverage!$D:$D,$A22,Coverage!$J:$J,"Pass")</f>
        <v/>
      </c>
      <c r="I22" s="6">
        <f>COUNTIFS(Coverage!$D:$D,$A22,Coverage!$J:$J,"Fail")</f>
        <v/>
      </c>
      <c r="J22" s="6">
        <f>COUNTIFS(Coverage!$D:$D,$A22,Coverage!$J:$J,"Blocked")</f>
        <v/>
      </c>
      <c r="K22" s="6">
        <f>COUNTIFS(Coverage!$D:$D,$A22,Coverage!$J:$J,"N/A")</f>
        <v/>
      </c>
      <c r="L22" s="6">
        <f>COUNTIFS(Coverage!$D:$D,$A22,Coverage!$J:$J,"Not tested")</f>
        <v/>
      </c>
      <c r="M22" s="6">
        <f>COUNTIF(Bugs!$V:$V,$A22)</f>
        <v/>
      </c>
      <c r="N22" s="5" t="n"/>
    </row>
    <row r="23">
      <c r="A23" s="5" t="inlineStr">
        <is>
          <t>S022</t>
        </is>
      </c>
      <c r="B23" s="5" t="inlineStr">
        <is>
          <t>Settings</t>
        </is>
      </c>
      <c r="C23" s="5" t="inlineStr">
        <is>
          <t>International &gt; Currencies</t>
        </is>
      </c>
      <c r="D23" s="5" t="inlineStr">
        <is>
          <t>Currencies</t>
        </is>
      </c>
      <c r="E23" s="5" t="inlineStr">
        <is>
          <t>/settings/currencies</t>
        </is>
      </c>
      <c r="F23" s="20" t="inlineStr">
        <is>
          <t>Not started</t>
        </is>
      </c>
      <c r="G23" s="6">
        <f>COUNTIF(Coverage!$D:$D,$A23)</f>
        <v/>
      </c>
      <c r="H23" s="6">
        <f>COUNTIFS(Coverage!$D:$D,$A23,Coverage!$J:$J,"Pass")</f>
        <v/>
      </c>
      <c r="I23" s="6">
        <f>COUNTIFS(Coverage!$D:$D,$A23,Coverage!$J:$J,"Fail")</f>
        <v/>
      </c>
      <c r="J23" s="6">
        <f>COUNTIFS(Coverage!$D:$D,$A23,Coverage!$J:$J,"Blocked")</f>
        <v/>
      </c>
      <c r="K23" s="6">
        <f>COUNTIFS(Coverage!$D:$D,$A23,Coverage!$J:$J,"N/A")</f>
        <v/>
      </c>
      <c r="L23" s="6">
        <f>COUNTIFS(Coverage!$D:$D,$A23,Coverage!$J:$J,"Not tested")</f>
        <v/>
      </c>
      <c r="M23" s="6">
        <f>COUNTIF(Bugs!$V:$V,$A23)</f>
        <v/>
      </c>
      <c r="N23" s="5" t="n"/>
    </row>
    <row r="24">
      <c r="A24" s="5" t="inlineStr">
        <is>
          <t>S023</t>
        </is>
      </c>
      <c r="B24" s="5" t="inlineStr">
        <is>
          <t>Settings</t>
        </is>
      </c>
      <c r="C24" s="5" t="inlineStr">
        <is>
          <t>Labels &amp; Documents &gt; Templates</t>
        </is>
      </c>
      <c r="D24" s="5" t="inlineStr">
        <is>
          <t>Templates</t>
        </is>
      </c>
      <c r="E24" s="5" t="inlineStr">
        <is>
          <t>/settings/templates</t>
        </is>
      </c>
      <c r="F24" s="20" t="inlineStr">
        <is>
          <t>Not started</t>
        </is>
      </c>
      <c r="G24" s="6">
        <f>COUNTIF(Coverage!$D:$D,$A24)</f>
        <v/>
      </c>
      <c r="H24" s="6">
        <f>COUNTIFS(Coverage!$D:$D,$A24,Coverage!$J:$J,"Pass")</f>
        <v/>
      </c>
      <c r="I24" s="6">
        <f>COUNTIFS(Coverage!$D:$D,$A24,Coverage!$J:$J,"Fail")</f>
        <v/>
      </c>
      <c r="J24" s="6">
        <f>COUNTIFS(Coverage!$D:$D,$A24,Coverage!$J:$J,"Blocked")</f>
        <v/>
      </c>
      <c r="K24" s="6">
        <f>COUNTIFS(Coverage!$D:$D,$A24,Coverage!$J:$J,"N/A")</f>
        <v/>
      </c>
      <c r="L24" s="6">
        <f>COUNTIFS(Coverage!$D:$D,$A24,Coverage!$J:$J,"Not tested")</f>
        <v/>
      </c>
      <c r="M24" s="6">
        <f>COUNTIF(Bugs!$V:$V,$A24)</f>
        <v/>
      </c>
      <c r="N24" s="5" t="n"/>
    </row>
    <row r="25">
      <c r="A25" s="5" t="inlineStr">
        <is>
          <t>S024</t>
        </is>
      </c>
      <c r="B25" s="5" t="inlineStr">
        <is>
          <t>Settings</t>
        </is>
      </c>
      <c r="C25" s="5" t="inlineStr">
        <is>
          <t>Labels &amp; Documents &gt; Custom Fields</t>
        </is>
      </c>
      <c r="D25" s="5" t="inlineStr">
        <is>
          <t>Custom Fields</t>
        </is>
      </c>
      <c r="E25" s="5" t="inlineStr">
        <is>
          <t>/settings/custom-fields</t>
        </is>
      </c>
      <c r="F25" s="20" t="inlineStr">
        <is>
          <t>Not started</t>
        </is>
      </c>
      <c r="G25" s="6">
        <f>COUNTIF(Coverage!$D:$D,$A25)</f>
        <v/>
      </c>
      <c r="H25" s="6">
        <f>COUNTIFS(Coverage!$D:$D,$A25,Coverage!$J:$J,"Pass")</f>
        <v/>
      </c>
      <c r="I25" s="6">
        <f>COUNTIFS(Coverage!$D:$D,$A25,Coverage!$J:$J,"Fail")</f>
        <v/>
      </c>
      <c r="J25" s="6">
        <f>COUNTIFS(Coverage!$D:$D,$A25,Coverage!$J:$J,"Blocked")</f>
        <v/>
      </c>
      <c r="K25" s="6">
        <f>COUNTIFS(Coverage!$D:$D,$A25,Coverage!$J:$J,"N/A")</f>
        <v/>
      </c>
      <c r="L25" s="6">
        <f>COUNTIFS(Coverage!$D:$D,$A25,Coverage!$J:$J,"Not tested")</f>
        <v/>
      </c>
      <c r="M25" s="6">
        <f>COUNTIF(Bugs!$V:$V,$A25)</f>
        <v/>
      </c>
      <c r="N25" s="5" t="n"/>
    </row>
    <row r="26">
      <c r="A26" s="5" t="inlineStr">
        <is>
          <t>S025</t>
        </is>
      </c>
      <c r="B26" s="5" t="inlineStr">
        <is>
          <t>Settings</t>
        </is>
      </c>
      <c r="C26" s="5" t="inlineStr">
        <is>
          <t>Labels &amp; Documents &gt; Printers</t>
        </is>
      </c>
      <c r="D26" s="5" t="inlineStr">
        <is>
          <t>Printers</t>
        </is>
      </c>
      <c r="E26" s="5" t="inlineStr">
        <is>
          <t>/settings/printers</t>
        </is>
      </c>
      <c r="F26" s="20" t="inlineStr">
        <is>
          <t>Not started</t>
        </is>
      </c>
      <c r="G26" s="6">
        <f>COUNTIF(Coverage!$D:$D,$A26)</f>
        <v/>
      </c>
      <c r="H26" s="6">
        <f>COUNTIFS(Coverage!$D:$D,$A26,Coverage!$J:$J,"Pass")</f>
        <v/>
      </c>
      <c r="I26" s="6">
        <f>COUNTIFS(Coverage!$D:$D,$A26,Coverage!$J:$J,"Fail")</f>
        <v/>
      </c>
      <c r="J26" s="6">
        <f>COUNTIFS(Coverage!$D:$D,$A26,Coverage!$J:$J,"Blocked")</f>
        <v/>
      </c>
      <c r="K26" s="6">
        <f>COUNTIFS(Coverage!$D:$D,$A26,Coverage!$J:$J,"N/A")</f>
        <v/>
      </c>
      <c r="L26" s="6">
        <f>COUNTIFS(Coverage!$D:$D,$A26,Coverage!$J:$J,"Not tested")</f>
        <v/>
      </c>
      <c r="M26" s="6">
        <f>COUNTIF(Bugs!$V:$V,$A26)</f>
        <v/>
      </c>
      <c r="N26" s="5" t="n"/>
    </row>
    <row r="27">
      <c r="A27" s="5" t="inlineStr">
        <is>
          <t>S026</t>
        </is>
      </c>
      <c r="B27" s="5" t="inlineStr">
        <is>
          <t>Settings</t>
        </is>
      </c>
      <c r="C27" s="5" t="inlineStr">
        <is>
          <t>Labels &amp; Documents &gt; Output Destinations</t>
        </is>
      </c>
      <c r="D27" s="5" t="inlineStr">
        <is>
          <t>Output Destinations</t>
        </is>
      </c>
      <c r="E27" s="5" t="inlineStr">
        <is>
          <t>/settings/output-destinations</t>
        </is>
      </c>
      <c r="F27" s="20" t="inlineStr">
        <is>
          <t>Not started</t>
        </is>
      </c>
      <c r="G27" s="6">
        <f>COUNTIF(Coverage!$D:$D,$A27)</f>
        <v/>
      </c>
      <c r="H27" s="6">
        <f>COUNTIFS(Coverage!$D:$D,$A27,Coverage!$J:$J,"Pass")</f>
        <v/>
      </c>
      <c r="I27" s="6">
        <f>COUNTIFS(Coverage!$D:$D,$A27,Coverage!$J:$J,"Fail")</f>
        <v/>
      </c>
      <c r="J27" s="6">
        <f>COUNTIFS(Coverage!$D:$D,$A27,Coverage!$J:$J,"Blocked")</f>
        <v/>
      </c>
      <c r="K27" s="6">
        <f>COUNTIFS(Coverage!$D:$D,$A27,Coverage!$J:$J,"N/A")</f>
        <v/>
      </c>
      <c r="L27" s="6">
        <f>COUNTIFS(Coverage!$D:$D,$A27,Coverage!$J:$J,"Not tested")</f>
        <v/>
      </c>
      <c r="M27" s="6">
        <f>COUNTIF(Bugs!$V:$V,$A27)</f>
        <v/>
      </c>
      <c r="N27" s="5" t="n"/>
    </row>
    <row r="28">
      <c r="A28" s="5" t="inlineStr">
        <is>
          <t>S027</t>
        </is>
      </c>
      <c r="B28" s="5" t="inlineStr">
        <is>
          <t>Settings</t>
        </is>
      </c>
      <c r="C28" s="5" t="inlineStr">
        <is>
          <t>Email &amp; Alerts &gt; Mail</t>
        </is>
      </c>
      <c r="D28" s="5" t="inlineStr">
        <is>
          <t>Mail</t>
        </is>
      </c>
      <c r="E28" s="5" t="inlineStr">
        <is>
          <t>/settings/mail</t>
        </is>
      </c>
      <c r="F28" s="20" t="inlineStr">
        <is>
          <t>Not started</t>
        </is>
      </c>
      <c r="G28" s="6">
        <f>COUNTIF(Coverage!$D:$D,$A28)</f>
        <v/>
      </c>
      <c r="H28" s="6">
        <f>COUNTIFS(Coverage!$D:$D,$A28,Coverage!$J:$J,"Pass")</f>
        <v/>
      </c>
      <c r="I28" s="6">
        <f>COUNTIFS(Coverage!$D:$D,$A28,Coverage!$J:$J,"Fail")</f>
        <v/>
      </c>
      <c r="J28" s="6">
        <f>COUNTIFS(Coverage!$D:$D,$A28,Coverage!$J:$J,"Blocked")</f>
        <v/>
      </c>
      <c r="K28" s="6">
        <f>COUNTIFS(Coverage!$D:$D,$A28,Coverage!$J:$J,"N/A")</f>
        <v/>
      </c>
      <c r="L28" s="6">
        <f>COUNTIFS(Coverage!$D:$D,$A28,Coverage!$J:$J,"Not tested")</f>
        <v/>
      </c>
      <c r="M28" s="6">
        <f>COUNTIF(Bugs!$V:$V,$A28)</f>
        <v/>
      </c>
      <c r="N28" s="5" t="n"/>
    </row>
    <row r="29">
      <c r="A29" s="5" t="inlineStr">
        <is>
          <t>S028</t>
        </is>
      </c>
      <c r="B29" s="5" t="inlineStr">
        <is>
          <t>Settings</t>
        </is>
      </c>
      <c r="C29" s="5" t="inlineStr">
        <is>
          <t>Email &amp; Alerts &gt; Email Templates</t>
        </is>
      </c>
      <c r="D29" s="5" t="inlineStr">
        <is>
          <t>Email Templates</t>
        </is>
      </c>
      <c r="E29" s="5" t="inlineStr">
        <is>
          <t>/settings/notification-templates</t>
        </is>
      </c>
      <c r="F29" s="20" t="inlineStr">
        <is>
          <t>Not started</t>
        </is>
      </c>
      <c r="G29" s="6">
        <f>COUNTIF(Coverage!$D:$D,$A29)</f>
        <v/>
      </c>
      <c r="H29" s="6">
        <f>COUNTIFS(Coverage!$D:$D,$A29,Coverage!$J:$J,"Pass")</f>
        <v/>
      </c>
      <c r="I29" s="6">
        <f>COUNTIFS(Coverage!$D:$D,$A29,Coverage!$J:$J,"Fail")</f>
        <v/>
      </c>
      <c r="J29" s="6">
        <f>COUNTIFS(Coverage!$D:$D,$A29,Coverage!$J:$J,"Blocked")</f>
        <v/>
      </c>
      <c r="K29" s="6">
        <f>COUNTIFS(Coverage!$D:$D,$A29,Coverage!$J:$J,"N/A")</f>
        <v/>
      </c>
      <c r="L29" s="6">
        <f>COUNTIFS(Coverage!$D:$D,$A29,Coverage!$J:$J,"Not tested")</f>
        <v/>
      </c>
      <c r="M29" s="6">
        <f>COUNTIF(Bugs!$V:$V,$A29)</f>
        <v/>
      </c>
      <c r="N29" s="5" t="n"/>
    </row>
    <row r="30">
      <c r="A30" s="5" t="inlineStr">
        <is>
          <t>S029</t>
        </is>
      </c>
      <c r="B30" s="5" t="inlineStr">
        <is>
          <t>Settings</t>
        </is>
      </c>
      <c r="C30" s="5" t="inlineStr">
        <is>
          <t>Email &amp; Alerts &gt; Notifications</t>
        </is>
      </c>
      <c r="D30" s="5" t="inlineStr">
        <is>
          <t>Notifications</t>
        </is>
      </c>
      <c r="E30" s="5" t="inlineStr">
        <is>
          <t>/settings/notifications</t>
        </is>
      </c>
      <c r="F30" s="20" t="inlineStr">
        <is>
          <t>Not started</t>
        </is>
      </c>
      <c r="G30" s="6">
        <f>COUNTIF(Coverage!$D:$D,$A30)</f>
        <v/>
      </c>
      <c r="H30" s="6">
        <f>COUNTIFS(Coverage!$D:$D,$A30,Coverage!$J:$J,"Pass")</f>
        <v/>
      </c>
      <c r="I30" s="6">
        <f>COUNTIFS(Coverage!$D:$D,$A30,Coverage!$J:$J,"Fail")</f>
        <v/>
      </c>
      <c r="J30" s="6">
        <f>COUNTIFS(Coverage!$D:$D,$A30,Coverage!$J:$J,"Blocked")</f>
        <v/>
      </c>
      <c r="K30" s="6">
        <f>COUNTIFS(Coverage!$D:$D,$A30,Coverage!$J:$J,"N/A")</f>
        <v/>
      </c>
      <c r="L30" s="6">
        <f>COUNTIFS(Coverage!$D:$D,$A30,Coverage!$J:$J,"Not tested")</f>
        <v/>
      </c>
      <c r="M30" s="6">
        <f>COUNTIF(Bugs!$V:$V,$A30)</f>
        <v/>
      </c>
      <c r="N30" s="5" t="n"/>
    </row>
    <row r="31">
      <c r="A31" s="5" t="inlineStr">
        <is>
          <t>S030</t>
        </is>
      </c>
      <c r="B31" s="5" t="inlineStr">
        <is>
          <t>Settings</t>
        </is>
      </c>
      <c r="C31" s="5" t="inlineStr">
        <is>
          <t>Integrations &gt; External Systems</t>
        </is>
      </c>
      <c r="D31" s="5" t="inlineStr">
        <is>
          <t>External Systems</t>
        </is>
      </c>
      <c r="E31" s="5" t="inlineStr">
        <is>
          <t>/settings/external-systems</t>
        </is>
      </c>
      <c r="F31" s="20" t="inlineStr">
        <is>
          <t>Not started</t>
        </is>
      </c>
      <c r="G31" s="6">
        <f>COUNTIF(Coverage!$D:$D,$A31)</f>
        <v/>
      </c>
      <c r="H31" s="6">
        <f>COUNTIFS(Coverage!$D:$D,$A31,Coverage!$J:$J,"Pass")</f>
        <v/>
      </c>
      <c r="I31" s="6">
        <f>COUNTIFS(Coverage!$D:$D,$A31,Coverage!$J:$J,"Fail")</f>
        <v/>
      </c>
      <c r="J31" s="6">
        <f>COUNTIFS(Coverage!$D:$D,$A31,Coverage!$J:$J,"Blocked")</f>
        <v/>
      </c>
      <c r="K31" s="6">
        <f>COUNTIFS(Coverage!$D:$D,$A31,Coverage!$J:$J,"N/A")</f>
        <v/>
      </c>
      <c r="L31" s="6">
        <f>COUNTIFS(Coverage!$D:$D,$A31,Coverage!$J:$J,"Not tested")</f>
        <v/>
      </c>
      <c r="M31" s="6">
        <f>COUNTIF(Bugs!$V:$V,$A31)</f>
        <v/>
      </c>
      <c r="N31" s="5" t="n"/>
    </row>
    <row r="32">
      <c r="A32" s="5" t="inlineStr">
        <is>
          <t>S031</t>
        </is>
      </c>
      <c r="B32" s="5" t="inlineStr">
        <is>
          <t>Settings</t>
        </is>
      </c>
      <c r="C32" s="5" t="inlineStr">
        <is>
          <t>Integrations &gt; DTC Scheduler</t>
        </is>
      </c>
      <c r="D32" s="5" t="inlineStr">
        <is>
          <t>DTC Scheduler</t>
        </is>
      </c>
      <c r="E32" s="5" t="inlineStr">
        <is>
          <t>/settings/dtc-scheduler</t>
        </is>
      </c>
      <c r="F32" s="20" t="inlineStr">
        <is>
          <t>Not started</t>
        </is>
      </c>
      <c r="G32" s="6">
        <f>COUNTIF(Coverage!$D:$D,$A32)</f>
        <v/>
      </c>
      <c r="H32" s="6">
        <f>COUNTIFS(Coverage!$D:$D,$A32,Coverage!$J:$J,"Pass")</f>
        <v/>
      </c>
      <c r="I32" s="6">
        <f>COUNTIFS(Coverage!$D:$D,$A32,Coverage!$J:$J,"Fail")</f>
        <v/>
      </c>
      <c r="J32" s="6">
        <f>COUNTIFS(Coverage!$D:$D,$A32,Coverage!$J:$J,"Blocked")</f>
        <v/>
      </c>
      <c r="K32" s="6">
        <f>COUNTIFS(Coverage!$D:$D,$A32,Coverage!$J:$J,"N/A")</f>
        <v/>
      </c>
      <c r="L32" s="6">
        <f>COUNTIFS(Coverage!$D:$D,$A32,Coverage!$J:$J,"Not tested")</f>
        <v/>
      </c>
      <c r="M32" s="6">
        <f>COUNTIF(Bugs!$V:$V,$A32)</f>
        <v/>
      </c>
      <c r="N32" s="5" t="n"/>
    </row>
    <row r="33">
      <c r="A33" s="5" t="inlineStr">
        <is>
          <t>S032</t>
        </is>
      </c>
      <c r="B33" s="5" t="inlineStr">
        <is>
          <t>Settings</t>
        </is>
      </c>
      <c r="C33" s="5" t="inlineStr">
        <is>
          <t>System &gt; System</t>
        </is>
      </c>
      <c r="D33" s="5" t="inlineStr">
        <is>
          <t>System</t>
        </is>
      </c>
      <c r="E33" s="5" t="inlineStr">
        <is>
          <t>/settings/system</t>
        </is>
      </c>
      <c r="F33" s="20" t="inlineStr">
        <is>
          <t>Not started</t>
        </is>
      </c>
      <c r="G33" s="6">
        <f>COUNTIF(Coverage!$D:$D,$A33)</f>
        <v/>
      </c>
      <c r="H33" s="6">
        <f>COUNTIFS(Coverage!$D:$D,$A33,Coverage!$J:$J,"Pass")</f>
        <v/>
      </c>
      <c r="I33" s="6">
        <f>COUNTIFS(Coverage!$D:$D,$A33,Coverage!$J:$J,"Fail")</f>
        <v/>
      </c>
      <c r="J33" s="6">
        <f>COUNTIFS(Coverage!$D:$D,$A33,Coverage!$J:$J,"Blocked")</f>
        <v/>
      </c>
      <c r="K33" s="6">
        <f>COUNTIFS(Coverage!$D:$D,$A33,Coverage!$J:$J,"N/A")</f>
        <v/>
      </c>
      <c r="L33" s="6">
        <f>COUNTIFS(Coverage!$D:$D,$A33,Coverage!$J:$J,"Not tested")</f>
        <v/>
      </c>
      <c r="M33" s="6">
        <f>COUNTIF(Bugs!$V:$V,$A33)</f>
        <v/>
      </c>
      <c r="N33" s="5" t="n"/>
    </row>
    <row r="34">
      <c r="A34" s="5" t="inlineStr">
        <is>
          <t>S033</t>
        </is>
      </c>
      <c r="B34" s="5" t="inlineStr">
        <is>
          <t>Settings</t>
        </is>
      </c>
      <c r="C34" s="5" t="inlineStr">
        <is>
          <t>System &gt; Carrier Error Messages</t>
        </is>
      </c>
      <c r="D34" s="5" t="inlineStr">
        <is>
          <t>Carrier Error Messages</t>
        </is>
      </c>
      <c r="E34" s="5" t="inlineStr">
        <is>
          <t>/settings/carrier-error-messages</t>
        </is>
      </c>
      <c r="F34" s="20" t="inlineStr">
        <is>
          <t>Not started</t>
        </is>
      </c>
      <c r="G34" s="6">
        <f>COUNTIF(Coverage!$D:$D,$A34)</f>
        <v/>
      </c>
      <c r="H34" s="6">
        <f>COUNTIFS(Coverage!$D:$D,$A34,Coverage!$J:$J,"Pass")</f>
        <v/>
      </c>
      <c r="I34" s="6">
        <f>COUNTIFS(Coverage!$D:$D,$A34,Coverage!$J:$J,"Fail")</f>
        <v/>
      </c>
      <c r="J34" s="6">
        <f>COUNTIFS(Coverage!$D:$D,$A34,Coverage!$J:$J,"Blocked")</f>
        <v/>
      </c>
      <c r="K34" s="6">
        <f>COUNTIFS(Coverage!$D:$D,$A34,Coverage!$J:$J,"N/A")</f>
        <v/>
      </c>
      <c r="L34" s="6">
        <f>COUNTIFS(Coverage!$D:$D,$A34,Coverage!$J:$J,"Not tested")</f>
        <v/>
      </c>
      <c r="M34" s="6">
        <f>COUNTIF(Bugs!$V:$V,$A34)</f>
        <v/>
      </c>
      <c r="N34" s="5" t="n"/>
    </row>
    <row r="35">
      <c r="A35" s="5" t="inlineStr">
        <is>
          <t>S034</t>
        </is>
      </c>
      <c r="B35" s="5" t="inlineStr">
        <is>
          <t>Settings</t>
        </is>
      </c>
      <c r="C35" s="5" t="inlineStr">
        <is>
          <t>Activity &amp; Logs &gt; Logs</t>
        </is>
      </c>
      <c r="D35" s="5" t="inlineStr">
        <is>
          <t>Logs (audit log)</t>
        </is>
      </c>
      <c r="E35" s="5" t="inlineStr">
        <is>
          <t>/settings/audit-log</t>
        </is>
      </c>
      <c r="F35" s="20" t="inlineStr">
        <is>
          <t>Not started</t>
        </is>
      </c>
      <c r="G35" s="6">
        <f>COUNTIF(Coverage!$D:$D,$A35)</f>
        <v/>
      </c>
      <c r="H35" s="6">
        <f>COUNTIFS(Coverage!$D:$D,$A35,Coverage!$J:$J,"Pass")</f>
        <v/>
      </c>
      <c r="I35" s="6">
        <f>COUNTIFS(Coverage!$D:$D,$A35,Coverage!$J:$J,"Fail")</f>
        <v/>
      </c>
      <c r="J35" s="6">
        <f>COUNTIFS(Coverage!$D:$D,$A35,Coverage!$J:$J,"Blocked")</f>
        <v/>
      </c>
      <c r="K35" s="6">
        <f>COUNTIFS(Coverage!$D:$D,$A35,Coverage!$J:$J,"N/A")</f>
        <v/>
      </c>
      <c r="L35" s="6">
        <f>COUNTIFS(Coverage!$D:$D,$A35,Coverage!$J:$J,"Not tested")</f>
        <v/>
      </c>
      <c r="M35" s="6">
        <f>COUNTIF(Bugs!$V:$V,$A35)</f>
        <v/>
      </c>
      <c r="N35" s="5" t="n"/>
    </row>
    <row r="36">
      <c r="A36" s="5" t="inlineStr">
        <is>
          <t>S035</t>
        </is>
      </c>
      <c r="B36" s="5" t="inlineStr">
        <is>
          <t>Settings</t>
        </is>
      </c>
      <c r="C36" s="5" t="inlineStr">
        <is>
          <t>Activity &amp; Logs &gt; Carrier API Log</t>
        </is>
      </c>
      <c r="D36" s="5" t="inlineStr">
        <is>
          <t>Carrier API Log</t>
        </is>
      </c>
      <c r="E36" s="5" t="inlineStr">
        <is>
          <t>/settings/carrier-api-log</t>
        </is>
      </c>
      <c r="F36" s="20" t="inlineStr">
        <is>
          <t>Not started</t>
        </is>
      </c>
      <c r="G36" s="6">
        <f>COUNTIF(Coverage!$D:$D,$A36)</f>
        <v/>
      </c>
      <c r="H36" s="6">
        <f>COUNTIFS(Coverage!$D:$D,$A36,Coverage!$J:$J,"Pass")</f>
        <v/>
      </c>
      <c r="I36" s="6">
        <f>COUNTIFS(Coverage!$D:$D,$A36,Coverage!$J:$J,"Fail")</f>
        <v/>
      </c>
      <c r="J36" s="6">
        <f>COUNTIFS(Coverage!$D:$D,$A36,Coverage!$J:$J,"Blocked")</f>
        <v/>
      </c>
      <c r="K36" s="6">
        <f>COUNTIFS(Coverage!$D:$D,$A36,Coverage!$J:$J,"N/A")</f>
        <v/>
      </c>
      <c r="L36" s="6">
        <f>COUNTIFS(Coverage!$D:$D,$A36,Coverage!$J:$J,"Not tested")</f>
        <v/>
      </c>
      <c r="M36" s="6">
        <f>COUNTIF(Bugs!$V:$V,$A36)</f>
        <v/>
      </c>
      <c r="N36" s="5" t="n"/>
    </row>
    <row r="37">
      <c r="A37" s="5" t="inlineStr">
        <is>
          <t>S036</t>
        </is>
      </c>
      <c r="B37" s="5" t="inlineStr">
        <is>
          <t>Settings</t>
        </is>
      </c>
      <c r="C37" s="5" t="inlineStr">
        <is>
          <t>Activity &amp; Logs &gt; Email Delivery Log</t>
        </is>
      </c>
      <c r="D37" s="5" t="inlineStr">
        <is>
          <t>Email Delivery Log</t>
        </is>
      </c>
      <c r="E37" s="5" t="inlineStr">
        <is>
          <t>/settings/notification-delivery-log</t>
        </is>
      </c>
      <c r="F37" s="20" t="inlineStr">
        <is>
          <t>Not started</t>
        </is>
      </c>
      <c r="G37" s="6">
        <f>COUNTIF(Coverage!$D:$D,$A37)</f>
        <v/>
      </c>
      <c r="H37" s="6">
        <f>COUNTIFS(Coverage!$D:$D,$A37,Coverage!$J:$J,"Pass")</f>
        <v/>
      </c>
      <c r="I37" s="6">
        <f>COUNTIFS(Coverage!$D:$D,$A37,Coverage!$J:$J,"Fail")</f>
        <v/>
      </c>
      <c r="J37" s="6">
        <f>COUNTIFS(Coverage!$D:$D,$A37,Coverage!$J:$J,"Blocked")</f>
        <v/>
      </c>
      <c r="K37" s="6">
        <f>COUNTIFS(Coverage!$D:$D,$A37,Coverage!$J:$J,"N/A")</f>
        <v/>
      </c>
      <c r="L37" s="6">
        <f>COUNTIFS(Coverage!$D:$D,$A37,Coverage!$J:$J,"Not tested")</f>
        <v/>
      </c>
      <c r="M37" s="6">
        <f>COUNTIF(Bugs!$V:$V,$A37)</f>
        <v/>
      </c>
      <c r="N37" s="5" t="n"/>
    </row>
    <row r="38">
      <c r="A38" s="5" t="inlineStr">
        <is>
          <t>S037</t>
        </is>
      </c>
      <c r="B38" s="5" t="inlineStr">
        <is>
          <t>Settings</t>
        </is>
      </c>
      <c r="C38" s="5" t="inlineStr">
        <is>
          <t>Activity &amp; Logs &gt; Writeback Journal</t>
        </is>
      </c>
      <c r="D38" s="5" t="inlineStr">
        <is>
          <t>Writeback Journal</t>
        </is>
      </c>
      <c r="E38" s="5" t="inlineStr">
        <is>
          <t>/settings/writeback-journal</t>
        </is>
      </c>
      <c r="F38" s="20" t="inlineStr">
        <is>
          <t>Not started</t>
        </is>
      </c>
      <c r="G38" s="6">
        <f>COUNTIF(Coverage!$D:$D,$A38)</f>
        <v/>
      </c>
      <c r="H38" s="6">
        <f>COUNTIFS(Coverage!$D:$D,$A38,Coverage!$J:$J,"Pass")</f>
        <v/>
      </c>
      <c r="I38" s="6">
        <f>COUNTIFS(Coverage!$D:$D,$A38,Coverage!$J:$J,"Fail")</f>
        <v/>
      </c>
      <c r="J38" s="6">
        <f>COUNTIFS(Coverage!$D:$D,$A38,Coverage!$J:$J,"Blocked")</f>
        <v/>
      </c>
      <c r="K38" s="6">
        <f>COUNTIFS(Coverage!$D:$D,$A38,Coverage!$J:$J,"N/A")</f>
        <v/>
      </c>
      <c r="L38" s="6">
        <f>COUNTIFS(Coverage!$D:$D,$A38,Coverage!$J:$J,"Not tested")</f>
        <v/>
      </c>
      <c r="M38" s="6">
        <f>COUNTIF(Bugs!$V:$V,$A38)</f>
        <v/>
      </c>
      <c r="N38" s="5" t="n"/>
    </row>
    <row r="39">
      <c r="A39" s="5" t="inlineStr">
        <is>
          <t>S038</t>
        </is>
      </c>
      <c r="B39" s="5" t="inlineStr">
        <is>
          <t>Settings</t>
        </is>
      </c>
      <c r="C39" s="5" t="inlineStr">
        <is>
          <t>Activity &amp; Logs &gt; Alerts History</t>
        </is>
      </c>
      <c r="D39" s="5" t="inlineStr">
        <is>
          <t>Alerts History</t>
        </is>
      </c>
      <c r="E39" s="5" t="inlineStr">
        <is>
          <t>/settings/alerts-history</t>
        </is>
      </c>
      <c r="F39" s="20" t="inlineStr">
        <is>
          <t>Not started</t>
        </is>
      </c>
      <c r="G39" s="6">
        <f>COUNTIF(Coverage!$D:$D,$A39)</f>
        <v/>
      </c>
      <c r="H39" s="6">
        <f>COUNTIFS(Coverage!$D:$D,$A39,Coverage!$J:$J,"Pass")</f>
        <v/>
      </c>
      <c r="I39" s="6">
        <f>COUNTIFS(Coverage!$D:$D,$A39,Coverage!$J:$J,"Fail")</f>
        <v/>
      </c>
      <c r="J39" s="6">
        <f>COUNTIFS(Coverage!$D:$D,$A39,Coverage!$J:$J,"Blocked")</f>
        <v/>
      </c>
      <c r="K39" s="6">
        <f>COUNTIFS(Coverage!$D:$D,$A39,Coverage!$J:$J,"N/A")</f>
        <v/>
      </c>
      <c r="L39" s="6">
        <f>COUNTIFS(Coverage!$D:$D,$A39,Coverage!$J:$J,"Not tested")</f>
        <v/>
      </c>
      <c r="M39" s="6">
        <f>COUNTIF(Bugs!$V:$V,$A39)</f>
        <v/>
      </c>
      <c r="N39" s="5" t="n"/>
    </row>
    <row r="40">
      <c r="A40" s="5" t="inlineStr">
        <is>
          <t>S039</t>
        </is>
      </c>
      <c r="B40" s="5" t="inlineStr">
        <is>
          <t>Settings</t>
        </is>
      </c>
      <c r="C40" s="5" t="inlineStr">
        <is>
          <t>Activity &amp; Logs &gt; Returns Analytics</t>
        </is>
      </c>
      <c r="D40" s="5" t="inlineStr">
        <is>
          <t>Returns Analytics</t>
        </is>
      </c>
      <c r="E40" s="5" t="inlineStr">
        <is>
          <t>/settings/returns-analytics</t>
        </is>
      </c>
      <c r="F40" s="20" t="inlineStr">
        <is>
          <t>Not started</t>
        </is>
      </c>
      <c r="G40" s="6">
        <f>COUNTIF(Coverage!$D:$D,$A40)</f>
        <v/>
      </c>
      <c r="H40" s="6">
        <f>COUNTIFS(Coverage!$D:$D,$A40,Coverage!$J:$J,"Pass")</f>
        <v/>
      </c>
      <c r="I40" s="6">
        <f>COUNTIFS(Coverage!$D:$D,$A40,Coverage!$J:$J,"Fail")</f>
        <v/>
      </c>
      <c r="J40" s="6">
        <f>COUNTIFS(Coverage!$D:$D,$A40,Coverage!$J:$J,"Blocked")</f>
        <v/>
      </c>
      <c r="K40" s="6">
        <f>COUNTIFS(Coverage!$D:$D,$A40,Coverage!$J:$J,"N/A")</f>
        <v/>
      </c>
      <c r="L40" s="6">
        <f>COUNTIFS(Coverage!$D:$D,$A40,Coverage!$J:$J,"Not tested")</f>
        <v/>
      </c>
      <c r="M40" s="6">
        <f>COUNTIF(Bugs!$V:$V,$A40)</f>
        <v/>
      </c>
      <c r="N40" s="5" t="n"/>
    </row>
    <row r="41">
      <c r="A41" s="5" t="inlineStr">
        <is>
          <t>S040</t>
        </is>
      </c>
      <c r="B41" s="5" t="inlineStr">
        <is>
          <t>Settings</t>
        </is>
      </c>
      <c r="C41" s="5" t="inlineStr">
        <is>
          <t>Organization &gt; Clients</t>
        </is>
      </c>
      <c r="D41" s="5" t="inlineStr">
        <is>
          <t>Client wizard (Add / Edit)</t>
        </is>
      </c>
      <c r="E41" s="5" t="inlineStr">
        <is>
          <t>/settings/clients/new ; /settings/clients/{code}</t>
        </is>
      </c>
      <c r="F41" s="16" t="inlineStr">
        <is>
          <t>Done</t>
        </is>
      </c>
      <c r="G41" s="6">
        <f>COUNTIF(Coverage!$D:$D,$A41)</f>
        <v/>
      </c>
      <c r="H41" s="6">
        <f>COUNTIFS(Coverage!$D:$D,$A41,Coverage!$J:$J,"Pass")</f>
        <v/>
      </c>
      <c r="I41" s="6">
        <f>COUNTIFS(Coverage!$D:$D,$A41,Coverage!$J:$J,"Fail")</f>
        <v/>
      </c>
      <c r="J41" s="6">
        <f>COUNTIFS(Coverage!$D:$D,$A41,Coverage!$J:$J,"Blocked")</f>
        <v/>
      </c>
      <c r="K41" s="6">
        <f>COUNTIFS(Coverage!$D:$D,$A41,Coverage!$J:$J,"N/A")</f>
        <v/>
      </c>
      <c r="L41" s="6">
        <f>COUNTIFS(Coverage!$D:$D,$A41,Coverage!$J:$J,"Not tested")</f>
        <v/>
      </c>
      <c r="M41" s="6">
        <f>COUNTIF(Bugs!$V:$V,$A41)</f>
        <v/>
      </c>
      <c r="N41" s="5" t="inlineStr">
        <is>
          <t>8 steps: Identity, Ship From, Return, Carriers, Mapping, Markup, Importer, Summary. Edit mode: Cancel / Save changes ('Identity + addresses only'); Carriers, Mapping, Markup and Importer steps save on their own.</t>
        </is>
      </c>
    </row>
  </sheetData>
  <autoFilter ref="A1:N41"/>
  <pageMargins left="0.7" right="0.7" top="0.75" bottom="0.75" header="0.3" footer="0.3"/>
  <pageSetup orientation="landscape" paperSize="9" fitToHeight="0"/>
</worksheet>
</file>

<file path=xl/worksheets/sheet5.xml><?xml version="1.0" encoding="utf-8"?>
<worksheet xmlns="http://schemas.openxmlformats.org/spreadsheetml/2006/main">
  <sheetPr>
    <outlinePr summaryBelow="1" summaryRight="1"/>
    <pageSetUpPr fitToPage="1"/>
  </sheetPr>
  <dimension ref="A1:G15"/>
  <sheetViews>
    <sheetView workbookViewId="0">
      <pane ySplit="1" topLeftCell="A2" activePane="bottomLeft" state="frozen"/>
      <selection pane="bottomLeft" activeCell="A1" sqref="A1"/>
    </sheetView>
  </sheetViews>
  <sheetFormatPr baseColWidth="8" defaultRowHeight="15"/>
  <cols>
    <col width="9.7109375" customWidth="1" min="1" max="1"/>
    <col width="36.7109375" customWidth="1" min="2" max="2"/>
    <col width="11.7109375" customWidth="1" min="3" max="3"/>
    <col width="70.7109375" customWidth="1" min="4" max="4"/>
    <col width="40.7109375" customWidth="1" min="5" max="5"/>
    <col width="16.7109375" customWidth="1" min="6" max="6"/>
    <col width="6.7109375" customWidth="1" min="7" max="7"/>
  </cols>
  <sheetData>
    <row r="1">
      <c r="A1" s="12" t="inlineStr">
        <is>
          <t>Flow ID</t>
        </is>
      </c>
      <c r="B1" s="12" t="inlineStr">
        <is>
          <t>Flow</t>
        </is>
      </c>
      <c r="C1" s="12" t="inlineStr">
        <is>
          <t>Result</t>
        </is>
      </c>
      <c r="D1" s="12" t="inlineStr">
        <is>
          <t>What was done and verified</t>
        </is>
      </c>
      <c r="E1" s="12" t="inlineStr">
        <is>
          <t>Notes</t>
        </is>
      </c>
      <c r="F1" s="12" t="inlineStr">
        <is>
          <t>Bug IDs</t>
        </is>
      </c>
      <c r="G1" s="12" t="inlineStr">
        <is>
          <t>Run</t>
        </is>
      </c>
    </row>
    <row r="2">
      <c r="A2" s="5" t="inlineStr">
        <is>
          <t>F01</t>
        </is>
      </c>
      <c r="B2" s="5" t="inlineStr">
        <is>
          <t>Canada · FedEx: International Economy and Priority × every packaging → label</t>
        </is>
      </c>
      <c r="C2" s="17" t="inlineStr">
        <is>
          <t>Fail</t>
        </is>
      </c>
      <c r="D2" s="5" t="inlineStr">
        <is>
          <t>1. IE, 2 boxes: Pak, Tube, THB, Custom generated (#934064-#934067); Envelope failed 'package count exceeds limit' (#934063)
2. IP, 2 boxes: Pak, Tube, THB, Custom generated (#934071-#934074); Envelope, 10kg and 25kg box failed (#934068-#934070)
3. Envelope (IE and IP), 10kg and 25kg box as 1 box generated (#934075-#934078)
4. Every check needed 'NO EEI 30.36' typed into Export declaration ref (no FTR exemption field for Canada)</t>
        </is>
      </c>
      <c r="E2" s="5" t="n"/>
      <c r="F2" s="5" t="inlineStr">
        <is>
          <t>BUG-003, BUG-005, BUG-004</t>
        </is>
      </c>
      <c r="G2" s="5" t="inlineStr">
        <is>
          <t>R1</t>
        </is>
      </c>
    </row>
    <row r="3">
      <c r="A3" s="5" t="inlineStr">
        <is>
          <t>F02</t>
        </is>
      </c>
      <c r="B3" s="5" t="inlineStr">
        <is>
          <t>Canada · UPS: Worldwide Saver, Expedited and Express × every packaging → label</t>
        </is>
      </c>
      <c r="C3" s="17" t="inlineStr">
        <is>
          <t>Fail</t>
        </is>
      </c>
      <c r="D3" s="5" t="inlineStr">
        <is>
          <t>1. Saver: Pak, Large, Medium, Small Express Box, Tube, THB, Custom (2 boxes) and Letter (1 box) generated (#934081-#934088); 10KG and 25KG Box with 2 boxes failed (#934079, #934080)
2. Expedited: THB and Custom generated (#934089, #934090)
3. Express: same packagings generated (#934095-#934102); 10KG and 25KG Box with 2 boxes failed (#934091, #934092)
4. 10KG and 25KG Box as 1 box generated: Saver #934103, #934104; Express #934093, #934094</t>
        </is>
      </c>
      <c r="E3" s="5" t="n"/>
      <c r="F3" s="5" t="inlineStr">
        <is>
          <t>BUG-003</t>
        </is>
      </c>
      <c r="G3" s="5" t="inlineStr">
        <is>
          <t>R1</t>
        </is>
      </c>
    </row>
    <row r="4">
      <c r="A4" s="5" t="inlineStr">
        <is>
          <t>F03</t>
        </is>
      </c>
      <c r="B4" s="5" t="inlineStr">
        <is>
          <t>Canada · USPS: Priority Mail Intl and Express Intl × THB, Custom → label</t>
        </is>
      </c>
      <c r="C4" s="17" t="inlineStr">
        <is>
          <t>Fail</t>
        </is>
      </c>
      <c r="D4" s="5" t="inlineStr">
        <is>
          <t>1. Default sender 'MKL': PMI THB failed (#934105) and PMEI THB failed (#934109) on the fullname rule
2. Sender 'MKL Shipping', both lines in box 1: package 2 failed 'Missing customs lines' (#934106)
3. Sender fixed, 1 box: generated (#934107)
4. Sender fixed, two lines spread across the 2 boxes: PMI THB, PMI Custom, PMEI THB, PMEI Custom generated (#934108, #934110-#934112)</t>
        </is>
      </c>
      <c r="E4" s="5" t="n"/>
      <c r="F4" s="5" t="inlineStr">
        <is>
          <t>BUG-001, BUG-002</t>
        </is>
      </c>
      <c r="G4" s="5" t="inlineStr">
        <is>
          <t>R1</t>
        </is>
      </c>
    </row>
    <row r="5">
      <c r="A5" s="5" t="inlineStr">
        <is>
          <t>F04</t>
        </is>
      </c>
      <c r="B5" s="5" t="inlineStr">
        <is>
          <t>United Kingdom · FedEx: International Economy and Priority × every packaging → label</t>
        </is>
      </c>
      <c r="C5" s="16" t="inlineStr">
        <is>
          <t>Pass</t>
        </is>
      </c>
      <c r="D5" s="5" t="inlineStr">
        <is>
          <t>1. 12 of 12 generated (#934113-#934124); Envelope, 10kg and 25kg box run as 1 box
2. FTR exemption NOEEI 30.37(a) and Label size Paper 4x6 set by hand
3. International Priority checks showed the false 'did not quote' issue; labels still generated
4. Billed-weight notes of 68 / 52 / 22 lb on Tube, Pak and Custom (not reproduced on retest)</t>
        </is>
      </c>
      <c r="E5" s="5" t="n"/>
      <c r="F5" s="5" t="inlineStr">
        <is>
          <t>BUG-004, BUG-019</t>
        </is>
      </c>
      <c r="G5" s="5" t="inlineStr">
        <is>
          <t>R1</t>
        </is>
      </c>
    </row>
    <row r="6">
      <c r="A6" s="5" t="inlineStr">
        <is>
          <t>F05</t>
        </is>
      </c>
      <c r="B6" s="5" t="inlineStr">
        <is>
          <t>United Kingdom · UPS: Worldwide Saver, Expedited and Express × every packaging → label</t>
        </is>
      </c>
      <c r="C6" s="16" t="inlineStr">
        <is>
          <t>Pass</t>
        </is>
      </c>
      <c r="D6" s="5" t="inlineStr">
        <is>
          <t>1. 22 of 22 generated (#934125-#934146); 10KG, 25KG Box and Letter as 1 box; every check 'All checks passed'</t>
        </is>
      </c>
      <c r="E6" s="5" t="n"/>
      <c r="F6" s="5" t="n"/>
      <c r="G6" s="5" t="inlineStr">
        <is>
          <t>R1</t>
        </is>
      </c>
    </row>
    <row r="7">
      <c r="A7" s="5" t="inlineStr">
        <is>
          <t>F06</t>
        </is>
      </c>
      <c r="B7" s="5" t="inlineStr">
        <is>
          <t>United Kingdom · USPS: Priority Mail Intl and Express Intl × THB, Custom → label</t>
        </is>
      </c>
      <c r="C7" s="17" t="inlineStr">
        <is>
          <t>Fail</t>
        </is>
      </c>
      <c r="D7" s="5" t="inlineStr">
        <is>
          <t>1. Default sender 'MKL': PMI THB failed on the fullname rule (#934147)
2. Sender fixed and lines spread across the boxes: 4 of 4 generated (#934148-#934151)
3. Every check: 'USPS normalised the address; review before shipping.'</t>
        </is>
      </c>
      <c r="E7" s="5" t="n"/>
      <c r="F7" s="5" t="inlineStr">
        <is>
          <t>BUG-001, BUG-018</t>
        </is>
      </c>
      <c r="G7" s="5" t="inlineStr">
        <is>
          <t>R1</t>
        </is>
      </c>
    </row>
    <row r="8">
      <c r="A8" s="5" t="inlineStr">
        <is>
          <t>F07</t>
        </is>
      </c>
      <c r="B8" s="5" t="inlineStr">
        <is>
          <t>Mexico · FedEx: International Economy and Priority × every packaging → label</t>
        </is>
      </c>
      <c r="C8" s="16" t="inlineStr">
        <is>
          <t>Pass</t>
        </is>
      </c>
      <c r="D8" s="5" t="inlineStr">
        <is>
          <t>1. 12 of 12 generated (#934152-#934163); Envelope, 10kg and 25kg box as 1 box
2. State / region had to be the ISO code CMX
3. International Priority checks showed the false 'did not quote' issue; labels still generated
4. One Validate returned the raw toast 'HTTP error! status: 502'; the retry worked (#934153)</t>
        </is>
      </c>
      <c r="E8" s="5" t="n"/>
      <c r="F8" s="5" t="inlineStr">
        <is>
          <t>BUG-004, BUG-008, BUG-016</t>
        </is>
      </c>
      <c r="G8" s="5" t="inlineStr">
        <is>
          <t>R1</t>
        </is>
      </c>
    </row>
    <row r="9">
      <c r="A9" s="5" t="inlineStr">
        <is>
          <t>F08</t>
        </is>
      </c>
      <c r="B9" s="5" t="inlineStr">
        <is>
          <t>Mexico · UPS: Worldwide Saver, Expedited and Express × every packaging → label</t>
        </is>
      </c>
      <c r="C9" s="16" t="inlineStr">
        <is>
          <t>Pass</t>
        </is>
      </c>
      <c r="D9" s="5" t="inlineStr">
        <is>
          <t>1. 22 of 22 generated (#934164-#934185); 10KG, 25KG Box and Letter as 1 box; every check 'All checks passed'
2. 'Add N boxes like the last' left box 2 without dimensions; Apply box 1 to all used instead</t>
        </is>
      </c>
      <c r="E9" s="5" t="n"/>
      <c r="F9" s="5" t="inlineStr">
        <is>
          <t>BUG-006</t>
        </is>
      </c>
      <c r="G9" s="5" t="inlineStr">
        <is>
          <t>R1</t>
        </is>
      </c>
    </row>
    <row r="10">
      <c r="A10" s="5" t="inlineStr">
        <is>
          <t>F09</t>
        </is>
      </c>
      <c r="B10" s="5" t="inlineStr">
        <is>
          <t>Mexico · USPS: Priority Mail Intl and Express Intl × THB, Custom → label</t>
        </is>
      </c>
      <c r="C10" s="17" t="inlineStr">
        <is>
          <t>Fail</t>
        </is>
      </c>
      <c r="D10" s="5" t="inlineStr">
        <is>
          <t>1. Default sender 'MKL': PMI THB failed on the fullname rule (#934186)
2. Sender fixed and lines spread across the boxes: 4 of 4 generated (#934187-#934190)</t>
        </is>
      </c>
      <c r="E10" s="5" t="n"/>
      <c r="F10" s="5" t="inlineStr">
        <is>
          <t>BUG-001, BUG-018</t>
        </is>
      </c>
      <c r="G10" s="5" t="inlineStr">
        <is>
          <t>R1</t>
        </is>
      </c>
    </row>
    <row r="11">
      <c r="A11" s="5" t="inlineStr">
        <is>
          <t>F10</t>
        </is>
      </c>
      <c r="B11" s="5" t="inlineStr">
        <is>
          <t>Order API check of all 128 orders (GET /api/v1/orders/{id})</t>
        </is>
      </c>
      <c r="C11" s="16" t="inlineStr">
        <is>
          <t>Pass</t>
        </is>
      </c>
      <c r="D11" s="5" t="inlineStr">
        <is>
          <t>1. 128 of 128 fetched: reference, status (115 GENERATED, 13 ERROR), package count, destination, label and tracking, and error text all match what the screens showed
2. 13 error messages match the toasts (FedEx package count ×4, UPS service/packaging ×4, USPS fullname ×4, USPS missing customs lines ×1)
3. shippingDetails.weight equals one box's weight on all 97 two-box orders (query)
4. #934118 labelFilePath holds a FedEx document link instead of the PDF</t>
        </is>
      </c>
      <c r="E11" s="5" t="n"/>
      <c r="F11" s="5" t="inlineStr">
        <is>
          <t>BUG-017, BUG-007</t>
        </is>
      </c>
      <c r="G11" s="5" t="inlineStr">
        <is>
          <t>R1</t>
        </is>
      </c>
    </row>
    <row r="12">
      <c r="A12" s="5" t="inlineStr">
        <is>
          <t>F11</t>
        </is>
      </c>
      <c r="B12" s="5" t="inlineStr">
        <is>
          <t>Register a client end to end (Clients &gt; Add Client, 8 steps)</t>
        </is>
      </c>
      <c r="C12" s="16" t="inlineStr">
        <is>
          <t>Pass</t>
        </is>
      </c>
      <c r="D12" s="5" t="inlineStr">
        <is>
          <t>1. Settings &gt; Clients &gt; + Add Client
2. Step 1 Identity: code QA-1012-CL01, name with punctuation, email, phone, defaults CAD / KG / CM / CA / America/Toronto
3. Step 2 Ship From: warehouse 3PL-EAST, address card filled from the warehouse
4. Step 3 Return: own address, Chicago IL 60601
5. Step 4 Carriers: one UPS SANDBOX account staged as default
6. Step 5 Mapping: shipvia QA80 -&gt; UPS Ground staged
7. Step 6 Markup: not offered until the client exists
8. Step 7 Importer: skipped
9. Step 8 Summary: every section READY, Submit
10. Client, carrier account and mapping all created by one Submit; the page becomes Edit client
11. Markup 12.5% saved afterwards from the same wizard
12. Client deleted again at the end of the run</t>
        </is>
      </c>
      <c r="E12" s="5" t="n"/>
      <c r="F12" s="5" t="n"/>
      <c r="G12" s="5" t="inlineStr">
        <is>
          <t>R2</t>
        </is>
      </c>
    </row>
    <row r="13">
      <c r="A13" s="5" t="inlineStr">
        <is>
          <t>F12</t>
        </is>
      </c>
      <c r="B13" s="5" t="inlineStr">
        <is>
          <t>Warehouse lifecycle (create, attach a client, verify, deactivate, edit, delete)</t>
        </is>
      </c>
      <c r="C13" s="17" t="inlineStr">
        <is>
          <t>Fail</t>
        </is>
      </c>
      <c r="D13" s="5" t="inlineStr">
        <is>
          <t>1. Settings &gt; Warehouses &gt; + Add Warehouse: QA-1012-WH01, Springfield ILLINOIS 62704-1234
2. Created, then the follow-on 'Attach to clients' step skipped
3. Row menu &gt; Attach clients: THB000 ticked and attached, Attached count 0 -&gt; 1
4. Row menu &gt; Edit: name changed and saved
5. Address Verify run once against UPS, FedEx and USPS - all three answered NOT_SUPPORTED
6. Status toggled off and on again
7. Row menu &gt; Delete: dialog named the warehouse and warned the client would be unlinked; deleted
8. THB000 left as it was, with its original default warehouse</t>
        </is>
      </c>
      <c r="E13" s="5" t="n"/>
      <c r="F13" s="5" t="inlineStr">
        <is>
          <t>BUG-040, BUG-041, BUG-042, BUG-043</t>
        </is>
      </c>
      <c r="G13" s="5" t="inlineStr">
        <is>
          <t>R2</t>
        </is>
      </c>
    </row>
    <row r="14">
      <c r="A14" s="5" t="inlineStr">
        <is>
          <t>F13</t>
        </is>
      </c>
      <c r="B14" s="5" t="inlineStr">
        <is>
          <t>Save an address to the address book</t>
        </is>
      </c>
      <c r="C14" s="17" t="inlineStr">
        <is>
          <t>Fail</t>
        </is>
      </c>
      <c r="D14" s="5" t="inlineStr">
        <is>
          <t>1. Settings &gt; Address book: the list never loads (GET /api/v1/recipients -&gt; 500) and the page shows 'No saved addresses yet'
2. + Add address: required fields all checked correctly
3. A valid shared address saved: POST /api/v1/recipients -&gt; 200
4. The screen reports 'Something went wrong on the server' and the grid still shows the empty state
5. Searching for the address returns 502 and is drawn as 'No saved addresses match'
6. The address exists in the database but cannot be seen, edited or deleted from the application</t>
        </is>
      </c>
      <c r="E14" s="5" t="n"/>
      <c r="F14" s="5" t="inlineStr">
        <is>
          <t>BUG-044, BUG-045</t>
        </is>
      </c>
      <c r="G14" s="5" t="inlineStr">
        <is>
          <t>R2</t>
        </is>
      </c>
    </row>
    <row r="15">
      <c r="A15" s="5" t="inlineStr">
        <is>
          <t>F14</t>
        </is>
      </c>
      <c r="B15" s="5" t="inlineStr">
        <is>
          <t>Invite a user and administer the account</t>
        </is>
      </c>
      <c r="C15" s="17" t="inlineStr">
        <is>
          <t>Fail</t>
        </is>
      </c>
      <c r="D15" s="5" t="inlineStr">
        <is>
          <t>1. Settings &gt; Mail checked first: no active provider, outbound email logged only
2. Settings &gt; Users &gt; Invite user: qa-1012-invite@example.com, client THB000, role USER
3. Invitation created and an accept link shown once
4. Done: the invited person does not appear in the user list and 'Recent admin actions' stays empty
5. Assign client on the existing user: a code that does not exist is refused, the original code saves again
6. The reason typed for the audit is not recorded anywhere
7. Role change, Reset password and Deactivate could not be exercised - no test account exists and the only other row is a real person's</t>
        </is>
      </c>
      <c r="E15" s="5" t="n"/>
      <c r="F15" s="5" t="inlineStr">
        <is>
          <t>BUG-050, BUG-052, BUG-051</t>
        </is>
      </c>
      <c r="G15" s="5" t="inlineStr">
        <is>
          <t>R2</t>
        </is>
      </c>
    </row>
  </sheetData>
  <pageMargins left="0.7" right="0.7" top="0.75" bottom="0.75" header="0.3" footer="0.3"/>
  <pageSetup orientation="landscape" paperSize="9" fitToHeight="0"/>
</worksheet>
</file>

<file path=xl/worksheets/sheet6.xml><?xml version="1.0" encoding="utf-8"?>
<worksheet xmlns="http://schemas.openxmlformats.org/spreadsheetml/2006/main">
  <sheetPr>
    <outlinePr summaryBelow="1" summaryRight="1"/>
    <pageSetUpPr fitToPage="1"/>
  </sheetPr>
  <dimension ref="A1:G12"/>
  <sheetViews>
    <sheetView workbookViewId="0">
      <pane ySplit="1" topLeftCell="A2" activePane="bottomLeft" state="frozen"/>
      <selection pane="bottomLeft" activeCell="A1" sqref="A1"/>
    </sheetView>
  </sheetViews>
  <sheetFormatPr baseColWidth="8" defaultRowHeight="15"/>
  <cols>
    <col width="8.7109375" customWidth="1" min="1" max="1"/>
    <col width="18.7109375" customWidth="1" min="2" max="2"/>
    <col width="28.7109375" customWidth="1" min="3" max="3"/>
    <col width="34.7109375" customWidth="1" min="4" max="4"/>
    <col width="16.7109375" customWidth="1" min="5" max="5"/>
    <col width="45.7109375" customWidth="1" min="6" max="6"/>
    <col width="6.7109375" customWidth="1" min="7" max="7"/>
  </cols>
  <sheetData>
    <row r="1">
      <c r="A1" s="12" t="inlineStr">
        <is>
          <t>ID</t>
        </is>
      </c>
      <c r="B1" s="12" t="inlineStr">
        <is>
          <t>Record type</t>
        </is>
      </c>
      <c r="C1" s="12" t="inlineStr">
        <is>
          <t>Identifier</t>
        </is>
      </c>
      <c r="D1" s="12" t="inlineStr">
        <is>
          <t>Created on screen</t>
        </is>
      </c>
      <c r="E1" s="12" t="inlineStr">
        <is>
          <t>Current state</t>
        </is>
      </c>
      <c r="F1" s="12" t="inlineStr">
        <is>
          <t>Notes</t>
        </is>
      </c>
      <c r="G1" s="12" t="inlineStr">
        <is>
          <t>Run</t>
        </is>
      </c>
    </row>
    <row r="2">
      <c r="A2" s="5" t="inlineStr">
        <is>
          <t>D001</t>
        </is>
      </c>
      <c r="B2" s="5" t="inlineStr">
        <is>
          <t>Orders (Canada)</t>
        </is>
      </c>
      <c r="C2" s="5" t="inlineStr">
        <is>
          <t>#934063-#934112</t>
        </is>
      </c>
      <c r="D2" s="5" t="inlineStr">
        <is>
          <t>Orders &gt; New order &gt; New order form (international)</t>
        </is>
      </c>
      <c r="E2" s="5" t="inlineStr">
        <is>
          <t>left in system</t>
        </is>
      </c>
      <c r="F2" s="5" t="inlineStr">
        <is>
          <t>50 orders: 39 GENERATED (sandbox labels), 11 ERROR; references QA-1011-R13-CA-*</t>
        </is>
      </c>
      <c r="G2" s="5" t="inlineStr">
        <is>
          <t>R1</t>
        </is>
      </c>
    </row>
    <row r="3">
      <c r="A3" s="5" t="inlineStr">
        <is>
          <t>D002</t>
        </is>
      </c>
      <c r="B3" s="5" t="inlineStr">
        <is>
          <t>Orders (United Kingdom)</t>
        </is>
      </c>
      <c r="C3" s="5" t="inlineStr">
        <is>
          <t>#934113-#934151</t>
        </is>
      </c>
      <c r="D3" s="5" t="inlineStr">
        <is>
          <t>Orders &gt; New order &gt; New order form (international)</t>
        </is>
      </c>
      <c r="E3" s="5" t="inlineStr">
        <is>
          <t>left in system</t>
        </is>
      </c>
      <c r="F3" s="5" t="inlineStr">
        <is>
          <t>39 orders: 38 GENERATED, 1 ERROR (#934147); references QA-1011-R13-GB-*</t>
        </is>
      </c>
      <c r="G3" s="5" t="inlineStr">
        <is>
          <t>R1</t>
        </is>
      </c>
    </row>
    <row r="4">
      <c r="A4" s="5" t="inlineStr">
        <is>
          <t>D003</t>
        </is>
      </c>
      <c r="B4" s="5" t="inlineStr">
        <is>
          <t>Orders (Mexico)</t>
        </is>
      </c>
      <c r="C4" s="5" t="inlineStr">
        <is>
          <t>#934152-#934190</t>
        </is>
      </c>
      <c r="D4" s="5" t="inlineStr">
        <is>
          <t>Orders &gt; New order &gt; New order form (international)</t>
        </is>
      </c>
      <c r="E4" s="5" t="inlineStr">
        <is>
          <t>left in system</t>
        </is>
      </c>
      <c r="F4" s="5" t="inlineStr">
        <is>
          <t>39 orders: 38 GENERATED, 1 ERROR (#934186); references QA-1011-R13-MX-*</t>
        </is>
      </c>
      <c r="G4" s="5" t="inlineStr">
        <is>
          <t>R1</t>
        </is>
      </c>
    </row>
    <row r="5">
      <c r="A5" s="5" t="inlineStr">
        <is>
          <t>D004</t>
        </is>
      </c>
      <c r="B5" s="5" t="inlineStr">
        <is>
          <t>Client</t>
        </is>
      </c>
      <c r="C5" s="5" t="inlineStr">
        <is>
          <t>QA-1012-CL01</t>
        </is>
      </c>
      <c r="D5" s="5" t="inlineStr">
        <is>
          <t>Settings &gt; Organization &gt; Clients &gt; Clients list</t>
        </is>
      </c>
      <c r="E5" s="5" t="inlineStr">
        <is>
          <t>deleted</t>
        </is>
      </c>
      <c r="F5" s="5" t="inlineStr">
        <is>
          <t>Created through the 8-step wizard with one UPS sandbox carrier account, one shipvia mapping (QA80 -&gt; UPS Ground), a 12.5% markup and its own return address; deleted at the end of the Clients tests.</t>
        </is>
      </c>
      <c r="G5" s="5" t="inlineStr">
        <is>
          <t>R2</t>
        </is>
      </c>
    </row>
    <row r="6">
      <c r="A6" s="5" t="inlineStr">
        <is>
          <t>D005</t>
        </is>
      </c>
      <c r="B6" s="5" t="inlineStr">
        <is>
          <t>Warehouse</t>
        </is>
      </c>
      <c r="C6" s="5" t="inlineStr">
        <is>
          <t>QA-1012-WH01</t>
        </is>
      </c>
      <c r="D6" s="5" t="inlineStr">
        <is>
          <t>Settings &gt; Organization &gt; Warehouses &gt; Warehouses list</t>
        </is>
      </c>
      <c r="E6" s="5" t="inlineStr">
        <is>
          <t>deleted</t>
        </is>
      </c>
      <c r="F6" s="5" t="inlineStr">
        <is>
          <t>Platform warehouse, Springfield ILLINOIS 62704-1234; attached to client THB000 then deleted, which unlinked it. THB000's default warehouse was never changed.</t>
        </is>
      </c>
      <c r="G6" s="5" t="inlineStr">
        <is>
          <t>R2</t>
        </is>
      </c>
    </row>
    <row r="7">
      <c r="A7" s="5" t="inlineStr">
        <is>
          <t>D006</t>
        </is>
      </c>
      <c r="B7" s="5" t="inlineStr">
        <is>
          <t>Address book entry</t>
        </is>
      </c>
      <c r="C7" s="5" t="inlineStr">
        <is>
          <t>QA-1012 Test Recipient</t>
        </is>
      </c>
      <c r="D7" s="5" t="inlineStr">
        <is>
          <t>Settings &gt; Organization &gt; Address book &gt; Address book list</t>
        </is>
      </c>
      <c r="E7" s="5" t="inlineStr">
        <is>
          <t>left in system</t>
        </is>
      </c>
      <c r="F7" s="5" t="inlineStr">
        <is>
          <t>Shared address, 290 Bremner Blvd, Chicago, IL 60601, US. Created by POST /api/v1/recipients (200) but cannot be seen or deleted from the UI while GET /api/v1/recipients returns 500 - see BUG-044 and BUG-045. Please remove it once that endpoint is fixed.</t>
        </is>
      </c>
      <c r="G7" s="5" t="inlineStr">
        <is>
          <t>R2</t>
        </is>
      </c>
    </row>
    <row r="8">
      <c r="A8" s="5" t="inlineStr">
        <is>
          <t>D007</t>
        </is>
      </c>
      <c r="B8" s="5" t="inlineStr">
        <is>
          <t>Client</t>
        </is>
      </c>
      <c r="C8" s="5" t="inlineStr">
        <is>
          <t>MKL246</t>
        </is>
      </c>
      <c r="D8" s="5" t="inlineStr">
        <is>
          <t>Settings &gt; Organization &gt; Clients &gt; Clients list</t>
        </is>
      </c>
      <c r="E8" s="5" t="inlineStr">
        <is>
          <t>restored</t>
        </is>
      </c>
      <c r="F8" s="5" t="inlineStr">
        <is>
          <t>Opened in the edit wizard and its steps read; the only typed change (client name) was discarded with Leave. Importer / Broker dialogs were cancelled. No field was saved.</t>
        </is>
      </c>
      <c r="G8" s="5" t="inlineStr">
        <is>
          <t>R2</t>
        </is>
      </c>
    </row>
    <row r="9">
      <c r="A9" s="5" t="inlineStr">
        <is>
          <t>D008</t>
        </is>
      </c>
      <c r="B9" s="5" t="inlineStr">
        <is>
          <t>Client</t>
        </is>
      </c>
      <c r="C9" s="5" t="inlineStr">
        <is>
          <t>THB000</t>
        </is>
      </c>
      <c r="D9" s="5" t="inlineStr">
        <is>
          <t>Settings &gt; Organization &gt; Warehouses &gt; Warehouses list</t>
        </is>
      </c>
      <c r="E9" s="5" t="inlineStr">
        <is>
          <t>restored</t>
        </is>
      </c>
      <c r="F9" s="5" t="inlineStr">
        <is>
          <t>Attached to the test warehouse QA-1012-WH01 and unlinked again when that warehouse was deleted. 'Set as this client's default warehouse' was never ticked.</t>
        </is>
      </c>
      <c r="G9" s="5" t="inlineStr">
        <is>
          <t>R2</t>
        </is>
      </c>
    </row>
    <row r="10">
      <c r="A10" s="5" t="inlineStr">
        <is>
          <t>D009</t>
        </is>
      </c>
      <c r="B10" s="5" t="inlineStr">
        <is>
          <t>User invitation</t>
        </is>
      </c>
      <c r="C10" s="5" t="inlineStr">
        <is>
          <t>qa-1012-invite@example.com</t>
        </is>
      </c>
      <c r="D10" s="5" t="inlineStr">
        <is>
          <t>Settings &gt; Organization &gt; Users &gt; Users list</t>
        </is>
      </c>
      <c r="E10" s="5" t="inlineStr">
        <is>
          <t>left in system</t>
        </is>
      </c>
      <c r="F10" s="5" t="inlineStr">
        <is>
          <t>Invited as role USER for client THB000, with the user's go-ahead, after confirming Settings &gt; Mail has no active provider (outbound email is logged only). The invitation does not appear anywhere in the UI (BUG-050), so it cannot be revoked from the application - please clear it in the database if it matters. Accept link: http://localhost:5173/invite/8881caf518742688c83dfa1d688cecd03d6c748867028fee</t>
        </is>
      </c>
      <c r="G10" s="5" t="inlineStr">
        <is>
          <t>R2</t>
        </is>
      </c>
    </row>
    <row r="11">
      <c r="A11" s="5" t="inlineStr">
        <is>
          <t>D010</t>
        </is>
      </c>
      <c r="B11" s="5" t="inlineStr">
        <is>
          <t>User</t>
        </is>
      </c>
      <c r="C11" s="5" t="inlineStr">
        <is>
          <t>manoj7000</t>
        </is>
      </c>
      <c r="D11" s="5" t="inlineStr">
        <is>
          <t>Settings &gt; Organization &gt; Users &gt; Users list</t>
        </is>
      </c>
      <c r="E11" s="5" t="inlineStr">
        <is>
          <t>restored</t>
        </is>
      </c>
      <c r="F11" s="5" t="inlineStr">
        <is>
          <t>Client code was changed to NOSUCHCLIENT (refused by the server, no change), then saved again as its original value THB000. Role, status and password were not touched.</t>
        </is>
      </c>
      <c r="G11" s="5" t="inlineStr">
        <is>
          <t>R2</t>
        </is>
      </c>
    </row>
    <row r="12">
      <c r="A12" s="5" t="inlineStr">
        <is>
          <t>D011</t>
        </is>
      </c>
      <c r="B12" s="5" t="inlineStr">
        <is>
          <t>User</t>
        </is>
      </c>
      <c r="C12" s="5" t="inlineStr">
        <is>
          <t>admin</t>
        </is>
      </c>
      <c r="D12" s="5" t="inlineStr">
        <is>
          <t>Settings &gt; Organization &gt; Users &gt; Users list</t>
        </is>
      </c>
      <c r="E12" s="5" t="inlineStr">
        <is>
          <t>restored</t>
        </is>
      </c>
      <c r="F12" s="5" t="inlineStr">
        <is>
          <t>Read only. Its audit trail was opened. Password, role and status were never changed; Deactivate was deliberately not clicked (BUG-051).</t>
        </is>
      </c>
      <c r="G12" s="5" t="inlineStr">
        <is>
          <t>R2</t>
        </is>
      </c>
    </row>
  </sheetData>
  <pageMargins left="0.7" right="0.7" top="0.75" bottom="0.75" header="0.3" footer="0.3"/>
  <pageSetup orientation="landscape" paperSize="9" fitToHeight="0"/>
</worksheet>
</file>

<file path=xl/worksheets/sheet7.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qa-ledger-zlib-b64-v1</t>
        </is>
      </c>
    </row>
    <row r="2">
      <c r="A2" t="inlineStr">
        <is>
          <t>eNrsvQl340Z2NvxXKj3vGGRMUly1ULEnaontVlotabS4bcdzfCASkjANEhwA1OL55r9/d6tCAQQFipRsd5Kck7EaxFJ169atuz73n2/i4a03dt/0Vaum3gwjz028EfzrTbvZ3qy3mvVW+6LZ6ve2+t3tN3CHO53Cr/98M3HHHt72cRYkfnzrT/HHWRTgtdskmfY3NoJw6Aa3YZz0e62tDv7uTe78KJyMvUmC9x3hDWrk3anKmecOk43v/cRTl4c1teFO/Y27lppG4YPvjVQSquTWU//l3rnqyh1+9iaj6q7y7rzoUQ3dKPK9SLnDYTibJMqfqPO944O3Jz+ocTjy8LuRd+1F3mToxfjZ41Cdn51vvDs7UPFsOg3gAw01eJh6Q5i6uvJu3Ts/nEUqceE76joKx+Ybe6eHKvLiaTiJvbhGYwKCOLEK7ydq7MWxe+PFyp2MVOBeeQHcgn8P4XY/TmAAj/D65N6D1wbuRO6Ud8dv/oUjnU1wjP/9zzc+rcJZC8cfJ26UXxb+YRhOaRlOohG8Qn2rjr17FeI/+kCIxIsmbuKHEyAzrhESPlbXYaSGMGug1ccPR+3uJpJ33524I7emLic+UuGDP7kZwcRxgB+9B38Y1nLkflCxF935Qw/+msKSuDfwiKq880aDB3jN6Tn8z/npOSwTk4JeRcMkKgLXwTKOlHsNg7x3o1HckF/TxVJ/3YOptlr1s1an/u+0kGFA03VHY1jmyt7Bx8PjKv5wNfMDog/+I/GA2BH+az9wZyNPVfbD+zD6XKWpf3Qn4d/xtnt/Mgrv8bZWd6v1sN1q49VJmNAn9sPxlc/UU7AqKiW8qoRM7T/tdLrNzU4d/9vaaVbVNJjF6s4N/BHsono4CR6BaP4IJwM0iuP0JW3eDqP5vdbut5v9dge5wTBBexET0P092J5Zbjj3kgRWA/nhJLpxJ/6vPI/KPi07sOUnN/Juwxlx8d5oBDwdq6sw/AyLBssKF8+A0nG1L4vuBR7yjgqvFWzUWxUAOwNvj0Yb3shPkKzMKiMvcf1A3fne/S5uFHrCjGYMewWXPIGtMpmpAN4dvOqqdjcftrtNe1Xf/OtvRKgI9mBmo503m0RDEBmzwNpSRNfZVXrZbLA35kWZy0yMSmbzVS3huMHMszHx7mVVkxmJpSksr+8GerQxzxTXq6Y3XY12MYkk+TOBfSn7sCbbEJd0OIuTcAx/+ONpCFwDT8K2xgtaDPAGrKnvhVvVhvrOm3gR/kkbVv1/6si7ThSIVCT8qK9yO6KPci2BtYsVjFdNPA+4mdYCxaKMeEMGt5GKiLGbRP6DuodNTg96D1409GPgbJZ/IvYs/oe1aa+zNodCBPWVuorCz/BHCFwdwcZUI6B4eFO8PKrCvyrYVROcGp4E5l3A2JE3hLvhrUJu/fZvcUtVy1c3R98L90EdHtA+GpycHcL+gJ+98TR53F2eUJ2lCHWEK5wlEl1So3A4o1PCJgnxw8Y/iTLH4b+ePbEDOB2D0B0B++2H00f10+lRTV1ELvLfaQQ7heaMXAMsNsZJwnl1OLkL8XRJ3KvlZ9/Nzh4OmrmpWxQxc+eDR4RX5bvBhVZANDf80x/9K7OJ53/OUmUUTrzsTpbz7t5PbmmqwCv3sDlg98Yx7ijcOG4QqFZ7W8n5AiyGd+Jkn5hzLztnLW3nJr4HL4/tH8307V9oa6D8tmebeWzxHO1RtnOj3FxylJnz6lslB1Z2vHKRTqGiYW4MradWG+7WasNNj9XsiNPriwd9n312tXFvrzZuWwXI8Yb1y+Kxu3xX3Ty/2uh3Vhs9qSzZYdOlxeOdmSdWGmirudpASanKDpQuLR5oZJ5YbaCtJQe6L0YIHGbnfGKj8rivzR42rfLbsODX+a2orZvMHGDsda3PLjuV9ktMJVaVaeAmqKNVC2eTv2HhhOr6tvVn1llrZueg0U1Rsdp3E63MpNMq+nVuTrHcVB9ar1hrSt31FgvsdtDop3mGsy/PLwz8Wh/rh9Yafe9Fds2RP/YX7Zn0t0UMVg/Sx9eazOaLTOYgCqdgV00WzCfz88IpjTIvWWtWW+vNapaE19d48X2I9s9jflqFv8/Pi29bfzbba83m1B9+nk3x4mAyqofX9QP3MTufRXfMzWjKN64/o2WP8sOMk+rb1L7aUG/Jmlpgytk/z81CW731q/QV68ym3VxxNvt4MMKKzQky63KBILMfWmvcrRXHfea5cThhV+HgAYmZ01oKf5/XXvi2OtxW99LXrDWl9qpLMYvQqzi/FpnrBVs889haQ1/2nD9ih+lXYDiLNQ7jv/DGqHHkh5+5PDf6JPPQWoPvrjP4fXKQqHe+F4zm6J/7qWAJ8I76dfrwWhPprTMRclfMWRv21XmRaj+y1sg31xn5ySyZzhJ14MWJOPHyTpDiG+bmE9J99VH+RWtNbdnjfDBGF81Xai/wIprWR/h3dh76ytzAx/rWtUa6vepI+cKCbVzw49z4YXj+tT8kktdfcGfvrDqjY2tAufnM/fTkbNafROc5J/RNxF/FRXmgUyJQ548xOshzq1Lw69xEPLmpHluvWGsurdXmcnCxr86Htx7+nFOb5n6am8UoGdbjzMNrTWHZU5oJi1Ys/ZGzXc21eYs1vX2tcXaeO05t8AyiCKNOEvItNorm71loGXl4a31sv26teS17Wu8NE//OTx5hWx+FFDDE/+QiA/hDxZ1hpC8Ib4rdIvRz/SV8B53eymPft8L0R3lPSMGPC5fDnfovM5fNlefC0vbAC3yKwM5Np/j3pw+Nkdz9MnPbWnlunyI/8TCPQ/1XOEPZmfOWF/087y/Xd9X/br1krRltrzwjORPf+6CqRo/58Er+t/ndQ7fUb63H15rIzsoTOfMSIGas9oCgj4k/zLuri34usPvorrqbeck6M+o2Xzx+pO7htmikKnujkdpQA5Bf1aeiSRQS3lXz1/+Jnsey+N+2ggNkGvfV4QgeApLXyHGr3lEsn8laM17qGro50SOLf0SfZ9OacYzAc7Px2I0eGzRkynHqY/rO0AtgGufunaeGt+4EE5Eqjv6a+lpJjAYuY2KKU91d/DWKxxpXCw1cxfhioGly6/kR5js1csuFiRWSJzKXWVEfNFu5s13yLSi2nC4KXvrsT+hB7S2ktLPIwxy1N+89V8L7kfePmR95OpcsH5SOac0pyYFG80ZSnWIYIuV5zcdb6QE5JDAgoyhmrdKMJiILJjW9+ZudUkKJKjf0lb89EadFIrTLiMCffz0qFEyGM3o0XegNktiFd6R5G0iSWEUeUkVNgUYm8Y7S3YDfV6VKp4QqZzojTFVOT+qtdqfbq9okSkAFfxnyZBLO7Ey05HEqtIFtMFIuEuKa0gaOZ+MrTAeZMCdd2wH8Cuga1ZXJ0i0hC8qPOiWlvJsBI1NG5hNUOdepQ6WEuRZD2SLMNAqv/cBTI+/anQWJcmA7OUCDv0vS5COzUjblsPL28rs6jJoWC58wsSoHszW9qfXoQiq9kZe8KSNXb2lyiSRUFc7t5NNAZphhLKDciNL4XoyOkYe5FR5nu/CXnZiSsnJDo1m32tUSurTapXTZXIYuSaiOl+GfJFxlW3nIFiJzTaLpByu5dDfDDyiWTdx41d2zteS098Px1J08/v4zX3mm20vO9DyBW5JXmmjh5EB1wE9aqseLL/POkpM/vRWN7BXm3mrWR/4N6GITOgusWVbIaa1uMcfNaTUV3RY7JGSAUu3m1k53swn/x0T7QfV6vXZzG4+4tfmCk1SW2QGgH74SZS7CKJxgjupROAGVGBRcfzZyMU/YcAidpxVKCYdxrHxatlrLMkIIIwbGk9KAV5j0x973qnO0U1ODVlf19t7WVHMTFtme6q/+FJMZVp9te2nphrHER1Dv3Gh4a0/YnSXhEGRf4CXeC02clCQRc2CK5EoJNvSSk1rpUzYknoLhFNUFHv0EbRf4fnwb3segF6ifZ+3WTlvt72F+8lt8xw9wrdm82lKHxxdHK9OvTOU8jcI7nzROnk61TCVfg2wnx0b73lVGv8RHPAW/raVEtkqVyISTvyPvhioELj/UZJ2qL7E9ClQgymjGKomZp64D9+bGZMWGbsypwHRiouTERw/eZfRMUpw4d30fmMFISaKP+ncFpvFnMUqmgTv0bsMAk3uPf9Tq6HaZTgUHahlVS3VNtqBKmSa97dmKBXn9tKUWXl+TmoFmGe2iWYyJ12TtqcMBrO/hKVt96B/A7AmsdxrR/qS/8Xjmgh11+vEQrp1+HHDudBLii1FD/d5301KmhL6lv78ej5ZpqIeTIbw14tDKK9HzYO8U2CqMvQmaclnHwMtrp60y7fRglvigLk1dH7/5UvNGxxsn5Wdnb8+CcveBBKCnGGuvcuYN/SmbSe5jDOxxcHBZfc58y3TUU+1mKJvqqdS4rL5nUo+GvWs0J9sbp6cqh4MqiZIt+PO0ylsI9LgN1Yb/bzVly7Rt19FV+AArB7ZkkPrKQPGDUcYU6lyVZco03bchFtX4N7cZFZ9V0peiYAtLBdtNFVytrZ62y9TTI29yA6fChvrkj+i/7197cm31oHbg/7tYQ8pZJ7KaZv9zOedUalLhR2AEkAl702nwSP8kCoGIWJksZXoseqtdePEts5pNjqtZkoSr7ZaCcxqMtlhmiNZrbvPUgEbDYDbCfRTD/wReHaiCRxHWtcpR2yk9ajtlR227TNMtIP3LkKSAQ2jlY9llXPBo9nXKDxVd2wpSlKnWruMvdJisfEq2O0swxrHwa+B/9khTCtw4eT0W4YLrGCx8mHxrV+Z/48HRgR8XOsE3qYILL1n0Eh7ZLOWRzVIeKVNyD7xh4KKkZ62zgrYPl/NRVWS5z28dpmFbpttsgAmIBtcs0bWESBAagKqg6GnjLavzR6/Ui47JmFTCa1IxnzppOTFvpSmfu4GntamKViLOXTQ2qy+vTLXL9Md3F2dYPjieJk+ZOOvQoGBvZBxhfXV8Mhgcqk6z0dmquNWM2aJvMb71Y5ChqjJDsar2BudVh4rHxVxm1UQrG/RBFDSRh4odBUn9mJ7kWJ02x7kqmTdUr3TL9Uq3XJkCC+NWhxfHT9mQyxJ3Ga31OK1ADicUulLZVb8Hk5o58jmcVaa2cu4zrBzKF6mM9q5fYtIFu8o5PlGaiTazERRmitTJTIM05cP0Q4YfV95qZUqoZFM/vtTGeo7Fcnl+8IypdEr1TyqIRp/WK0rK04N3RlDyImop8NPp0eEhCSgyRls9jaMhFjkuJh4tE3QWwWtWXdJOayk6xP6vngyx+pr0cNEY6z5saqqkqieTx5T3azrB68AivQB1eIwoJ0kI8hCfJ5cSkrcSz25uMFkZWISkW7tZJv/ANimjWplayhU3xD4vTbbn7Ikz72YGoklxXc9z2KJM3VwCCKGPdcVPa5/6LaucsAjLwIrmUgAPzsn3g7Ozw4ODwbF2IV+8PzxX5+8PTz8Oji8cvZ0QkQZriola7ujGY6ALd+QPtWLrRhNCu+EYbCk/tcr5qUyFPcT00wMP7vCNv3zRGXPIOuUwBVPwGUyhulJkL8RFUxf1+NaHs05HNI1xwztyVenTW2be5x8uX2m+S+8lOkifM7HNZSb2/pwCUZxCE4ayRfU80ysvMNOCDbTZau60KPioVYmFYWoaOg1HWeKUXwDGX4h7J0qs5/XeaJXujdLMjs7WMqQ8ifwb/zfcFpfn81sh8FfPgupsLzPLv2ZDtfMOsJedZBvnhtYIzozBzFrqa/h/uBxPA0wIhx8Q5mxNb2BnZ5nZY0RR2/Cg7VV/U1KQAb/uPLvNZeb5KVGV4Oo3nV6z0XsJr263tcz89sboOCr1urzKAgILF/liYGOpB4vBViZAexkCnH6++VOZOviysh6+qP4EGxfn3yaXHZiN51OkOyx6FCI4HTsPtclBO5tBqPyJOFgDdO25EvQgp6bBE7sm7CR2H5SmrTVL09a6y7g7fakBekK/fFEikkvcFWGIbk2XvZpJONXnXanLu1Xq8u52yyM9XtxfvHq/GTni2L8RFZy5hX3g8IcwGuH2UVh/iBo533odYjRX8ehMqmO3lHDdUsKVKZMG7E5z7dPUekcDXSnNcyZkMf45idfr3VKxsoQJNbIrHjx2RuORG7n3qtdsS1qEUKnUW94q9ZZ3l0kITSEC1dSdeJmYilSp5dNB0kdW3FqcImhgDOGPiGANtVFpgaWCABty2SPZbPiuazeIwRLMJCCfRn4YYfWDH8eoM7Ds6XI+crsO0gwZETVwR6G2qO/Y4QQ9lHLOJETHgq/drzJOByMa+o2tbZ3Qd+UHAaazcOBDft0plYa04eXT5k+OmcsrShe1TEfOgju+CN8XhVBTN9WNfJAMq1bHrBzn8qRrh+4rV5jcgONxFhTjaYrms8p53C6sO2lnCHNBHpq36G3HxOsNdeYNPaySK/XXzHtAViGZ+TKyt/62JMXRveaaOC0wU0VSCTXOCRJ3pMhXUZVEKDgbKAWBlJtYsgHnXWGl5ln7afOsXVjUkqVwWWL5y9BRjLFd4SqJfmQotDIPdUpmuB9OEneY/IaTXEtPbxcWl7Tz6hUVIrS+7JXrla1cSe7zH3+GmyUzpATP15/iybHl/NlVTwWf6M+1GXirZN6Y512a5f3HX97tUtHDCd4VEfjeqDyb4WVmbT6Yzc42mQ0WQMzKs98pW+Syqo4//AIXVGnk9BNGha4skZS9wmRfx//dLqzHyM6LIK4rlx++nBmV6Tn7WRTwFK+qJBdApSh1z2VMErNXgTv5vMs6ICcbORrrYhh4LliY2oKqaCVcB0/5y2BsVZ2VGbhMObqMPUGF9+MlDe8Dxl2/XtkOcamtB5vgJhSooen1GHbnTBU2QPxkJVp0Co2NzpxpTWisklzgXmX4g/+5fhlzGhllKH+cOTWpaG3X5I8dOoWlc8XK822XzLcYz339OS+zyU9Bf6VVxtxDhvB/ztQ6JVPjFZxyQW/pkfs2HD2uVi88IR9RuoLZhYO7ZWFVHIT32oGxRVJVBteYAsMJJIfqNTtWvApL+cVLUZ4UtpX6I57OD+sU2hdZ8umeAJS68qQweEGWGEzcq0A3naHZ76qRHshck4FlOaW37FQbv06DL3yum6Ubnvs7/K7TXHl2WyWzo54VoObyfxFL6Teb57E9J1WJQQhg+CXBkcCBUn3ONLdLpsk9OY7KHYUvKq3xmyuv3E7ZwavpBcOo86F45U4mWaiVAsf2UnK7KFdTtyD7edZutrrqYnB+oY723g6O1Mnx0Y+OfF3c16scv91CdaObmTU5UA+orUncyAKWlJ5Y9rOrVdMYNJSxmwzZr2sQVQRQZdWJt58zcRnmq0+41VPfDY4HZ3sXA+7i0+qowdnZyVmNKYB63/2thAx58LT+a9Ch8xw6SFxlf6nY+7rU6GCOiEchYiTFzpZK7sO0DCZmkqw88W7JxHVHA5kBYQuA4I6l2lnq7+EvkDrBj5NScuTet1Ie3R5Wc28oAw/w3dsUIeDjD1TNvMFQAbsyLPWjVYy6Mq16z6NVQ2p9fwuamALlw+OLwdnx3sXhyfHe0S+D/ZPjk48/qkprs1pTh6e5n0/PDk/ODi/g93a3apc1b/ZUpdOGS2l1c3NbVTb5Cvmzm1tyi6l11m/7BQEF4JMt+BGrn9Xgh9Ozwfm5XN+qrrwAm89cgPkqztei/5RtJNqikxmYav7QIFkZTDR4pxvElAYG+9cx9W9wY9ve0ZV/zNCoYAthqzRQvfWmjG5bJXSjP/QO53nijo6/M/b8hlGQljz17FeufwiwO8EaD3m+zZgktLlrDgp6IJwlK3Pa9jMo1qB/vPMD79RNbl+WMgWW7JUbe5tdyshHDgPBx94X24RFrAaMBkslhKCXY27JZ8uyXZU4OyXEIQxezU63bszwvRuKrn9MdcMnyWS/ZCUG0qwgmwo9do92R0XdZhaumewjjJ2voUlsFqqSm7kCffjkLen7qpL4SeDV0MOv09Fr6grJMYyAo2vqFuRDgDICWJ5afWKiVnlcYnWHFw1IOYL26UgvUjO6NEsEM7XSkSrH6pSqH8bbdIc5eyI+e/3TbqYwsaXI3S4gd7uE3GfeNYjm2xcxv4ochCDL7TaHAmUKB2oT29iS59jnRJ6byCdAlsi9n9gJGmNPtRX2MFyZBp0SGpwTZhHF8GqEblgjNc6mSQprpGnyHQ43CcPgyl0pc8t7cIccN5TmyORI4x6XKoAtFg1BkCln/DkgTsFxKefiNozC2c0tsNaILpO+6fzkeQGwooP1vUiqKtfluVg1vwGngB9Q+Two5uirjvzxmBpQX4cRUNibjAQPYxKKCeX8+uuvjqp/iyWiSq9Zal1xr5IEsSew4USDRhJPPfK/Dm9dOHbwOsi2ySjwRkDUkIUb3jfAGBfIXI/auZKxAk+Mr2dMIQwk+ORHpPoznfTHJacj7wqMiiEiZ1DmGtAce/8iHzEmFKK34I1/pp35i0Iau6BI+MEIwxY6CbCdSxxljGufG8zyWuOw7299mDHNWwZiI/04C/im0Wg4jYIEl2wqahGjdksY9R3T++nNui5jkr2ChUiuz3lBmFaTuYC5DOYCxnpirw5/Yb194t9xZtA5a0l7QbBB2M/exuHEpT/oDXLEvIe1Aa16g87hDYLnrJke4/jsJ5ADG8CDqZIoPIdZ1Vc+8ABJir3jA7uICpsEKv6a5lEWtrBgyFiUXAzGDvLIrQ/yG0FovIDqaQ+QsYZBGEvX9M8eghJbbxnEQ/07cYTOWkS6bWRJk2CXe2V4McOHJNg4OAY/FHLlc2Rcr4R19sNgNsbVwhNqAyetvlag1FdfkJkK5D+sBIh3ITKiOuEo+EWcdMdxxCyqNP2yqy9GGEJI4l3rNyVhNxKZeFyGnAfCa0USij4Ey/aAwbZbRJQF4oQBy0EYzb20WgvcR9CD4clpIq7dKSogjD7MWXGYwy63GaEkcU2Twz4U8g7dCchVnO8IK215WTs1q5apNA+uUyomNkvW+oB24uPrrux+OIbjI0GnOEjIz0ATPHhUAtRgVYHwTocpzRjwWUCxOe2QMdRGKzP9VgkhpGq+sn/+PboI9bGFsaoM36c4FS8lREmroaM1LtJ/NviLjWF8x6oQqYzWycpnEJ5IBpGBzn3Yv/TLNxfv384/hJOde0QOdtkR/gQBGhhBAMPk1PU9DkW/D4PEn4Lh7dz5sY8rK3zt4L2jcHaVwDEtbN3hZGSkLQo8T7zqdg9zjsRz3+nMIptIFZzcYz+xEPewYa4JoN/DSWspwsAKu5zYj/uZRTZK+4DjTFe4bd0RTUePCL4/m4D88K99b1RwKHe2S3fbdgmTYX3IPKb8y2+4NNa+XUekfN1WAE6YwhYC+Pgtq4Cgxg0+qf2jw8HxhapjrTZC60UokBkZmjUvwl0b4pkF6+FNCHkK/1NhtPJ2ff+o2WKYMhDAlPAhtgrpZ6vu4p0yEwXlylQkc1mu9LpURqi1dq+mevDfVrOpMesRA8H/1fuGvuWcw6GFZG2jVGk7wGLcCGFlSVaQnJWzijHCHpLb6RjrB+iQYth8+APogZ1XwozbCe2p+tRg3b0UgcxI8Os0lpEfc2gUXciC0WXWygxNOS0K02Tzfz4i+ukNbN3kHqMU+FRMECqZAF2fOkkAubUp4j34guBJNuIYD51YqEIAErDvW83Gc1agzC9hFv0HnMaPeigOq5ulLgck+2rxvQyvmc9m+JApqzcznBFwEdEYqqLSpNareaSJjzTTWZAare2/ldm4zNtwjicUSPr9XLos8WpccAavVi02hG2CXhl1BQamug+jz6oCByZWoF/7EdZ/3AKz4R1s+8pJ6oM0pYO7j5QAEyW8p+I70NtAxSO7yNWPaN2utE6qvVl2wrQ6S1ItX9+wOtUKGI2sPDO9Pjolasp2NxhTMKVbP3NDDZ9ZmXW6SxLhxFiCr0IG5g9W3+yJdjrdzS3tMumKpe6BmiEsY5MOftZ38mMVCXnUGJ4OhGZNg/TVTFFHTWNom+48mLsutix8Rixqdo3CJXg7eSu0Eq5xepB3WRMcLpkQXbQcZfYkHSPa6sFPUzEz2Jf75A1BRtkYUveh8unVZFGr+VV9iQVNx6MqJOTIY3YFSqqb3Fbnh8fVTeKAZG+v4ItTgUPs1CxMNH8a850uhoUinbAt1qGeF1eecQymptcxCW/wnPyav0dKunefduoQcrLPjYL5eCpKfjiDZGBcB6d1H7kwDMw+RZXf0yWyEuIhLzQFgSgvIiS90BurkRvfSpo5dSjS7Un0QTDMLdLKnFRmrWbpUSFvEQfPDzxX/4MHl03hpgdegkWs77jx55jPCPboxVb/FAZPoeZEtCAe1oHe49Fw5aVKUKWVJ13NnLN1oDb6I2DAsDRUg9pK/wWaPHDi7VhPVPwfgefeZcexZ/xo1sjJqaV9bEY1EuKy+wqvoE8EjVI/YUrV5QXIIKA0kWfYx/dpPpiCITfVaOlotIJ1aNsD7DW9V3v7F4ffD9gVbEeRCGYf7qE2e6yOZL6a4asLE2WiZsY8a6xPlqDrPaI/yZeew4Nb5SYGx48W9IVfbNXhk+7Q1FCuBi3lzH1UdwkCa+0YxIL+l1RmUk8kFmbMEdJzjKLs4mFhpB+Eh7V4CS/+wN5LIx9il1TwCqz16cn5hRTo48DIV0b+OXeS1liNtRPUv5mEVKyCS3sDaoA5C2EzsJeTnfIjN9EwPe3S6vt2t1Rf2l5+NbFz3cst4EKrfFGvPm0fk7M3Y7bXdIzTGRwcXoht7mh3IpfdyhmAJ72JK8pC0uLPJnwfZqDELLqcI4/68jFb4A9h9BcHuAgEwaPlH6VHaorvTpfr1huvLOd3ll+VA083A3m1dYm8a0RYLzjbJN4tCpo7eRTotj71GsNtdOvGpMNNRdWnJypxtUE9nHDocEndhT7J2LF+1QhnBfezDCw8VPnbffni3AlTk+OF5ScsiiB2xYg86FygN23oTsTXNcNGN14DAeTsk9KfAJe5I+Vfq8dwBqfLhECTceklMxKrm3iMwkyW29z4sXiJyD/nTuAamN9A/fCOYiXmeKHuhdfAsSLfEbSd7NSSTd7ZKtvk7TKPyAUpvfcC2R6l3IJOwOEtq8SJanVRLmbQy9mX/yKWpnk/UePnWbvtmdgDO2I5cyKiPCYPFUuRg6VVEO3eUyTqNotSKRj0yZDoEzsIWdDUqL2m6Ky4fs45/ptwmredYhfSBI6GG1ejAK6fDbDNn3/B3qTs00gnApLuP3BXfYtOuRGrPBoHxo7j4jh4cEgOMptcdUOZshSwIgeB7lpUU86/OXzJVTLnEZOT/MugUfkxBYxdatFId3KEww3qQOs6H56V/DSq6RBQyNPhSYwLx4ane67u6kME7IP6MNNRNnCttqko4PnAVxh1C1jOu1HgU9dIOUjuEJlmFRlPHNcu4ThpeEtZDRVNKSzSRvwTWFBuS1aDVaKQ6K6aTaec6FBP4U/g6sT/xwwnPh7PxLglxZF9008XcgpnrXZm8ID77NdkwFej2HMU0RRzpikaNnBLmM4IrT7Wfyr/cFlfHgagL9e/VRl/OudOUGYGOXRnk2EyMxDP3CbEOUH/5xwZnTpnIDm/OLS4IIgxN4t0OX5llQU9FsFPtFY4CSf1I9S99Qv1d1JV5d595E4jUxw/iLle08rroEyM2TRAgeFZg7RXX45SHwPt6BB9pMZPMZmvDSdtXZBPHghAJow/B/gsEU/UUfGokot5wu5fPJn1sWnShQgsB9TpIr5pOCvzfWc5vidz3PD9b8CnDvk1/NhIJV7udN3avV5u4Vxyz19hZqiXxNbqcZoHqxeSwSCi0uTz/AfqPd/yN7gxiM2tmd4lFng07KApnLncbYwWta93gDpx3oKsn6iv1Dke3T+/+ccMlmf08xsMvvxZ/akFZ/vPP6tdVa9LHPP9xccjHAbn3PHcUdLTxx5B9EbckGIilGEXRwU1lZo5CuX0qK7MEN0ShqCEotdaf3200OHnXg0daxU5u8plOQ/SCvOaTK9XpMl/jkK4OBHB4Lj/eWUepwwVj/ua/MPF9flP74GaKTSG2DI2s75oeTzJa6uStldC2nIohhck7b8tpu30lronaFnM8ramvobTraYq1ZpqUNRKE7pStV9Fk6BGAjGSLvBQU9wSwc5PfN1Slc3WZhVbdSKyczPTy2GRaF6V6pslVD+QhBfMX10Sen+ddXDqeEx5Cg44Qq27PD+oqcHlGRaznIKKuAf/3LuE/zk8hmv/dfojXDv+EctbjuGHAWWDwU0q4w4hnq1pNLAbFHB0yKINvzLhtpYn3CcuZwDtJvktaXf0tqY+fFdTJz8B9fDeD98V0GVlAmwvT4AD3ZTnN6fB4TF2cQT++Eic8fElCbCzPAEYO5pDxtFvuoHgrOWvIlpF5fIc9xBuF9xQNXUwqKl3ZzUmE+6gS9xUuJPgrPyOvdF7ZTS70A4BVPok9Q5z56g4syb6s50Hb8bD5Rhkqs0IEBZeUkdnL3o4cU4cvtBlCPch7F4gd0E+T3ezzGqeT7VYvFwXwK+/kpQ/3Dve00lZ4llF3ZfdVtUSLPVll7HAw3ANw6wTYqR8nMI8NBp2HunoU4q3p3OlnYR7IoOybWyVqjGC9ygg6W6YxsnYuIGCAJTWHchy6N6oJjNccF+OQ7CThTj6lT+/+RAGn39+k8YAMlSyXnuFqYJe5MTUsvBXOc9dMZcYd5uWW79aJ4pjFhpslCknm1wFs8i4oqY6L4Ufhzsxp7OmIpcUVXgdZmaSS1t3vo1mV1c+1z6EbF/duMNHISzaU9K3sa9wYujExo99ePTvKIhiRiUundJKtPZWKXOWuXTeMi4A2acG1zabhcPGv3FTMDpQavtXXwuSs2gUZFAmHqYULhxQTfOwpB8SA5sSZlhH6TNFoCA4fY0wkoTZhSeHDPoydbDTY/FiHvTjTK4S3d+aE2ERty+j6dhP+DFnIYlZdMsBVx4z5Rz6ia4g0NmT2CYQRvR4FaK3BpMawxnsIcxxbDzjhGmVuV2ME80KJlLja94eWv8n+LBl2kvjq9YxTDkTLI1ng8JL3SS1oksp9tkgqQPL8Qgku0GBIeTXYkSmwr5xMCUT6jGWRlF3Vef0qD7YO78wR5R+1J66CCBYPwMdl5KrwvUbcQJETriOo8ZV3DUs4q7pM7vGej97bViQIIUpcouSAkNoc9m+tr9nIx33qhpHq8wd8TX2w7Enl06YHIclMmAtHkjTVMmT5GRG4lDuPddMoAS2tIFPKVmoygOFRJ+TrirGp1Zb5BLkDA/Qce8R7KJyqplkQ1Jz4QYNNCrSRvOfvU/U95gp/CiSFVQhdlEjF2ycUd/ymkK4R6xyorQSA4p4eH5Sx2JvsutqVoReQixSMCKhEyukL5+H16BoKNCoiFZyUmrRKUee2UIys8zoScAyGArup/Nmc8ui8a6+eUjBG0MOS5DdwrdMJvaMj+ubsO6iD+VZ0qvMV8J+fz2LPvZvJOdpKtU2aPZyg827xHfSnNYEDul1qyhbztyXHYoGcHa6SeqJJYXSOZODCLcYJVuYActQWRPiGhiuabvz3MDSdPXKsUBDxgRGr+t1Dbgx8S1mQnBN6c0NFbBwLsWElgdu4PidSRJixJN0/ubI5WqLvtpLMDceuHmDajQmxOMo9/R4MpxfUz+h/NtPbRZ5XQKLTvod6+V+xPJyBN958MezsbLH8tPhqeLKAyWuX/SCpHuJCgInTmJVGV6eyxPiw1bwjq+7VgSU1UV4I4bMRQnbNlURNHginmh0BMTAnmKwIEY+KXdU9T3G+LlUNXQs0T4MowiOEzj0rSZ4S/oNROVLsdU7nVLtr8z1NZcXSDWzeo9KbKjC0n9PJx9Z/euiJzPsdNxtla0DP954IythMWJbkBVtB5Ez6uqve+TzPRi827s8ugD2Euiiuh764YHSoZLEazQa8EvsATkSKaiSpBfQ5B9Qt+KAtN0SHT/Zx4rCGpf2M/oG2LfvjzQwxy6ohXc+GD1U8a+HsKFOz04OLvcR+IOqyqxtKJOSBD6wGgIPM/GA7EPLpw1GNUxyE3hxCqYG53vGMgy1Y0I2OBJs1xeqHYEGcZFTx9OYfKwoZ5FbGVbPcq6DYuKT3WOO8tyw7M22b8iJfCv/EkqmUTk6o/kiatlu/FkHiLDizmZ3fGe24YGuf+srgzQ5nUVTzCuiTwoOKFXz4glY41Rs273KtoHNNjgMXX5iIjqaq+fS6tiOky4WaALzluXbteEh9mr6IrJE3GAuvZG3kiRPUOmMLxl/VLhMSbtsDKDnQUubnaopU0yTKEYRqCZanDThDtyOWKKIbg14+hEO85nJCWETkkWzfqgcLD/t3sDtReW5UglT5uaViDvoY7iudz6YvIEPrFUZnJ2ynK5/m6rgwKx31DmDtHu8sWajMat4CCIyI3N0/piWOfK9VRRNHBH1G8BR0tCMmjjKxF63mxxz3bbK7Ex3D5qAcVvRgEfasjQcgxtBN49WFbICcbPL07H2E3C7j69T+mhOrWi+rzp5K8ak19a4kkzzCe0MyX8EgbMrShmaF6LQza7g2AJVlwyOQksDiVIfu9N4I+bFrOb2HWbNWBtENwhkwUBzW9lE2Vqe0WQNWKM+sNhHTC4akzRGR1TX+AlY1zX46TqcRfT6vub9WvnYanpglFWNtWKYPIbqhGislmqXJgJZery+1XsAlpB3U3c/rKG3vt5XxO98pR6AhA7MfsxxM6dvzQ2V36BpiucJkB+eJtMFn5GZ8H2C4YYdMfEm+Y2gbhNhc2TXud2uKu7oDiXiCHgd2bSIlPaKGsIB6YUZDU0oa4aUypX5cLuUDzElp6+Qn2AzgfzA42NDvYMNCvbc9+hMrJmQFyw3Q93WuBp9TE8/LeD0Hc9upCZjQURyzofHMVEhZJx2QQplwREjVIMEs/vl/7V72H0O4ZDoBbuq1W70/qxufLQ9/197u9HqYIcureJSAq8IMWtydK7G2fzvj+kvrH7aYoe19YmHiWOSiY4ZJxr1y0pqpUwDd4Y7QpxqVvP4DndPCtzoxrMfYpPAqAiHk5EP+iCpVwqTkKepR7bTswQeJ2tRhTJLa204cFyC9A581ORs1pVDZKAiZrlGlQG5CkamxVA4xGhGKMkvzw8QAHnCGWGWNqN1cvMUfGJ/76CoQLmdHu9p96ZOaXJgqywqtTDlHE443NnyrydP76WbKhcFqKyPSBYTXuH6K3NdtEah3uI0+bT7skVlzMCMvHpBSryqOKf2L0ap5icbTlXquyijtK9V6K9seRdjpg/6hLisQgRrNc3uS3sJ1BQ2V/CtONCcWyijDRbH1niOWVcQLCbWAQGvnTdbO7Y/bY5WuzJB1NGvvFsXneYR0kjS7p/j02mXBdEkwUZVzlgifaVi0le4evwdJUyWOCHTBM9nd9HgFni8etoMJQKfDfYOfkSYkQ+Hp6eDA669YuEGQgSLBQgDTvORiB22hIpLsQjjnGrEQcKQ6GS9jO2YbHJ3xmcnqqHWt8aiD/ncBvcmZJcHYi4EXp3LKlKtj4ElJCPOK3Q60/PkIpVnGKzmBhcfLE0YGk1XCzbxIZDPHotzbeY7tLJRU8+uXmItWvm0rvOo3moPFS91WsPwLC4ri4YN9Kj6yipwIanNBfmwRx0dflVfK9P7jwbpVF8E9azg6E4bIjzxdVb5ECaIeCozam5iaU5ifVl7P5jUWfceZ8JJHpcwlflBcFZWrR/ZzZWPjIsrR3KvR9AvenMuYCf2TeSSLuxirmlJtUBpUL9dFiHD4VJM0Z634RH2p2K9d40CFFduVNNBanK2Vsuz4j8RVgnHV1ZCFsS4uBkHe1GYmHQGArUQDa5oedSFpaGg+ZGbX0MWi48/rPxCfnsMZ84dFwJ5o784gtk1VyOE1/nxolWU9M4sDwQ2rfWRJii5GvZNygpXVevbZRGwDxJ07YNA9QlS7zoczmI8iK+4CqemKJ3PXlhKaX2pBBzzIRTbRgpch5iizfS98+MZDIxu6mdQ5ChtUyKNNaMk1gQPF/O/JY8Ky8gxo6hmsjFqknRRMxFUzlr00SSgRBIWCmYh4vR0oCPMXpETKQJMI4c6dEXUxJm9PYED1c6xYLmDShx9iAJKVhCc8H2QSZGNgET+806EsljS2xRyE3lT72H8Ehdzi6GR7tOFi7+e+LewP63ezaAR8tcnI3S9EK4E3hinAKFkNRcC+tCMnqg05Lov+AQwkV41kQq6IZHoKFYOjk0aGMUYrBKfvGpYRZU4aQsXAnQpkdM7pVVdZSgrF1j8ywqZwM8iZN1sOKSo1B23VSbGR2cHDJ+8s1nkgLmVPBU3w3PXkeuBHEQEdLgsORbgI9KXUMjWVFo6TlCwVDVHDYQJbJBRrcZgaNx5ElgxHmV+ITvbcfuSV1gs162qZNG7DI6azpz6n88isYYpoR1ruUCjY0F7T/VBEVgFjn7Zpu7VKpXUWKgXUcEJDOP9xQV7dhGpy5Oec+QKpUVaq45vqxDvd+s18X5X3caLsX7ToLljFCsb8tdBF1edLEgSvWQa1lkGguIO72Xh2zk9wnTI2RTxQYmUxfDA1vfwrvSfrwMSvFUIErz1e4IEpxkyRTjBOG0O1sQL4IJXBgveKgQL3lofLPhiDSRBNLqczjQozuPUmU8pRDA6DSMXbpdbUpTgXzVKsPVLDvI3Te+0FqEE+PdpyF6sTfMFCpUDM66BQVVcrROGC2B5n7Nu3ZJ1E+xcVaEUIQ3DknVv0S2rrFtRn1r8TF/tTR7RX0N+GJ2VJDAgOjeJ/5mC5vYR+VYQLzxEfONsIvjDhtDNvSxV23E3zSfJ1TIfk3WeSOatgQ0RUF3xluQ+kT5j5GAGcLe9EGsXLZiF0LmrLnivZMHnEW9rSlBnMdt5ggXHKbRrNdufCYTpy7CBhkhKYYgsICRhxT3JHjTYQBkUWTNqMexh6MIuxdC0FgBRPOdDjBnLeTwNJ4Row7drFHoUq7tqMZ5tfrt2qo3nrNhmyYoJbi1iSDF07IayUGZfa4XmgWwFKEmD2dZUHsrWmLpcH0ntJuGMiim0y5nP9tqszOJbJQRbFt92/rBe40ByBX4VnevhaDb0dIGAaORDQtam2EqfuQtGhwBAM5AOWm8x+JXXHh5F4oF3CSqmry7PjmpAx8D/7GX4k1FzBZadMxcXA+sKWLj3fHTai0x6mHzUxzpIJJJoeFferT+xSqZ11uVkZBLZ6+L+Zy+x4M0+a8dslzAARkyMgvgyK/5kSu/ibF56xPJ5W6hWTKUJx91AuWBxZ2KGn943W+gNyEJRuur8s2+MVbR+rTfOg88KDLwIUtVcecvtlKnCzwGjvXhhHNrIq+uWB2nFO5AGIU+NOKKwAqYQMDiFINMK9s2EIeBWpE4BTO3WujC1L8qpLwtOe0rguUuC07bqbVtnfmGE2q1ChNqtJxFq7y3DdQ6kds5OXoPqeRxaS0CkULQFwMmZEVamwQzMlmoRSq193/pAtVuFQLVbC4FqkZlRwm+wvvZaIJUWtqzuKqShZhHO8+3jN2gKVg0MK2PbIkSJ/t0kjkoVhFwm80OQRkXxNILSAhYtBhT1KH1Dd1rJ0Juy5Qk1l+OTdW4CXwfOqgt4rgkzFyiaKYLus3ZBmX2+BDCp+lppaNKnFfHXBiRNk1xR7RWHHxZMMjppDpNUV7ew0WVqXKrWckrKdxZSkxzhGmQUv5a9nT2GlCPZkqIaLmfKZMNoSaZTBgUtRsI65HnIhvTyqDMnI0zTTLFENKgRlVxgdLgIMMRkJ6280cvcAkuhjxr58xIApEUokBPPQA7rj8YpEms4ufZ1zwZOJ0qhH2NTeyb7qdsxSU+4VhyzezlcUK5DwSI+J6PACQqoLx96AmtHCrU7ZZ7jVq9cFdOAgqJSWqkPiwzFVZcoMQk4ksFLVrIsgS7CZtcgtX/GEKtuVWSsRSkD4tZVXAqEnl+WjiaG65j2MtZJSvnBPEuThmf2cV6Vbpk8JrPguT1/g+E/zkssgAbN5yNpFmN4SoJzqhu2M3yozw+uG7AYk8Ihpmpn5GX5tTTZvdsqZZXN5Vkljwi6EoOU1z1adY46RkPZKqkVYy+aoxtIsVNbo13RIixGsyoFC3WV1v5ZQM9ncn4qHA5wxgi9tashZtGKbC2/IvNooC+1JtamTaE2s5YpQ2secu0J+0+w3EuzrrWZwJyHxx8N4jP6JyafvUVQmve2WS5omgUImmmqon6fqixA1mTtOrtbLlMniUktpU/xtGssV1DgpAF/91Hqhzg7PA8o+pxVXsY/saFyjE+7op/xiC4s230q+/RU+x1W0rZ19lStqGykthbiHrZhfyDLPd3K9tY1Knw6Bnyg3evVBOMpVvO6k4a5ksCCoVWFmdXVgAOTR42WbsgIxlXEmgzcIMoGF0WfpqU8kgqbVrquvPd31uAKUxGblkgUoOWsxgoFx/oR+klamXpXRJN9qtabahcIvksYIE3EozxSBPIUcEPMEsBcPcTj50wq/Fw7UwanX5vNG+faEPS/G3S1HI4fMJzU04amUphLEzFNNDMRvCMzldjA+9f9CaOZ6VRXzPSSg7lZejA3yw7mdnMNVigub3/ad7QyI+TgAMRX+W5wMPiBG7/jgugGlZ4om6bFWyYB1+R5bkjWhreh3256vVkNFnxqVTkDRuJqfFjuOrEVN3OI4cOoUZpCxQCPAyr3kA/VreQQoDSlmrncFFq8hjHVGnAoB4wrBFRhj5hU2hiDge9MS8Is6P3jk4tfzi9PT0/OsOG4eL8zmLnCNrkY7tnMCs8LjABmvvpDLNgQPAHaKYwKAhOncD9TpwjiqV3Kda01uE6CrRpZoCZZmPBfkt3So/IluLDgZJKPF4AOGBLahWKONrdszyOlBXG8jsIcplgIVjcMZvggayw8n5QAgq1qcP7tjGKxcHRLcJMVlstB1lqNWIgfGbmHVH7sdV5X73yGyrZTWUwpA7cjpuTRjFKVDxkXFUvkU6VTXZefXvUwa5d5Cgsy1tZPRitysuaI6Sjd3A/3jiUCMEhbm0vJXJAhNhNBYCmQnFWczR3jXU6tcSVtDT/K2kxNrIWaaM012+/E2miNwxdWXmJGOy7PTFsyKe2ptdwuzEXbXpiLppu9KN0I9jUSRefS3SRrNc0djXTNKP6gIWyuwpDQrAoSwrTpZGwIzi/EScT9TJZV5A39KZvuOrW712xqKV7ap6P7dJ+O7cK0su1XSytblIbLUdk0cJZNTuJDjyNq1ySiGN6DBAxSgwUa5i9hgiaGHUQCSvGgBhhemSU7JTQ615iDmIEbJTqDOAPpm4et+unw1CSPSyp54t5UXyZF7SptKpOjddqBnVswiMjmtIAaBvXr3gT3M/uRiOAEEalb3XIuHzfLCuucdbaoBpiSWfjJ+S67KWv/5R/fII4IZwykbN6umaOKQhFp2ptgeplSHR7Fz2/EPYLohurTrSfC1YxBmtFiq0G7R8ffZ6MbA4Yn2wZnSuCYjefwSbeET/Z1gSo5dCsDOp1Fom8YN371pSLWi7mAhI4O9dvDcGoaFB5Jz+0YrRyaGGsoebzz3INMMSRMES86DucYQWb9JCOkj38jw5hjigZDTwkAoBtbC/ysteqVrBWhZcyDWb1mzoZ8ztGFsquKq82SqWWibxV27uwZUCndau8tVa2iqYsFOTeMlxZOXiDetpgv5VhPIS+eO7gMzUBS4JuwkIXO1yvUj0zcqoY1lq6GBaMdQYYNHzHmhH0WU22VHaZWB5wKlWtuiPZVXdu1WkjV55BDGozbXXryfbvtkMAzSbO9xH4Tc88GXHsVh1LKPX2sDHAjMuc9WxyjIT6jKIsRiTVLHhajtrEpo5HTmHeLQduKAQoNeD0qDOiilAtcFmS/R4JGMXoKqzorGe3eaYTNmoeexlFIvZeM8VDsjyL/xhTsffam+1yMJNCt6VBtVxhtGMaEbiO6vcaJrsEGitQ4pA4PYte02jnzRerUhJPYfIFtrBBJmQvgGOrxzIt9cZUYriA3hsAJZm3PYotTtwLQz1v4VYzLQ9ULV5SdS9X4kv8uh5pU8uixlraE6vZKVe6dkq0wSNUpC9yK1aunbJx1wqaWCqeL3QoUrUcvwcIYo5cZDZAfXFI3I6JhYoyJg1nYG5SYql1trH1KeeIVIiRMDAwU5oURBvHMj9mxzump2jtCkOCldlLJWhUk022/vmdhwRpxxSZaidr7d49JPyNt7huY8Sklw0YeJccOBbcbuNtzjW1C8U/N2xz3EEvPlBDosDLaUPwKqfG7nnE8k7YSFsGzG4yGKG+Ur0QejZYD7VJV6ydL7KWnlmWn0Emw86STwLLeX9NNoJxLEBvYfvgqW+NaWBOXOg60im0Nk+CQI0SyJkg/RPO7A2qi2xUJZjSUnVKB9HTB506hD2Dntywtsw1/2zBwR2N/soHu6BRO150x/gc2CiIZ0k4NlFzB2crM1Skhh5j7GgbS2O+TXOv3Fy0x07Vk4cR8GBSGsTsJ/+5wHSr6e3kg8/264NaPl0cXh+fvD08bRyf7e0dOdUHLAKK3yHiHdcZ4QQkZgx5gIZ9IGHbSII9+9h5BYwGBLW5Fk33D3dhJ0ZaC53RJNU+XgvR3t0p5ulvG04gEoS1xrOWKwoAKueCAq75izrj9qb2Dj4fH8N/L88EZ/OdicLx3TEWC/AOvCUWm2Z0E20ER/gXfmSsQs+pcio1z/Ow39OqVt0avhKoSG+ExW4raU1jQaxBTJ2uxU4HDLJgT8E0SzTyjZogEAWHLwzOmjlYlTAJ+FgmaU2UlpBHBhsPCw1Upt1lCucPJHZwJNNbfwt9gfW4tf8NOodW7s1y276WRoAMWXLgpdRGkzpB9QcdDAUkujSwdh5OQskPSZhc/nlxKIq+YL7F/M/FGdSwVx81YzQxcJwDrdA6sWKgDb8FH6TFs84NPIhJw1eT/6r4awHO1TAKv1Vc5b5Zz3RPqXLil+3p0LDXwxj36pJW3lDbIpGw1vpP6PlJyehjd1O/B0nKsEUhRFvyhDQJ+qsJ+hqqTKxagYrw6F0+0nJWZabtUbms6qG/Vex9PIjjd+AzB3OagpKhuvdRBZy/9EB1g/6EP428dziTxyeust3F6rLL0TtsfS80ZH4J+zP1GOKAaaITmH/iEjW/BOPWzqT6HOmiE7hx38sjKOpjs1CYXIbk99mX32o3nkH/nOeTPsNnrkF0yA50sRyPVSPXZajabphgt7cOU6XJaITgcdRW4k89cwwZiveoQ7CB2G8kAWUt1pgFAddMmwWAgoc9ZcjYZZg3sGpOzx9VEfjzfbBV/vUbkTliYi9QLgq2/0WdCPheWEgZhn17WMDaZnTso+ghvVcx1wmiYZZQzb82daxyz5+pzwiPSoP4cD8lknFIQua4uOcM0JXVRxL/Y62IlkqRf4wmwF41qtESTHBX09wESwiM6kscZoE9QA02uWSIQySy1uMOZ4QnKE8GVcM1DDbWnc4nuydPpBqAZxAgCJLGy0ICeMuRlAOdDQ1kdiDieJs42bGYlOmyvXX3OvivwMzyx7+i04WTAMk11DYd8KHYoaqda5azJIVNBaLBQ3NYC15k/heaxMTXnSuTJfrGAi2Zf7jTUPjKwtDzTa6Rdoi55I9DX4DJePJZ3hxMnTjG9Dedi9iam5k3c/4xnj+ENeo9cRPOvmn3jk0o0on4sKXA/CVkuZk0D+Jax0mtWtT4ZeVJ4COx6LZUdIW1RdKhOmG80Ve/xdjxYaQMhOIAk1TyHa1rP4hqqdkcZe4/yoULGIu4RTGl+iVOzmI2woYMuTvImps6Tm4eA3UMGjXtF95SyEI/MiU35NuJhDbiBrplaPeK6fp/lvTleUxFJ9skQ/kWZfywpCjmooY7DhLMInxEL3iksXnxiaawyJkESyfl6V1yRAj9CbglyGq0A19KacOjVj1OKyfZkvm9VVZ3RoZk6NY2hJmJfVyPyCqaluPnFF5WpZvwB8Xx819ZGS1wDvVaZa6DVWcZ5SPW/lEYceXdSKv06Kk5abtzuwYd6TfgfrCbf0L4tGsF8sbR2qVjl0isXRqMnmc3kZWqi271nbYUyV4wxIo4zRsTxMhXRqxJ9seFiWzUtYlDzm1UprYswVerkM86yFyh/3iksrct7ZQl6PmtYGJyHV4lAcGYnQ3Yboc5OflEEJYhKaidV7ydWpxrLUjFaUtl2bpdu52d4VgS7noO2eajCyaj6KtFmCRGLp2A/LdVlb4ddnECvJ+egwb+PRFJSPg6rSrhjWZVlZx4OclFOcEWfjhPTdoeiDvJBAVF3gVUDfNTT7eitV9hoMJqztas3FsMv1Z/s+Kpx2lO9DB/IOhmvpgvn+Cn6KltCmAuGzhOw+2748yPvrirtxa7czAglYItNEfjw0Pm2DuHtmrRq3cRdeqpp1MVu2olMa3+sAZBGz0mZ0iDLVhI5h1eUfnI9mLSIXq4g45zD3dnUepNRLwVHXDvMVac2PPxHl9qzumhBcmR/ZGoRtB8TNMcrMi0NVYRuXNFkdcANvOtEYMyxbrywM3PaCa3XLN14ZX6/3yo2Wpz4PBeuJBmdt8gdVv7IJ4DYvUFQv4985BNtg/KBsDgxm78l/W9zufbs0SvjRX5DytlaNaNy0LGESkzLjc2aMry7wtHSahaFT1vNP0b4FEXii4RPwYrTjaxJ8INccbDTD0tX7EZ1/tcjuDpyH50lQqllBG2XEPQ3BufkyCnPdSV0Ti5rWhWjk0jSKSMJjY5BRuwyUzoQ5rDkXsrfn06sr8NuJ0AbwhfaUI+YvySn7Ia6AFsJnQg6K7Wq79Bxuz0ks4+QGvz4hBpCcDUEHFsmomBNinOL4C0bININ4Ae6DOAkAwFSE4WyJrHJGp67dDJEGuQsW2ehE7sYSkrUhpUXrVvKx1Ir28cjCTZUjbtOwOikpllbaa9RXgOf3MNPDuSTB5lPonJ5T16YMNVYdOmKVLLjP3UkXXqsoUxxzLyclUnXKyHdHh5T44w6kFX1vCD2ePwUGIsly4EVk5rYwKRYV1+FumSU04cjKzYuvjrvwaUGVHBTrMUDMbqWJ7aWLU57edQEsNHIlETJdD9UbC9gNafW0ip6UR2XLxORWtqDWNNFuss4KZe1znqFGUi93/IIXQyFTbi0Bqe+EAybMv4lYoTaZXzrThG6Gqj8UWPLk74Cso7adXGCF7WkwHY0vAjxYoRsRkKxBrKwCmpV8rdLyJ/B3FYVmgXMBvWG2IIoJ4k7DIPAneaAg4obiJxz45GVGh5RhRgPxCZBX51EN+7E/1UMUd3hF9sxSe9KPD+sxq41dYTTxDtG4XCGI4glEg2X3MCLEnnkJmIgzJo6fwQzZixNzxHI6iu0E8zuJX1KO+ColRfTNl/AZmpKzcKSWXjnx75ZWVQqZpMU6pCJi3nRdxGbTeI9WHnxO6WLLzVHMsZcEsp8XtYay+oMZwlII0dNCE4tNuuKKuc+/YYL9T5EV8NjLKaqT/hqwAraYF2QjCVTMEjiP7/59ddfdQ4th8EQwrnyUE2r6CyIYepfnjn3BCoqnyGmE8h0+ZqLUcH5sBzWuFuASboPD4n4XanUwklxrxnbcXAVjh4N+hCTyhthRMRNJL3ARUSlwL9CZQxNW8piT+SjMRLMn9gfbTyHY7olHPOdNWwRmX5EDou4XCiseuCyRKCPZrPkQJmrEzioLbVhVUgAW1QWOYyv7fR4tESkMEEhwRuVkMZDf5LoZF6rOwl6WuBNiZcWo+IrUih5vb4kNulVggGw8tbtlSxEqiVpx7U0ZEsXxoxKM/araEJAUEK/Z5LoT8NV/XX5IbK6rcUe6WvpBe4t5NoQxHwAEO4DF+cj/U1tzWgW8anMQlT2PT/OzcrowA50ncay6/A36ye9ImT0FugxdMULDLnwkt5CpGNQMREi2mqPRoV6pPv2GVXty3i5nArZhqtoLOA0dLliOjN1RIBfHWl3njZOhRWhqJ6nMe+wOY5A9+MhdYL01QgCmG74tcoObINWgDrzVNOm631d5FghTYfqBnSPhlpBC9DqLrdUoka5fPs7lKyMiygZgrrJpUyOJsTZEnSe9w0wCb0ES4/Sd/x1D4zNOFFnuhRS4Mwnj+an/dDUwTFwcEvt3alTkOMhfBOIjbkiWNuj2u12WlP00Xvwh6GqfPwBgYQIEafX67Wb2612p5sH01H7H3/gCiX4n9nIRa1V3pApWVLNzU0OTemGwdTrmKeoTiM/jPAd5L4ENSRIGxcjc1+8f1s/3dv/sPfdoKY+sRDs7coCUh3khHYyZ2wQ7OHedAo2BB4EBJ0nBQnSwL4viTkoIcVEPnfRs/7u4gwDXWOWn8cng8Gh6jQbna2KWxUdivI31OnBO9SXhiHWRcfqYO+UGi7MtQiFc5x9ATEXo0SYAzUa9dUFvgXjMT5VURNuFDWH43rFovUlYWCqwrgmHEut0tSjKeMXxUoYBj4G5lmaMaa5nMaKArqPza/NebEfkj5wUYf7Ivjg+3N+9WarudOijIgTSsyBRaupv8JyAddcTkC9p+xM1W428J5PiWo2erJ1YH2+F7SczNf5p++8CZ3dvPFJMmEqxS8IF09yxLTgSRmfdglwJ2/H3B6qNvQG/9NOp9tq9lRl3524IxeY8eMhLCFf3rEvD8z17hbIpQ+ZW7dhxxt2hssk6B6mhKlFhVe+KRln4ZXGMmqmPVdWOl0H7o2BRTEUICE9LxS161dLvmtDB2AxzjAiRAvEZeGkVDSZUROjLJf21xrrjHOLuEyKCstpLLHriyvjkTMBgW1+nrWbrS5uG50gyO2nZa9OUGIEFJa3EAt25SYD9wJvmhLgiyZ1n+1MPjNZRI8cWK8sD/DmFW32wmqsGnl/ZyCzDCOrw2sd5QB6I3GICONZzDYngj7Q4Yf0aYMUmN7CVxJ/aKFu1aTOiC1WV4n/LXNRv0LLmQWvasDxwMVssRzkzENVK48kkoCMuXFwdnZyZmrUCampi2vXJXCKOGVVZE3mxd0CiSmZB/blwcOUhD/+DJT+hKpiupE0hiT6uWE3kczAJXMs7UTIDJaHXqUK76AtvZW25Y9Ws87/bevNtM0Xei29lbb4wk6TeTFGbQZbLKELA0Q6KQsgFfHf35swKytj3JLCv/IDeWCPs5ArTCnalrOIGNs6v1llwnLQIb3V9nfLXbLH699yyeQBg/A06B8fJZPQOb/Y+wicz/v6XGgC55j739PPN6q10f4bg9p0m00KRa7Gh4rqJGW1tfzq43k7nsYiiDdbO93mTirluOcq7RZgI3ETSp6Ts793dnY4OFtmj+CnG6laB29MrBhfs9X4+5ST/Qv0Yvf6WotD1iFD1vc4y6BCfrMqK5p+MNJPaU2TVEeKq+E/2832Zh1YSdLUjMaNqhtzAp4PRl0deXfw5z//ZRkNPOD2kipqt/0sFbUGawcqhReDrsqGF2LFoCME9SuypEjjqNF/2qLJGognrQnQzY6EcllFEfhdjhVKGbWIvt9VicWsuCIVdk5oPK23FmgztpZ6EUbAiKE6OVYfe9+rztEO4bPhPqi4ceplItkrP/AMTdnoTIraX067zOmVuyuqlP8TlUZ8gCyKAo1xFWVRG0tvcW+hU4lUBb2bQCiegpz9E4LkLtYqRe8vUylp64h0hY3ANeat+lmrU9/fq1+e10HLqyNHHH+cU/ZIHyG96d6llslGZ2MtLbO/U8cnTqIiLMw/URX7NEDgimEUxrF2WuFPM3gFiBusd3ysanUqo19ehTNg0V2TpeEzcpgkFthwUpo2RbpfoT6WV8f6C4RXAwzvMEPJvDqDtGIUAoZontJ286RFCOWh6EstdYuJLSIBeSTk7tS6H9KCDX13Os0Xm19hIvS9QDelr8S0RaEK4uiFePopvVwVdCmi9nHteyOtGaHiLCt3TQzbgjWidOu5RaqcZ37Qh8K84mT0plgrTq+jL72bTYYp9myBviQtXCoM8DEVAwWlGJIGtIKI6KcpjpRDf996ilVzPcWqPadYLeDFxYpL+0tTXDpLKi6MhVqouPQlv7cOJ8AwNaCm+rwDVnznjQYPajBheADsRPX5BvtSAdHppENg3Fbzw3d47cN3eK2qM/JMQXbqaknmzLQ4FVi/o/aSUUloymU6yWI9pEC3YCJmwmxG1cgqGHwnEhlPOKNjcLR//1lOLFXRwmYZ3UMaCY68YeByXA9T1JRzfKK0Z2vTmVdR+N+Uun3qYhpQ92Hz/7xdK3q7ivUSavNJ6CpkR2Q3pKpkuWoAGy4cP2Ys/GpNHqJdS2yFP3MLGdmMsI1hgGEUjLBSlwCOObSQXhMXQc1seXyVqrSaKrjiOif8gaQA/dCmH+bVKhpLnw6u5mYHJjAwsxFXWnNzGy6f0jYwl3boEk5BX9pq0iXzcAMHIC/e2pGbtuEmng0OeQOHp5/faek/2qqiHSDpXUUqHaVKugw1Q5knyFYUt2SlLfayEjWVpMbFx1ohVTPF6VLn0JVZVdHxSS4WyipmvKJDVs+ijFfO9Pkjc9M45WoCqoRQSpSIUdcqkAYp14KKZiZAP3FuQljWSvH6XRE2+uFRTTSeNnkFO22jNZE7g+QEn96gOh6Jxnhx6xlFjEvi5rYkiKkhqcyBP/axnw1y2XPmzd008Cmi9JBT4hHyEYZmdIZshqJZB/S+wmpXTeaEHTfixG2zhlL8tGv04YsUW5ZQTvlMkMxuxg3D6aauszR3yzxlOAgR20zR1NiPA8lFt3EGJU7I3+Gmi/pgMV45NzZMW+Gt0qvzf7f1dujoP7raddfRf3S50o6MlcsPGxIAatXxdXQUwy7cRim/jUoyXcZc5DE2tGC8rTkF9aM38mfjlVx6C760q5oaKyq25rukhrp3ephRRGEhqQlATvfMqpurMHJFRKARerIOzequci7nlN35D74gb2leSMXmvJCsLlaeO6Q814xqWv/itOnusm7AzYw2fZ4N2FSe0vSqfWwyCnbJjJxi1z6cgsxZI59xMP8xQ+n81DscrFC+RatewdHnm7QVepLhyndTiQTkgG0icumPq17/zwtVL6/wF3oUVcUWWf8b3Ya/R6x5TlM9I9mhjIhp11LYQ9MtbfD94UH94w/1dz/UYUdWjDpkFdKRw6tay6bqUDfiyw8qmV1Z3jd1oHN0yFHdl6O2mJPSjXqP6NnCdamWQyVKHsVyvMZNQzTjtlaf9ene0o6mtnYw9XTMbrPFjqXNTl4bPg5FkhlwTdM/yjqM5qUTomKwrOTkYBRQ7kTeRYGmK4/B0ecdmtK/hp2a6NwzqBrYdC0Ve7qIuTCOLVnTOUlc9rGfZ83m1Rbb1qxWOrtqbyjdVvWMvwL9GP/rtOS1jlEelhfx6b4IXNg2EmNPBzZ2HxkwmQooG+qvTFx/AsLdHRXLHti+E1gcdRrMYv3Gy/MD1ertNFrbu4XPiCmJM3e9zENb3cZOb/fJScw/1W5tN3rbSz2lbTH76fZOY7Nb/PQ7zG0o+OBWCx4B1eYi1YzhOYEvlsrL5B7XCyNHwge0R/Uas1nLDSF0viktMIjmuXSEzGFr9nrAydRa/W6oc0w7xCVOY/V0sw7Xs8ICb0jFDie48QFGdvaHJZToUj+vKNFm/y6QHvFyWvNFdpvrcHEM/F+64KB9WtrpDa5MRMBA0eeqNnqE6+9vH6XKFLNIdS2jbL+Jhp2NEVkDhxBTWYc7BWvPeyJo3c2qr90vT33tLesM3nwiis0rhZnlxJpVKsPK5rlR4ekuGxMLXIZcKi7cJD5eB98yMG8Bdt4bnKOCxY+hQZO1WwaDQ+d/rsLa3mmqt8BU2PLybXA3StVUHcre3zNqKpy+oKk2W6jE5NTUk2PRUsUbnVVOxS+9pHoq4r7IHX3qfja6afs5uukuu5sYvYhs0xw7CSMcXhxL+7BUMOpA71NctpvTfXcL/dG7/6cR//Ya8f4eacSDpzTivLZLUQvZAeKJ5P2uPSXaUVWlKLqkFSLCnBuRQM3pqPKqGy+x2jJnGTDFu+NbMocxuXvh63wC6agzHW8OJ/zS+bVFwRGtegj7GynqVMn1qxsFmHZ+hDofhPd1XhMjwiQjXeN2AWtT7BrZiLg/r9Rm3JJZxdMSwUKrNPCH5/XTQhkBBHUy2LxjCWYPqlWhCqTVbzq6sWhQhARWlGEeIawVolSEo9iRCP0peVMbuNcIXiMTdMK8qnCRGBi7n6UaKfXLLqEcXcIIWRF6SjdaTvMRLrN66BaIQ5DTBP44fLTtdTt+BrIbNuFsKj8YkVWDTZL4lBbhU4ZpfV6MVorY9pZA9JPqE3pP70tTczaXVXM6T8S8qR3SsUQrTPNszItGTKipr7uE84GHwI90EsXqiHuabKhP/oj++55vMeA4uE1NWsTDH0V/ucxk2OlmysIsRZlwp+f5UGBWK8AbjtzoJrXU7Fh1l1+ZC1+BxH4gqegU0h2bm6cnUfE9FUlX5RWMZQFhxR71GUK57XDZifXqUXG0P8ZKRGqLxFliqdVj9BIYXeTScB+9pOoUxC3JcIPN9vGH+uVp/dOn8/rR25MfJFlnE86kUeYwK7bkKiQm0iMwf2S9pWRQOrFkBl0VXBlrkudmTai1rWBCHfifDsjJmj7GdGIvuldyBwZ/geWuXjEO6hAXH8E60j/fS/ehRlFqASLb0pfGqmINofqCdmmF07+WDNrgrKiijjNlZUtQ6houUptMDJluBePVXZC9quJPquq/aeJ/w3ln//0+8+8nUoc2vzQxOo+t1JkXox1dC23EKB9Wpipcew/75vQPI93fiHUPfauAc7GHSmcckr5Ohan8uEb9SuhI79S7Kq2MZIBALvU4CjnwGWRGQxnxJIIpdL6t4gLxu0HPbPCwVUWk8bd2fiJc/1Z9j2FjupdW5pMpWeVvYgWoGdoBaI/Uh2YDvRqTREqlY25nBaZgJNF9++M7WP0xNrlQtUzQFt1+1SfTUXHwdjrqd2/Z/VzH7IV6663J+FjgYZSs8csPRTkOJnlU1tNIYU45aoGOK06tgtXxOUsFaxgk+ysnfp5aPiKToSfFMsy/Gr9OEd8OhL366fRI57cAuYUpNW4lN9pkJgB5G4tAQNQBLZxpuBW+paM4Z5zJulO18tQ0V2IxVSzwurgETsw/6TxF+sc7UHRPXRg+Ny1zbpNkGvc3Nu7v73ERG9dgrjwgIvCGnjEmQA6xLncDdi0wwZ23cf6e6zpa7a5V7FEVNTq7BNqhONI2En6Yzwg39ja7SL6G1afUTYQlaCvCmvuRhdipUzVeUH6nVAVm5ZzSVk84JyPU7T25ZLZoa5ufUp3GZr3bgEWsqZJbN6aja7gdhMquveB91evVscpvzOzcbuFflSsEW6AcxTicRQgV4I8JzSM9yp/Sq7eWPRBQzkoX5T/AsbC9pHbdeqpaOxY1k9XLaj/vs/LjFMYOdetbBrX+dwbvAVHoqstzxkJHlsZQzfGPgrTDiaWSenV4fiK9wbHuQ/f2+6M6DXNq9y6pUIr7k2RcRQUR52k+4mwqxrOkJUVFnzsEXsUe9dhk+XP+miFEYb0td4U8eIcRj9wHnniSoyRLeIz0yZWLnNp+od2cKi1BULFu+bAWB9D+xx/yZ9hZrnsmdzrDV2keY2jFFBFLwghInJptRwsOlCsNCI2viE5E8e7EaVNMRtQivw77SWjBEJGGIKwxtCKyeKJuZh65PLKHY3r8Yr77xQAofzb47vDk2Em3SYUcvv/OJ6DFGP8OZ6kVY7Y3EMKYwx5qKOr92GccS/QVsc81BxmpHVmacWnyfaFB0TZOK1b5fdxNGfFflXPwjjEwaeNanfzoRoaFga1sfFTyM/lydpUDq+twBwlJeAJe4P50psWJYcRRiByjaz0QM+gKHdDkJyIWZLuISnMFcF+g9d2EK2FMU1PGfZ07C4/C+9fyIS0+Sra/NNti52USqczxwXyXbdVxKfmO7TqXrEsrFkpyoNSd/9oDO/b4aFB16Ixh+eE9uCgWGXQezwupd/9CjgxWj3MS+eDdnLwvlfFzMnqpVJbCfOg0T/ZzWnvZ0avCS8drk12WnNzbMw1dMw5smuuGka8/vzl49/MbWD5sYaNl7Mcf6AMNtTxP8FFjEKy4</t>
        </is>
      </c>
    </row>
    <row r="3">
      <c r="A3" t="inlineStr">
        <is>
          <t>HXLJZsdoj5yPr7bVd37zrd5ea6sXtJUp3uqdzhP6otnoJiYHdiOdQ9KG9lZ6nynnbHB+cvT94EC9OzlTeDRonyK5a91owsGDUPnyqg0J5WnoD+onGyPPWJBBfxg3LZUbcpMgdDWm1R7Vp923R2H4WbfHWCawqekrKU+gfVKEaaKQOhFw6gLfZ96NGT/hx7wwq6Z1AyMqEIOrL5jjtCpjz52QcuOguRXcoUbBz1bSvBSkaB2nT04+IhK7gw5za63fwUv8g5OXNW8X8BKMs8bJ/soHNe65bNRQaXUWDNMjJTr/gvmccEKFbfz+wqfV/NKEz7LQYp2nMl5MoouOoAewl2ZTFc9ubqhjMDLgZn3k3/iJRNd1QpI5aslhpBNdKJGMeDP645uiab1iaY7BLrll6VOaVOQjy5KroNiLcIckRJpyvUFiwDIxrXcWChH5gjHFZJVAYHkTSoPXWsfIw37tHBmubH+taM1iK6EkLwiO+M03Pob2eG13wealFB0uR3f294xxZFB91Lawg6ZDBQPltN9B6GxiWzGdhiH928CouRWcYG0HrWtbSCwKUxfZZOFIU3VlKfDlGBitZQFbOCfObHzpzSAbKTZwYeJ86edztJzt1k5LHYWYjugPY3UQ1RxFnYB1a6Qkch+BBcZj93fe6VoBSNFXvs3NZn5jymc2zNstksg5l9+OOQKZDBVsV4oaxBQ9wzPagbsYCCAsXgTFIfBXK2YQzyPX5KOURdT/A5ySX1peaGtZkIDuEyr6t0qOB0qcwOJKzMmJEQiaS0oRy436nxJnuFegHtEP1O2LG894fyQte1fFC5Xpd76N06Ra/blkuzTJDrPrWjWdTpfJpftaaVotUKZzHk5GkGKgF1OzV9XAyVHeiVp0UuIy0JjxnBmNqIACtdnMSuANlI92HYJVoMbhHWFRyWbUr8ib55nlJedZzC3f7xGPyjj/qNst3cTvTbg1Qtu0RCd7TfpzS29T/Wlsi4o334QLhvN7e+Ja2RrH1pdX49hausax+0T2FDV4PyLwm7gI2sYRJ6sYSXh7QbDArptmj7cVNv8S5EQOhSMLtnFxH9pYbxUtCyxQKsav+lYVwgMtJzOWFQ773AGMVWPpYTUK2XjHVid3kjBzHWLGoYMQ3YinxeuRj1Bw6IDaYUmc4AlewBASh2vkXnf09xlp0Y9EGvgWw3X51xLQaTiacZZiGldnmcFYx9yuaS54lOFAZiBdjHWDciYiM4LzBtIYAUbGqQd1ua5++Kpip/ulSZneiyQX6cpHStagDBBKiqMa+F6zw9v5/WDvQOfVTLlkqzElTATybF27ASmmV+7ws9Y3T9lj/kRi0A4hsCGL5nIsdOIHjanKuCzuSE6qBMNUOocpXpC9E+cKLltSbt/aaVqGcLvQEJb5pc0RpTzLAItM5xzxMFdg9cjD3jpYiqF6Dw9cd8rIvClxc7uc6ZpNpvinP/rXPKn/Mv18800Lsbt6CBLB5XRYd4Fv1Xg2mJmRJmHAvW2wjTMFcuzMa6gBpoNtZPPBUJ1hpyhaDVyvNwUh418Fj5hnPQTDJ4n8YfKRwq0T8QbcKeL5atn2XTofsYNuiw63ui1IYPkn0ek4/Fd+axcRkxe/hJyq8tCu7i5MbJHHNT2XutlagN/ZCbCm92/ZRPBu1gkwd6j0KU8twiNQEEOssEPk3utYeVGLRhZG5Cr6N8VT6cO6tZ3/Q1r4fZEWpJRtVxUUsu0aHUsbexIdqRlvPTf1oqYkc4iyMjm7OulZBVTsDzU3gkSReOugfrr3AU8e1JYClwKYutGtHBu9ztzBsId5HtgMUIIrie7hwlH0IVXIk4dQ9EU8BWGNKFmHjgTiYQSBRxiYQl3vWaxP79SlONjOmfsHMqkkRoKvMhTg4mo8PMs1rac9PJRjyFmd3aasUNqDOf7f4Bqdz+vuzkvFLqhe2ZgIZxbvnR72DRi/Tm6VIgTOapXCz7S6Au0JwV5ikqahdSPZqF+QqhM69gQ0/L9kpeOCA4sUIjEisAyAoOS0xoWbqbFgpFTwgb/Ty/SPAs1EImp+UyK47c5WbipWkMKCz5CBPfCIRHvbaqvKxfu3Cq/39EjtbXp4bWU9+bGF7s+jxtZxGs/iyhMrBMlWweoPBN3Et+6imSR+VQv7UXo8RKg7x/otsftImWgT6jlN0+JPxdZ33DsgDqZN5zb+vS71NYmyO6yv9dIrW23KrXILSQeDhA0DWtscyyyRYPzXGej9JboYfBKWZ2cro4fN66v/s3b39stkVpGnEc6BTM1gVdtbQ2n2QWlWz2/i4ZiwAKpRdGjgkSQNJP5Izh07ICqVv5WWjlSeA/dGWJ4ZTkbA5YNWV/X23lZVisOBkCHk6a6+QAIWfFu6yqTAzvIdaS1TN8IHZAHm0iNIHHlwsN29FeXMi57zW3EBW+soa2iQxkf+tdRwV1FoYBNOBr/hNfak0zilamJLGqryoOYrRjWQBc5HcV63XQwF4rhTMM2HaFGmRCwjXjSNLYhDGiEjoP+viLLuvCQeHkkbEDFXFCKoy/nCmbxA6M3tmuq1uf4Cz1XOf8q68Wqi2nXqO9Lshk/UGwJ51Eo6FVWx1mBKEP641liJuGHMBtgNH4AOo3D8AsDSF7MrzxTqdpZvXKHF2xO20u7y4u4Mgc3YAdajFwj6GGpWCIcWq872w+bDJuiMwDSb28ASu3JPC+8BMw7bqvTa6Q+tLetF3VR3bLUfdh66/CLirYZVJJ9jGViQnQbxYkO4cbNBzxS54yxOwwwS61UcBks1ZD5XCcurQh9ADtdfx04CNOV8dsrBvBMbTglpwYCCDuN79qdkJ+HLK+lba0wlvkR0s7YZXTQU0kRw+Mc6laDdcPCeu6QiSIHW76ksGc8B/HiM3blOCkIRKVnySHd6DhydZNoqTZ6aHEPaT69FtddQZy4dEBJQTDx3TIeV9Now5W5aNGB+BsoH3KpWMiHQAKcEomMKpqGnXajudLrO8dETyZQvBOfTJI3VrBsS2PnCQgLtpROFW2XoVLCNLYgfxhtBnGVyZ4NsAiboIijLaGvTYR3FQgjCxEvQGbjnabggFPD7nQ27FHTI9vSzstroAVKz7DnRh346PTo8VJWfvKvIrVpT04lBKcmKjd80xZYLu638vHsskMLWTvhWjaikU9rmlE2iruh2GH3gPABrxfBMUVN6D/0bE4lNYYZ5/1yqXvoCYHaGlVu06Don3KKRg0Op3MEwQyy1BrE2rZYm3Z5zTmMZCPWae7nd/NL28nzebXt+L7frg2Z2L5vE9K90GrrONu+D8A5DatZCWFuOBtvSoJsHe6eOhmDhw5QdKQxYYaEKzGItdnW2+Ij9P/+HJPdiSHJLI6dRHgSsZ18VrOe8GBrQwmaFX2G+sNBf6iGNHqpz88kS3qup796Ssf5Ddb48VEbDGCZoA0tyMRUeBUG1qCq3xsVMxThuxAWypPnUKQJLoTpUPKyEZ12qN6THZLl2yZO2pZOjsMsVDAd9gZQmRVISY6NCiVZ7W3xtfxAx9qW1fWzPZxFvzouxzbksBZYCsJieGw1vQVn+M1e/Or9woSoGa+5hEtRTntRYvhMFk+j8YyoUjkVQSGs4ycfRTTbxtgKhde4lCbVl+lbpgVQ2Yrm4IS+s6p2n/qyj4ajrOuc0EOLdmrA4cjZBTlA/GNdPjF2CQ5TOM1hIrHE91C/m1qJfYW/+AnvzyVv+nP19HwS7GGI0vpqI43d+wB136QT/BWeyj7vO4Mrql6Ddia/w2fefmImTONO3F2VUETkIY62v/lxTv9Rk/DUcZMNQmFBPAy+V/PDfmvrJ8wJyn2L/54v3bzHdv3JxG1I20RWWAoBoR3FCAuzoaD/zSKFFyQMiZFtxbySky6AEYEBbPlrSFUQRN7SnCTOHS78Q41nygqAlZ5F8wkujBOgcdMybY4HVpWOM4OoSnDq1K3aEHgK5MHbNR4n3qVILvQly1y1Cs7AX+YirbGtSkVFTTt2p4UOIjEjV8iROZfrEJPhGwgLHPUHJH4L3y53n0j64xN9Yvw36QwE4or07GWnIJ4AwbHyk949zLo5qxpvSP6BF6zA/yDuAKey3aG4wz0vfPH4eHyeIRSafBENvXQuIkvSDfo6rcaSELppZVZxH8fhfKLvFEv+IXNPf2AjCoRvcwmHX77W2OnNC5imgFrnlL5gp803zK1Tbv2n3vorhoH77+A0uNv19QJlJMLZv9s73v+Ll/+bP7Z7kp2ADXURh+XlS9G6QWvqRX577gEgp/VSL8o5Fr6j+PLmgjReNsbuQ2YmSI+IT5qvJZ5arY9QJEBQieERoCYp/EQLS+V+P1NHhhwEsP+6BiQmOePHQJajLP9Nq/7IYS6bdfg6WzNYKWDLt10jQaXeWPV97hecrHHBhMBtPTB7gkP6pAxO3/ghYr0ZWAWX4UX46rr7uAhUwkgQuLXxwpiqDEZZ1Hnjox6yudbZysoeMDy9cThK+gnL5mE5WQQc26njaP8rlpgFxzTZBzpnO6LEl7X4QDyntGBNQpXp2Mps/ww7YyNDECdxHYK7dVIhprtYn1Hz+iK5ro7ZZIwQAuSY0RXljxjzH+VXF5yL4Gib5kJAXE8Y5SZcKxTes1mzCv6THEi4LKKWBJP5JSaWcbxTiLtCjUcxN5O2x5gT9bha3N2BQctIhv9cVUBzd9YE0hPtwMb/8PGu3vZRtatJZA5mHHmb+UZh0SImUMmR8dBZTV1SadOx5DTRk0XHCq+JoXUz4hrnyKiKWowNXrmOy6ssr9atJ9TMvELQ2k2CKnTakKJ9oSBSvZBiQsWHG3viKSiK1DsqQWlXt22U+4rRrTZNvlU0yfM/MJGAXCsfO65kdryMWu0uKRU7lmfeebIC1Tzb2yHeD8AbMe9npmmOrfeZKkEcCazTyx2MMFgBf3RBMNouV2GjMt7QPXOAYDtZj6jspnbskh0ahZ3ooryU3z4ewApJjj1knOvIemcQdROmztyHtEYRcJSmWyt45chiTR0OZHH48rb/d2/9wcHZyihxonpho/Pa/7hkId7It6M+MBE6/t5CSmRmIbc4rgw8TfWQq384POp3ZIvCsTM3qbm4SRVPdtWHp9Z8VDYpUDNWAa0zgalkWwXlfeQQibVRWYBFOBZh4PqniMRhGkwRk58iPyeQVfwVOAE5uX0djHjExXTkHfJdkC8R/cfJpBLfUcBGZAF9DpwuJ5n0XJFIAlPvBOhOZ0EV6NuPzW3JWNwrBSZAY47dgrDUe5o6aPM+zbSP7jaUW8mktU0InjPCDlM1Usc0RN85ccjNa33ATLu3W6Q2CbIKJEBrGMne6MXIZHq6oK0l2BdfXxQren7x4Bd1q58lxaGf1xwyAIWuR41JeVkqloTngOshhSyl+aVzEjkYbp2QNRMyDaDQJt8PVjcsF/iTmkwgVH6nkpnXi1UBkft7QhEj/xAnU/dJOoN6SJxAH7eYUc7RA+znVWkTcnICrqYzSjQsZXl/X+ePI5q5qdUH6TR8UQY2DGT0K73XtuCDDgbpIh8XVo4rpANHqCJ8hMTyoeTM9mRAMytUqh7yXv/WgtrtWt1dzetFMQCy6mKNqhPfyhxuF2rT3zD6+JCHbm1CIQmu/5eehGeJtGPm/oigPhABXbgR600ji3DjHJS0DkYvjKZ4KI4QQxxYqxloockrhIru8XxD2WOv9aZafkD9dm75YxqirjzKjiNU1coMu/GGbR4/wlmCjiQ3ER04gywbNew8GcSeYQgWoiaTCII2F3JmX784tCol0YjDUerC9BCr4sHpavxeaEM+ysYmtJRJrfTwcCEj5wuXRRdLpMtEKp5OXwUiRJTviaDw845TTI84PpnNyX4cdqAkN36NwFYCxqILoxSoVVxPvn/L7rLZgfzXUJ+TujGUvVK7Y53a1iFZMW73Q6WKkPKmJZ/w0GGq8xlr4XDaIfPoe2znETwj5Xqb0u917zdLv15H6m8vaHe2FUl+h0442eLor4cSORqmG42o7m5JpIhQeCMzNm6FGUIw6uMAA4+QBILRNlO/M3/EQ9rG9ehTRN9/gm2R/YYg3XNs42RXDHF4s4zf61Wwq86hkB2c5gvLP8p2goMitfR0euMbanyceJCOAkNH4k75ktBqhwXYaSOGsV2fxG0mNHIdRQdrH8j4iqslk8rP0f9T6O0t66m6jh6inQhNwOZ3Wjmhw1QNNy7YPMozEzdlpcZ0s1SXlF3GdZFWou3dax1o1DilnNmHGcgSGkpeUSEi+WZ30DIPXt0qVUs7zZJid8exlkNZk+c1m2UyD5syS6fiVmYuQoqI9K3UqcpYoM/vDDBfSi41KHAQccNBbAhM2Uz8SDwINjN10BBJeRFulofYfh3S0iP+xkrJqzd595EZz7ZWpMv6RbxlT9LV6gBZzbno0k9/7REKCOXplNCfoIm21btCiltJBmzVubFWsk1UdzzHxEwfNJhYBf0nnylzFWbc5d650m3CuFFkTsJt/RXfAt+rCH3ugRCHMtAmXOx/C4DNIKwe3tPPh0b9zQIQiA4q8300PE9oEOrqGjRDQQxKrvdh3N/bdYAiqA3fsGMwisKE3PvgwoaWOCztBKI1vUibMRImWHVsz4AA0Dr0o+q3HUvQbzlB2Hf9bxpiKdmT+RCtCyjmANRomlHP6q0lDEZvHSXsYSPLeITCfSzcX9BYxo4+tqDjNombGXJMR6nHlTQXB9NYABCC2DveO99hXVXHob0bj3RuDOBi6G8fe/S8/htHnqiMnsI45m+dkBYURMgsIQyG5Srk7ILorIfWC9t1YotNp2FiHmWdMDc1f9EUQN05sPswNZInH/CQfS8ZRSCiYmdFEz80K6JMOcyoasO+Fco7OMMryY+XyYv/rZq/faVbltUBZc6/FqSz4s6tP0+MUpsxbfydPz6KWwLQ7LW0NFfBU/9bMCoc4qDlIxjrRkZH0+RDEg/M2wsdYXZxpb5m14E9I1C2SqEZ13/ryVPftZUVs90kRe0ZaVQp36KqfDk+/7lphOvYY1q1S1TgJpwR+uWMnXXA7GlTCcNU408NgJsCEza3svsOy/159c2t7Z12JS+X6+ALVUoe2aw8bLKD3AAQCqF7s2KX72pyW9w74R0QrQv6E/GMnRxMrlOuck3ITp487JsSw2dxstuo4K+RNIOK8OIWLTM2+fTeWlVltfRrqPZIudREQzbFvJ9bBJX0mHB5+KQVhdcbugyxHDP+6PD135kEBeGX9SQak1l6pSvrKqo6k8vLngEqp5tjCaYStOWb33I7J56F3P04l6qoRB7jrXxLeU1hgTpyicPAnU2kAA5MKuLniDpt93AhU+I80cMdQ0hFFmJtNpMFecrMxcKudvIq+fESMT3ObLs+JKG4imW/HaGDme5fSkQF3Mi2jDKdYm4a81eTLDIIlipu/N4AEry9/mbwZ0nKvWbHfmcYpg/bnaUy67Y61o83ySzwDOZ0XQqJfZsNg75Is0a5gDp8bkovMoaU4E1vqW4Nt9VQCchWPPNCgv26pSqfVriKSCIJVN6ljZP6ywy4G7OZIbGAMaPbLuskT58T2l3Ys7Cx7LPSePBYkLSVmty129pQEFTWZYQCfpQZX+cVCV402QoVvxo5W0SxAsDvHe3ARcUptwp6Y3rrwHtT3YkfdwUri3HXjDQItICHiVF/wbKg9cR7U8AAgGDy+0DUEyGN3DrP5OrsmgQe4SjqqGvivm8h7ZEKxNN/LkNCcHK02yuTsj9aUCPdS1ufwoMhE+OseRnxBaMP/dhY/OR9HlqFfIqZh7vvYw5uEKL/83/4NWxPeMewMXyrMVjVskUpdtq5Tk3iGDm/x4ZHu/XnCuT5cpOeqrbp9IhLzyaAI8yvAAsGCYyOlNkIOIk4BQqdiWTiGxukF7HNZwIhYOW466v3/1X0NVyNXkuVfyfXMrsRMSiUJBEJMuwcXlM26qqCBsnv2+ByfREoguySlrJSKYvfsf58XNyLeR2ZKqGzsNnOmbQxSfrwXLz5v3KDYAY8fe7oiYQJ3czkozHj9jehJ14i0b6XMf6eTW+dP7fv+VFM0cbi70vAiW2AXMjyBwiXCnDwYKU87kspwVl51ofxhvVp43t0DJpARwhbGvh2dfPfWTvQNoKrTrID1HPKyN/wPhuqCF34FVgX1EMjKUmrTRAJintd/H54FNY7KIsal2VI6AU6Xu8nrY/654xJvAMgSdroAD4o8xfPSR/96s1w6f2ylR0mNYJAoQiMTZ/ZykZmPeBzbkcJ0dBHM0b1JucIhUkNNuQJs45UHoJx8HBrCUXg1Rj3N9jdYbgnMYKuzfLXYYD8PwxLJoYmzXlYqa7fz3AZVQCviKZXsCbvljKYrozZiIxSjycoC7wT3UKTm4STXXmujBCCiYBJgbQiMszAO358s9tra7nLXa04IEf2Lpz2kPYRS5MGpih00M5M8bLiKHo6Xd6nlkokyWOZ9Xn4W9HBRR/xjumw88dxrIV11L1HSgVanmdejpHL4JsF7WJI4O1oGTXJQS9HV8fsTmn7tzQIsKsZc3t8BuEh2SGLC+lv9S7K4BTgki3TS2r98paWzyfHRljgLdOlsOjevVNTNQpRCIX0lk3mhSw8WZIzX0ENFZX4iYoT3In4EO2S5LCPhunoc5sESt6ktVSYklTaKSyTGHaCMoaI3qOV0BtqEVDWzT3aeqCWbLECOQ/virL+MI3FWTQJRCmdT2mwcPQptOWgXgVT76pwBXXY7pUHdAbNm2chimp5j1O+zWMX3gv7ycGEsmUdOIi0q6B4+1cyikmU6pK68HA2O6KdJ8VFEx5WcVzcmjKVjI9kNxm7TaS50ghPJ3np7t9t5YfHibve5zVvDW6gGnPICYBTrQizzfLI0FqDxJvssXsbd/YTwGm44K1LCRqJnq1S98lnuiPK8b/wWAybTdsV8sTtFFgo4r1nZIgUX+CJz5DoQUYldo9WNehbvFUhGeKc71sbaMI7RWmWj5Q978zbAlgXMd+7B6I5/ZMvfaIGO/LDWT1J+aQhQQRW42n81AtDso63ma67PvDjR9Bb0IczyhRqgGM4CAyQ0CiNP0pZFmjK+nQdMVkdQ2rU0Fydx1mzosrCizB2NW8qzzUZZcV7IJc3vvAiOacugwjg/xyV9ceV5LYAPdLibkctFCPMaOLZMrKD9OCphC1BmGGEY+4PLsCgI8XJuW6aDq/3JJlT9lBZ/skKSyLed0ZtMGHWObG3U1J/+cptMinSH+EalKkwDxIL95LUrfBWlfag492yBadvSdAzqeMapbDAG3ZdmDHrbGoNBaAzI2YQrZF2kgCybg0ymjDi+/P7Dxc+Xp3/7cHZ5evLzm/PLn1+/PTt9f62Gu/EdkiqreUMPQ6jicbPU77HiSQ01Wv/rQNub3fzIHIG4zzujJ2hGnblwkLTz7s8k3wK2wiG7goewtiNDey9ev+10rQuueH2i5aKbT3HjTWNzze8naPBlCuSxkAHIqCzkZ8DCeIuB5dwrlZSuzx7Tkt0k4c+QygfN/6GFkgWf5HfM3yX/LU9RrnOb9a3ehHRD8NLi5cviGv2k/IwyNAHDhvg9WpuEAS+Jvu6HrEhljqLlTCMKnxExY9jwhoXhuef1/jbdtKAgTeof5LzS36x/D5MBu3OPSKGwlolZRMYO0GLx46SevQKMjrblfrjb1aS0+vBfOMVoq+biKYuRTMiyblBgL60ovrv7+xTFFTqeukIXxVxgYVwKCSiY8sxJn4IIgUy8wiGBa2hQgbbHBVquUtEv+voLv2tUFQYu6zmYvyVPo+5subgtjbJ1lW1cbaFq0fP3rq6Pr0+HwRtRyflKas5vsllWsD8hC6qTEbnxidyRGvf5XJv8uMwga4H+bMbBPFGiv1z3pE900fnqK0Z0Xnq4IZ64pZF4U9In68sfDFHy/THuFrayc5PCWM4pvyEdykxhId7iOBelli94SsvQa0eGNzfzE4BopMNGYUt2+wEMIObfhtiAknLndZJqRs22qmkwiq41Cs4KAEqeJNtv5NXNjH0MbGLzV0LZ5Eu7WZOH3CshYuXYa02Wy0VmTldquyyhC10yR1I2uvS0GWPWe2lAxCWtfKQ6/zk1AF/wyubjSjsSYyEFIcFoR2cz/1g1Zy4V6TKQO5KxxIqJ77KQ+hvm4QCPyvO4yITqpM2oiTrWq+jN6ckpDb4WdJbZSF84d47qtpZlcMYgYx3hyYwnXCvQu3iU0Sx0rnEcAgDbvsEi7b608sHer3Opvwn8LIJlzdK7BL1OOSXrZi0pW0ps6Brj2Cm8efSYSAi/ba5QO7JDvNxYrQ7/XfwD2Wns/FYWKOZebWvKSnp7X1wTL11ykS5GwuWGAW42VdLqk9b5gQutyKiyZbui1mPnQ2stfGnDZLY2NyPPGnrf+QJrcKRfEfa1FrMSm0vX4lxzcMPcrrhRdN12zfl9eShXafwDF3lwwhPev6CkIjYPm2D0V7kG6nIfNtVmNHqRz6gdjdIjlAKlhbDB8pzbGxJuaZlZvl3EayUT8Q35NrIQ0MOSi1FJEw3F6flPbi5ZQWn8R6/fx7o3NiPj7w4nZxN09bkXxGNzhkd8iQX0P4Vn6LYYrxNuvQIzPkYNyBOTSNGkC94a3SrONLUb1Qo9LVkKTp9km4k0vxuca5PNuOaBhisF0IlE/QXFFLvo2SwGVhDAjHTOO6abxW3ynxJy4OCiACydKyDL3yhJvNBPj8LBPuhE889BziTJpoyCk9kBE5lNCWSdMnQ2Q1p3emxzMHc2GIGX1ly9238OI2B3iUGKBXCIJyaGQ5YUGwww/4yTqxERCczRaPavvbjfiTv2/3t77YO+z5D6rz38Xf6HP/8x6j4WjP3okd7FIqIOvf+zViBw8i8uT384O/0RfKc1U8zFalbuxhbCv3z4BEd2kW8SSjuQRTKL0+ZuuhBN6y0+MsNmtZXWJl8RlXgxrFvYmnqmm+EIB/ycVpTvav07fnycDisNoD4vJCnDmWB+HOxozZYbzdYyZ/Dj/Svj/lFORiSElYC+i9V4MjfVkiDpx+lvUK9/dBvXk+pPsXOuseAmleOy9O1i2GCAu2KzufRABV395Ygit5nNwKisOKo3ablOLdxYNq754cocgsdJysFr/RFsyoGVD1LXPAgNzL/b0Y/GOt8zgz0tOnJfD/fEuz01scwj5j0tKLNnfAZJqaEuMfuUZyMM2SWwyCaepN3+S/Om97dUpL2QZRpt/CNhasZQu2Tx6E2B0yGP4trMZua5R+wZ1fsVQYvfGD6I5pWN8HEzCsmMMAHCoSq2z+GEWrVpKTW+BiHBjiNIFa+VST9nZSCOw6LAcks+in77bVVJxxW3u96B3tJ1ZuSH93yhN23uU9WoFrofFKIkC8KFMueyFqvRvYlZNxfdyHEkPlEf7lC7WSXCIc8Zpqdg77nOI0az1/buqO+ZT2y+H8mqWWr0zzDa4oWkPeELfFkIqr438XjB5ULO8c7IFXGG9zs9f0CFEa4J8grKtQ38kAxZ3alUUTH+I51QGcJIUc4pT6PYzJprKeFPlV9Bym3WYoHTbWiAPwNiBmVIU8dtr4DNxWmVHWtKvWnCFyRG0kmBWErUpleTTaCR/Zfmzx5sSxZUUsMMNuVR8xxP0QKSlFCGg09Za8xcK7orEFfAc0jBsaXdHVAgs6IeEMxEjW0VcJZ8yu4EB0uKFCadStnPS1En9CuWmM5qaI+7zSpPIY9pZqLDJEOTjpJVEeQkSdUwy7qdD/BIV6TnhyOP+/E72YfHS8VRCipKm2lFQyVVqcvgkJvcxG3TkJqOiZBq2n83THptRR7j/l5nL5r7/AVN6mOz46HMphufZMws51IPxC7zvLYFz+4xD9g5HO4exB4FKOigup1ht2otZiXMu5dhIECAtCFy2VaA+3JciZJX+zNSapg27pSkwXhsuiwViVYhI+2ssrO8bjofi0WyZBsu1R4Ivz/XaCEO9KZGocHnNq7eavGJ1LW5LAhr0+VDik5vZHg51UOS5M+q5zZYyWw80g1GH6lGtSAkC/mH7qAoZ5yqc0QnjAaVqeooeBAoqPDEo8XiYXTejNnTLKLuz0EY9y372zTqvih0oZsNrXsiMV0uTbcbO1RYsWIiiSuBtYRKnCXLLI04hKKCKZFGZIXTjHPnDQuvsoInxCocRYA9l2kBN2j/g5em/Qfbcjgf1JIGnX4mJ46LqrJ+Rk7MmlJHnxKJCTVYLETzZj8pZGtYqK8Sayhqh0ohzNqUzTjgMyYAmyoEUso1BhDaTFi5OUCcpLdLskG/yUR859B1/IJh+VQQRc4j9z408dSzvpcl1i0IRGwTIzROWHlWmJKBZjg4U6NXRY6bnooiSqb/YdJPWSTbah/QYa65TsUu7CpJ0JE+hXmuo/I9eOE3APxeX/0QkAAhB5IECCzAJCzcT3+Jc2pl5kGHm6f80AoCy2ux43oNybXIi/o0E/oY9Hit6AmBbEeXSuVzn5uwcUHN3f5GKl6vRCjzih+2PSo+/XUrBnyzwm27W3Q75pOmpBuajKVTwePRZJZLAvzbqKN2h8w3Q9568eepLU8ZuOW+hISk/jM6Lb99oOoz8FALY4+GM3JGh8S0sfUKQ+y/5AvelsSM+eh1OpxDM27UjDh+ELMxGwIl00a2/d2oGzIH9Hc+goBpFYVqKz0XIw6JtFZDq3ybgYZhTszsGA1xmy2mWg+hu3nQINGreaDBftRenMK2WdsSO2EMZrmTAArlIFexNkDAlJGVWfoQe6ZQTXl4Hkd9wvL74fKtfSPiVufpNsI4RcPW0J8jZ3aeMO8fJ0/vQqC4L8vtP2p87u9jOrftzu5twCcNZXHm0Q0psdHCRPriMotS0z135S8l/SFAHppowcDWmJq4NMNQNCJUXTawYZbEmRFqPgM/+zK/BYtUYz7tKLUgTHGvJtKGF064Mdp+yL0Vr5XiiCBZWbEUPjSLqgpiNc6m1T2RDP3wrHO9IbxICN9V+X4c1b4kLrfuZnUlZW8RmN6tsOcOJf1MYCxSpmeQOmucZqO6JZQIU4GwS+ahlTRmUFpBYUx2JElYQqh8Y1TMFVgcUNlD8gfxHQ8xE+Zws3aU9UNtOk0IrXi7mpSs8rkA5yTmmSdKIeiLN1LrsPtOumNiZdaEVUNfkrOaFgYk8XBZt0B3BUR9jdOTs+tI4KeIbu3wF+nZ9sVNsVKlA+QG++IGIrpAeo0SO4nojyyZ1GBTx/loReqmzQKQrXmPZxHrl62v96oTag+qoc5B65Tnolt9TfrOdb5qc3oiVAgmnm6cvX179v787KohJyXgR5o7mpoAM5cV2tmPrWJzKzhOKQX5k6Vv0slmVe05BGVtbf/kGpAIlqwB9Y/fdbry5KQ/oL158uTBXi+ioY2cW7k2kXQySmWI5BU95J1FE4WzJodcf9CFwcgFtw7y1/3eQWcPrDT4OyhjiO2l1z1wJDBu2OWHK6+hl/sG7LZUtbl95+A1ZcSjfbDY3x7vgWKmNrJ3rcxxq2wZunRSzgjpwB0kOwmlR4nmIsTRhWRDCukGRQAvpblKr0wUALIivSN2mWeFQwl6LyLMR5ZYgGf/QjHPUnrCqNfi7iFZD/2Wd31Jo3jCXe5V0C4GZOJKdoAaqzGuW1iTyrNI9RhxC1m/E3CPCbyF3wIcI9pRpRV0guaG40vDC/Y6dVdhze/OcgG3Wa2L3xfuCXdshcXnSxK6+RC7W0Jjw3Y9IFrgERvCdTTmnUCLonD/eiitP5hbyq5GJSA7C6mlxDPJZP6GDLXrd3gaVtTr9+NI1Ib7ucc/Q2F4I2npW/7m9bxj3tNJtv0OBiLO00XL33YOmLFwsSR/sAe1i+9R7NZBoeONRGyszpFKbEeXUkbS8h09hB5445+F0h2UnXbCdKQGg8ykRJehDOTGARR7nYB4w8QUL62XY6+7re0NO5M9o/Z1dLxcJjZ+kUYOGafC9afqnDFJ+UqbToILEMSC1QnXQRQBzQ4z+b+EL+Rs+rYm94vrSj6ZhjPX4RsiUcjMGx4kK/gk54mO5b2Ej++OwogVu80N+7fA2hsV2bVtVrYuWurcmAbhVfhsLitph2IkOmfBiA5nCni9p/zkAndRJSKysKXdtlvHE/OwGI4YvWyddY6P44nQh64IgoyzyxUMWt9S7GcUYTCP2F+a+a84TRjwY47zMvmYuuF1Y0vc6+YTEcy5DoLgiy0bBx1+J54gV73UuBXZnUxHFf551KhlqVg4oHhGAiuvkRYJa2jGm9i31Q3HEtwIfaqht3tVTbyromnYVZOVxz1xJKn1TZgbrPQLT24gT3Fl/B5dw4W4+CsjWm2zB/POek/FuQ4OcoOtka3QJk4IIvq28YzSO/3PIMtYb33p4AdduIDvLszjmR8ibuAs/HZJ41MqHYu9asOyzOsML8fqb3t2vC+2bCGUweZVwYf/qGA8SadL05NOWrnVqWl8L5n0U2kicSSSgC6vN34vrfF6r7elrStNX3KaT32YHyhR/ChAKdeBzU8WvT+//vnqw8XF+eX16Yk7KRyroQ8wM76GUUsfgSuF124cLqTA4DUlNO6m2NbEWXiwM1zrsnB0SaDCjRAcn5xcnl5dMYXUyHEUeraMX1P6P9JEsnvoXHJ8ZeSvbR/lrQlca936OIj7PlwduS4q85wxP0jMD1A3PSkt6OgARkt8M7Ogwze2hkL2dKnTF8GfKw6kVWkjoEQSVw3PZFCoN7oO06X4pgSY1uzVf7w+vrw8O7382pziQDQaWlbgxRhlixEhc5yEZCghMtQ4q0SN5sHBk4VGEEdOxAHpf8hS0U2l0sTlBnlbh8psN46kK3CMrPbp5XHNp0S9lO91FHCIMDMtQYxoEBOgFB/TmaDj0G4vQ+PYSSdspZtLAwqD2Wrqkqd2HZb5XarKb8za1aYYbWbGnJinW0aeFwO33khcnF+56RY2bn8l65m+srxcGIONHfMmxgvKRKX9yA+wSUJZ5iYyo3wEbLIPdCJYPCrWypyGKHcmoiKP0/I219tRQalr8kTy3GxiXMoB7Y8LxhgBrmTsrxyZFhwzDY8i/1TcI5vOVkYBHuakfNxgY15cPLW7bTwV1p5OUnRjKcGHU+WeP1Agu8UOq9AZoG90JmMu4/LQSnE0eVYM/KOgA56nRdBcJC7BoHTIXb3FyPjMXxJjXZSJCEW1Sa/AHRw8gf131LX1HF6qfLssIgmJDJEzZ/9u8gVpRHvNv5hAqhlEJLW95NrXjEZBcay0uMbbiPlv5u92i1JeuYb3Cx8C9deGt5yATaSTQmiEJxOlzZGWMHKcxe96AGSeNq2Rzbg3z62ngB8YSgAJcJjhtDDLR7tLjSdUAFL3Ez0P+dwnjGFqlkptSAelMuUSKfIxBsKoD8Ezoc70sTgnLQ4N07cgJAkiQxTVHyJ9F2MGPJo58MI538iGRn6YhaFJpJbyGUdZQW2pJDwSVHa3CBaeGz633gxcpi3vWKMkzISC3nBaFgReRZQXpPbA4p9R48wDIt4i5fio2ais7I70pEQrsCPjs7Wy7L58/Pr67IdT89UNyvelDfjeqw74HlSV76B12gkR055WO1a6fHLGOQolpEkxZMNFoRRpIHamdFZa35hwPwmgUs3QMpvsIGdN2L3VIwCZqXRxsI0NvRs8BtCm+MxmjRw8u1dvV4NPv8eO/JhklnCMH5J6HszHJZ/v8HQPuWu68MhiL9Nbc8V7RQiQjkFOjS+ukx4qKDtEPFVVTkN86HNYWPIz3SAUbhgSx9LO9qrX4+HCkgIhFcw8drGbpEF8RtTjHNvsCisvW2kIYEQCMwLKndMjFLBROrzF7N0WGQ1DrVcicwINNisnk/yxZ4t0lM3rJp8FkmVrjdReNyWq8Gv74JYst0au2igxkndAzwN4H5nLn75CmxFhqz15+ekrUh8I/Zc5ewlUdFYjY5T3ubIUkL+ACWuhdOho0GY9kl2TuYA+tdtt9V1NRDUHOAkOg3EpCSg1SqO95Ha8d5DcUpaeQgTzfZW6cB854Vnud7e4Ksl/QXaMDkuRa5kk2bQIwgecGSG7ZdT4Qlr4NXkK7IVLFrI6VTp9f8u9XcgX/idYvIQjgEB+ZhEr5uo7c45+18yWrw3K9uoUcraQfuXK+sh6zzTl6R3PsQnfZsJx4KmzdrRB3iOW98jIu4mDSNSby4dsBNNFa2NOqP6nbn3LbSZJAMA5/CGETxiwJslShswC2LvuIX5Rv+1/1T1Oz8vcZGON5mvOGs+2+ekrudhPX0nEK04XQ1k3P8loZRy1abowV2dEx297Ijr9jegNHVWebMnuBXEUDKNtzmd0wfhHUnR8vjC2c5pDGURnt+xhMq0MxyIYW7nloaaHk4Hw9o+MLx1G/e5uvzPq7MfR4Tg56IxGKaqNCgsydzDurjQPSLT6cE+/kSNJPG2zVcETnwloRxoQCZQCj2f8lEJ0/I2rFCqHMzoG6VYb3KK9sOi39/KKfv1t/aRBGXBjlQG1kgViV+4cTRTmKloiTFFAFS5SFk4wy3rQO+VPQfBkkx3QPs/kAfnc8R67GSA4qJrLWY6uyTG51INKZXKzaMuod9iJvjH7TI0730w+jaWS/vo+GyV3uVbTz96G1XQMePJwMzNQ2+GzRamLuI5yjQ+xrwKqvtQVQX7dnjTq36MR172BPvzZW33SKsbmmDeHnR3KhcJbq249p0lFU6hjZed28cbTh6lxDEPKYr6mf6UinSfEyDBhYh4vF0vOYr66WfokWSU/K8jAOU1rPStKu7UCE8d0g6hDtWxWUupmo0kOe84c8ot1rcdf7OWoimuEmj3AGa+JGtrIoz/aUrnSI6gva9l8lPzOs9bSvEEfI4MUHEDC6opi26FWLMGkUqsgBJMUpSTP+UdreXn5mKyfi1WjfP7I7XOy90bFP+nxnFAYQDC7u8XzxeibvJ51osLJWaHF+hI/hia/OLmijK0KVpl/RziR7Tw7dFgsuG3TdS+k0Yczb2qSHCZ1gIcbTnnB6gBSxz6bYAvWW7f+SzNm27JVdEL0qGph6ZhAi4Yy9qlJGYbVUa3GnptgN5tZJKIEhmb9+TdZKsFl4DzLp3r9znbI/pBW2RFW0IW90celZ5GBzMJRYXEj62zk16ENDO/ir1Bt1F4N2F0LCio8+XTO5sjDsfjWBIlH7y5m2ZKPmuD018Stq/JeQeeC8PMuz8cUatE6APi7WhbckEd/pV2RaR3GbhMBh60vmWeVIxBhJFM5K1ra5QBRKDB6qmh0d6OUn86cxBb7m61GNJ+sCmNAjV09jqN3f4+jb7+Jo5PTOHpzaUzse/N787/jD3H0vy/Mv83vr74Nay/YIH8PcLdev1NGSzL6YinlZBMopS0eeXJ2dd7qseshNFSuRCAYDdvURgUnRwVqPPpFnnDPoEfBI2xtXHNQ3UpbnfwT+tTqQPdYLl9xFkYNjGhUDtcdKZdC5krayaMfvejcSArKAKR9s5sUrFRoaOczdas2HKgkEg2LE0eai6orLUozGQnlFPoDqIWMQcY01TzgeYwpBzxKS3TE1M3MUueEuOI8sRwHU09fLPK/SnFxWA1EDo3u3g1094eCVKmE+NK8N05vmE9oKJbuY/pYmGjvo3T3IiDBFzQvyVWMIjU+2thLViYamEiGaEUIJ+jAjXqbn8kLOshx4q5lNBVPjVP0D55C1LjiB6FPELDf+FBTY8ljoPxpfDk217zVYkotQDKOd57yHJZKgrUo9zFXowI3WJ7gtuZBGlGz789Drk2p8rceEgqdGUg4RwAn5BJJ8VH7gpQB1WfV9FvUPLio7VBsQYvous+RIqEU9BjPWW4qTmfudelZbjPmWpIXGAYOGkSaN+Cv0kY6jan7VP8jCf9r5gDF4s+yN8zEm2uu/AqS8VdwAP9FtbKTFmFclslyOb2xheUU3n7IzGcbErlCwlM69SJdAENPuu95NCveq6xT+7tu5VGKGCXzJbVgcx++sn7YhBvabEtwUl4clQgG9ONQbhIBW6KA7TGyhqyk68gPGl+519ZvtX3hqnGwpWrs7geq8Wz2KVsyxIlSNDfJmJVLbZrGTRZSKqXGNTZNa8uM+qHCA8qwjdiDliUPUcjstABITC8Lpq1frTI5FeK9jNWj5ki1klmLX8rszim/nQ5DrGCQJamSMmmfuVxVPfIlGv6VG3F4pTgimTD+3OllNSViaw43wbA3JqDnm451wi2Rl8R25MiQoT+fE+LwiRqnM+bRATQn3LdG25bP+Ta6R2X6heMamrTNmyp7Ctd9Bi+WF8Rxnj2kk0mLdE1aeiolSeNftrb5ijTrqMDpmBR1M/Uh5eB67MRsp4Gsy4pQBM22jVu6C/MkW1hZ/GMBYbX6833u80UUPCNHyNvRiZUV1XF6UHmSfFLX0BvzyIW/hFTswhIjxmtJpNwZUejPIvX511ps+8xtpzLvZeqYT8uxge4c6DSL2CbYGdBMaP2AcRsIsg35hpc2+33vcFuftVtSzDIdyFzYyPycp0FKpVr7Sn3Oh3FqbpJJ4ALJQkZwaDzBReYGvsUIw2+YrQJIGO41Z+92mbfG+a/SwiESoPxEHsYB0H/3l7qcwzsSP+8OJI5P3KDuMpc5Zty765A4PPWk22YuQJZNONLF0ufiqm1j8dahNO/b0uS4apQ5TW0GOHt7VtkqOzwKO1aIXlSBIDStUQUlVY+diytvTNMhCzSgwJUlm2Uhusvco68bOwDbIv2Uow4mkFHJ8MKbZU2F9oR29I15Esxz5Iv8LLOuEBDcTrzJX0atJrNlqxgZUTd/SYiDzj5wSWbMExt3XNao3yFbOwFdoTRZp3cJmKPNixj1IaW7BO+YetOF5TFq746doOeDwnuHcKtm4cxjwI24end9YRZrbGKZJvkO3y6y8aur06tXVM8B2cIoNyrobkc4AckYvCKv6hVhaWX5yMUlkmMKVZDt1aFfRBF0m93hL1D+dCB+NhqXzMYi+nf+b5DP0LJB7msf92KSLElbtx4oWQAXhTodTdz7SJ2RybhFkKUjYMVxWKJPWRJd/e0tv9sfPMmr1jw2PEHiMTreUjR09I1djgb0pVV5TFlzyzDpRkWC5PubdpAvuDDB1zSZs0puR+ch+yOzZdDn6loJombjtdTvaeAtuXDQLy1KUEaP+UpwuzkHyNmiMtqaxUXSy4V2pioVAWhfyWXi3mgyuxvs6eG29tSYqR7yL1edbuerP4l17Xd+XdhzzCxdcLYZ0w4KLQB4ltRjMpQRfXDGKdQs3EBLxYm5dA9rKB6TAbfLg6qinx24dcdbC0pC+QSBV35DsqgS+cSUXiZh8UgJ5pXu0wTnO/bZpL2Qxy8jC6eVcPd5M19OpK/WZwiCfHOumBmBGpcpyP5ZRhhVXjQq0MCq1ZU3Mgbol4RRwvxs/ynRT3tEo+rXBV3t6Nhbdyz6MKpXN3zZV4PBoDtKbvvdwcFeb38wGA12x7dJd0w/pqNxZ3e8PzrYGwz2Dzq9wW1aa+hL4qIElJnHBJQUyskaK+ZdAGNmGWgH8oUYVydCnpQiGicGIHb+6ldXusJmj8JKy39lk1yO/sDEeqJjuDjTErBWmaUjE90DyoWYzsiqdBve7DO5uXlYpAoPsBPQo/VPV65W8xGSmohgkSgqZQiXNjpKaszrUUS1WHFn3m5TAVWWXCIi26v1D4o3UZznBmFBeXoLbFEDpHKBXKgg+24zoN5j3TEaXruQEfb0Hy0lueCdEqACPwC3t9uK6h/bpFprT9flQf1KtTGQ9EpbJDbpoyDFEFoUgk24Sch8PqRrXwjNgHjIZkWgbzVdEF3zbA2ejwwOV+75FWhQOWbQDksSK+seSRNCi4okN+hpRYJBML/53V3Ks8+4+1nJeFPzKCYc5gxI7osI1QcXcJXNEVPEbq1x7Yd8D/2Xx/fQ725rX3uBfb2+Dxpg3EBo42djCLQiX+CSt0g90EtKa4tRNar9Ett0jDOPNXANhHKRR2M5p7/agvr2i5ca95exXf91/gFtsPlSYEwSKzn2PTfYusGP57j88sUdXG3puOD2mEmqwEJVgvy1pjm35o47MovcW76MOymrRpIf9xU/9n9avrA2NEDslo16chhKRHfH7ers1yQBys6cDrSD4XOBJ8Mxod9LLul7l5aLvdKjCxi9Eisi11uaDtfy2Yb9hbTjxKh33VWJwpWvXVBLDOExVJiXr6GcDWeUrxtOHsMhZMrLHQtPE6SitRVMpASbYLvrhDDIi5ntbmC3KOhKlvlC6AxpcjkFr0iOrWxKYRNJXdViXKVmX9aDoN5jHgT5rr/RZsA3tBvKzIdA2jGV+tC5gujb4nODvRDBSD+ni1FW+I2oZCwRvfO6gd7Khm2JwANpAGnQ85pbGwKcbl6iPPFJY9ysiFDO/EZjm2m9WxFcg8fRy7A8Y/lRMrqhPA31oqoW4zGmFgNtOWA9rIAIjA4izDYAqvovjSah39vWRPQrJoJlhLNGCzbgI4xWF29vGPiuds4gw1WE2oK5j+F0rHE4be4xXbRwx+/M4cuNqG3RJPVk5BUqJXTCcBQmrBkeCIj5zXSUpptrw448XqbJyJOEiiO+o4812mmUUb9EqqDNWZiYQIRY8zEUrnXGOWvjW7k168RRbDiSopTaDIK2IBrUNc2Fx2bFo7wWdSMsPmBmgz7fMFgfXjY0vLw/v/rw+jsh/2wKW92O3FUwroUS5pTGazqQo9+3TvWT2OO/o0dOxw0TLc58D29j0Mkt9dSYiRRCMMQhVYPYrjCsw1/0hJmNOicS8OyU/AH1EJkRGm8Rc3ZYF8QxwOL97rJPYAmvzbZbGnbz3FB50FJNSld+eRLXc15ESrlUA+gwQ5caFVktD7NeI3Kbo0AFjszGXhDBTxVXT7UEe94l/Xu548S5uIyLJGGbcekzqQLTb1cTyR9PkQmfEaIkX5SDR18g/uwBXjlq84HuvNgIcXS1/b447semJdM1sBmfO34UC2ShQoTQRgkREehkrKdNS6G4OOGHGOWTCQ/5QpIzK0bJYuPAvP6fPqii/7gltDz9RY3nGy74gamVUufGBxkn0U+rTufmgClbhpEUAcUknBrXIp9yd8PFIstJsvCF8YHlNx59TO5o4X9a9bqHPZ9vVh+WQOChzTs7jaMeIWSomH+RGA15vboxew4qfU5V00QyQByNh/wvh7t7nf29Fv/7YOcoOp1xiVKbFRv8HALWNUpoJGwwRtYaeoFdrPrZxZff+6DL9z7Y8+4dR93OxzusTa9vfiBCE3kcueFAvsXEDvaZm2en+NbZxU7dNQixix8qT9GX6w34egyXR4VeKoWN9+fR6elZtNtp7+43xGsBok8GXIzT0YRaVkh3GOnH7Pg315fkHk9ZkbOmpWPG8rEDMaeqg0rqzerOOwsMfOQf++7HPT4dItTdrzwf7k2nt14MP1xcDWnk5WSMghE5HcazMU9PRSw5oea/ABR6BkHE9UUM3iYL0jusNePoCkgDvdc3hOaqCkpTJIkN1lsmxm1i+3Yq+zcQKRoMjBR1O99/K/tufjCXZ5ss1wsF6eAwjvibIkm6HENMgqGrrBHcgX7z0H6TXmcoXIK6ZkXli4csa91O7wuf9bCrd+zhjtXvVuV7yPsc8R13Y/lh78guP19xVy+997RQbhC/3Q3id0XyZ1UdUnxGJU4CucMvRPh8YfgSwZMGCVRgzZs33n3/tmFu/O4MO+qvaLfTZ+m6eHda99fDHYvbXk0mGAFKBLGom7mLo3OeSt8NmVUCJBU5T7QT3WGkCrRnVeo7JpeNuPW34G809Lb7O94dbrPP5FViW4dlWep2Dmo+a9FchBYBaxZ3ttCLOPXM6xHjB17l2K6D/FQv+d3OQMTIWE/+d+9JVdZ1+qu3SYD2fAGSJsnvzVKNIQS/tzmtUu+ZmMNETeaf5UXo7vK7956yWzTWU88l+kwDm/D+XI3KQTMRVQf6buTqLxKCCu193gfw/+YxMg4c8j3hy9sXFuZxKpGlY2HRIP6hxjhjVotfVmaLiFu2WKVHOtOYazj2BbFT5jfpuPWQYkodY5XMOuwPoldRv2f+0TPrd0OngxW30fK+rmxyIk1gZEitsDv1pJzsWTnpHm6Sk/7TcvK72ruqpPQgKb2qpPRE3+/ti76PPYXtTJvKyJE268H7aBwT3Ia3lWnuGmuXcMNy7W+xXH8q/Vynd2U996o6T0i36lWeKLw92p69yu7ssSfZ7XfLnt8waoAbkVsxMEDTa+w7inSMPUc6ll6rsb0q7A42ifiBv2fv0s/ZKP9zqcB+j5fOeP+bVaCv/kqk7PcgqKAEDq3t2dU5J45ev/v7H6HmqAdRyPtTCZrlggQvZhx147vr6wumnPgfwsw1JD6OxpFkcJbIc6O+JOuy+wVqjmkWZOzzJnEYrBeHP4umkziyO+g/k6Yzt21Qi+p7cYftXAEqbjV4rCQJWM+OHx9n03RGSTtzQI/nlOqHEwbso7k+RmRIP+RTe7RxNw437MZLUaSD/edUpIMD3nwKh55HA3Y7/iKf09Tj6PjiTOTFPATtaLc3kInOUdPPjvHvXv2/bPz/d57WcANWcQMdtDd0PA2x0vE1u91+9O3p+9PLY3A7d3ej08vL88udOApSJIStJXJ2AVnxNBYkOBcJ6MM53ckTcJFCo/dgIqEShFh1HKK93XAcs3IPWXYQ84RMDhwmbFjIiETZ2DKqXWWj9JV/8PXPZOusmIS/ntbFK/IZtptq/k7SJcEx2uI5pr+skgl3ehnpaVATGY/FnuGlDw8oWGnREdU9/IWahXFJdrMHvIBvjDBf0AjD+xyDPoQHWQdtCSSPD7bWOS5O3jwhid0Dp4cPNklikN27BMoWzTpS7EiZW53+1XQ9/K6DP44GPGn6SVF8kgyAbSg1+EdnwL8uH4dsM30eUm4n5VzCnDLTK5FGaTad0zCX2KJOo9fHJ8YmG1X9yphe+sex+cfxNF1ko+TVdU5E1Lm9c8/RxA+9VvTdi7et0+Or69i2m1GylyiwJj5k4MGfe4Xr7cqYmCHPE1eco3DSWEoa+/m96LWwIw8hWSTYV8fvT745/7vFNZg1vuOSkryj/XbfaGSI6hA+G2Gi/3Y86BB9B13o2wVQRfx9+6X9iCdfD+FegM4BvW40c9wrCmIiYmG/dRCdTdFttzD3+gj8uf3bILpaTafJ4lGB7gWPP40uT49P/is2f72ZMmm7ilAJOCwgPQbd02FSnpGbR6wKX+DIZfp1Ti6mNoysMMlI726v3f+fWoizzDylCRnMfOAeypKVME+YTgme2SNIx2mbcKUXHrcgi+nYfifZbTp6HJEB45eNhTzW62vAHNdHv7+BUfqxPOvOk3nL2ultX5entg1L3MMei70lsS8NU+P5aGOpecIqo9O4RRVOmbxhJ6nomEVPbi7XzX0Zat1UhpIwXFenqZRGi0DSu6XrkUwMWWf4JUqIA330uDT8YKWwZ6FOY05+pqY334PRaEEqGdqRzIoHHJmABF/jAUv1DKJNJiKZuWE23nPyGJKhnTCUTMVfDwf3EAd2Og44O7RzhIZTzcwiHansormUlw/+JE/9fEgKKeWC+5UJRibVYR5PGBimo/GmLXnDKJQzfMM5CNKpghJwQwvyCtHMF8h2yOdm634e7W3oT4XcSP1OZ6eO6nYdYRU9RsA2M7QtiHZ2l7r/kFSB90D2pCW2COnNcBvj7m4kcMLmuo4sCyl9msCrlpXL8fl6PJfsQ1Njul9F1cd0bK49bfe3fJlrCSUb+tx6FTYsFgmtUCqCFoYMUqzseHhShUnKA6A9JbcuQN3rb5LQIF8rMH+ZZQstJOg4KfeL6foCMUX0pGIB/llM0RYYsMKC4xIc2EcC8/aUMEBfR0Gv/K/pSuD8hAMSi/XVySLljgXoS/rOiSVXL3UYOLQ6k+nKZoddGGth+LZbBUemjGOCyOrMKOUHgNcIfI+9NT7D4AkAdAR2quoP35ABjaqdfTwAiqL2BAAEkimqUsAYOnOMFfvEQUAuU8pxk0dM3fEydMrCWwJiZos4BBGzkKmNtD7NFFRyeIHRlOlJRJvOHM7mVXjRG8UTB6HvFHjfae1+t3wmyrAoiww4kXCXIjsbxhrdqiVg8yfXx0YfkIK6VlYqeLyunh48MUyWkQQHm9Z36XckphpGu4cubo2aOiGE02JUJ+9yIHvkE7Kyd9NtXXZ3W6+PW//21brg6KTDRefyC4ZZ5jUvassoNdj0bV/UvJ190UEQoPNrubTx2hf89pvNL7hb94Kc9Vn3YpocPez83i822F//Yu/+vvnF9vwXcwFm+D5+YFl5mf3gZTyfSt9CvF5yBC21/aDFk0CZSE26jziQU+ksRTsMxtaATcOeZjVyownsEsxMObLhuRbSjBDMIz1y8UslctHoGyCg9lfrLOCJQDN0DYOpzvXLSPFC/aCYTcuo3b7O9Xwy5jhaP6CRQxC5jc6jU9cY86b4c3Xz63hQFvxEiRU2Ls++vzwBASHhAx/XrlOJ0LKetXiLUxSy4m5NftuOXrt4ep2T2eyRH1z1wjbzeK5xq33ef3+Q0h4kWAk6FZnO8xHRr0aBGMy4Ed95nnEjC9K5GzfmYJuzz4zkT5x6xd76y04wOkdqgT55Oe56HuHvAeF55Ew1uxCCqtURPuRf7kDsLIKQlcZbgou3bZYlemV2Nv9o4aOWs4q6+cCF+z4XFBZdDK73xiUabLNEjm5ow4muW6Jj73Qyb0HhH7PKJHh7PmXqAWcRkvLRFMFrbz2P0jvQnEDYuCaH/poA/O1As9XFWe9Z1zcabHGgz7SvsHDOOJzOkqduQeSCXr/LW8k9eDAZEiu9HWRHygEH07eVo4yoWYoyCPXtAg0ZPlDbf8oevZ23K6fCaISmeJnc9Z+FRNmM6K4L36h3VzpUJogVlpXYMCPae223DFqof4fm6TXCwhUcX1iqEmJbB54QiLoT9NrrNQDV8hP9BqTLfcrCmc5DLTUicDazCHM/nxKa18vS1QYvhy0NgYFMIxfoHPA25Cs63ptOU7f79AIh1PsVi4PGLhJMoyApIvI6c2itcihoY0/kuSW0TTj5TW/FL+Ib+iM/JBNdI3SpRnd7XWMq192d8ttruCXwaWL2w3EnOLHVIVQVE7aeq8sro9bfXJ6wyl7RGaDHPpV+DCb/y/IVHWhKb9vjoh6kWZu5CZItMfN8Lp2ptpCGYJH7AqVvgiZNUNpiNno0N1g+kE2fJDP5rBvOSO3jUBzc9ZEmZHxu85yZ0F1Lsnl0sOCSY3C1Mr8qbBegc80J4L4MoenXnd6w1xn2dllsNq/W63x6I2VHytByGx9xh3HzVuvmsSU/Qli18KDr9Fmrg9FnDxggS6YU1tiEe6Sk6ZRxFMsL++F7LI4Uw5teYTan3nF5JSMRxIDDLX70gIKv5qwBGTM9Pi7Kh0zeUwtgEbm+x6h5slpSf8k8yehkUw2dGllH5icaSWhcf/ImiGD5Kjq7fm/85e8/xNF18jk6M0HU6fnlGc1jmE7pNgnV6D/l9PZGf2rVdmzEBLnQ2BZv+awT1czOM2/fleuHkKb6JcFKiA4UIkbizdKdaB9U2pKh3twhgm0NVrsHksGpnGX91tibs23L+LEyHcimseskPjBHmofdUqaI9xIzWYxpnK+8IbrCE9pmx7XbdU5sd5+vzY4yPbZlxk8ZLTkb26mlrknkmVcbaJMSFQ9OLPkcEoNOjV0ZSlkDlNA8dyi/BQuQQIUBDyKf/ZX5565SPSbKW0ASRcMgQApCgDHpwFIB4/q1zJaX+xZwkriBlTqibLYGzbFs8bx0GEpeWcnQfMkK5Td08itLdAnIZihPgF0oHaEc9RKkS2BZiTezhMdmwPM+stvMqFICgNnkoMVijXO/8UhGmkvjUrJkojabWWRCU+PicB9fOvP2ULfPdogseEqFBXth+/Zo/pSDDgk3atdcZ0fAGlRt4y1wXMtwD17xbx0dMyZSNQmpZE7mJZlLGhyTjZbvmIudvbT0U4QepV+vRAouH/sbFsLlFJIBcFrhYxTA52xrc3awtgSS9JDmKJOxpSY+1Bn5I2oxhPQRxOndvScMyMhZpSKyiOBEVtN1w9QYEdcX6MA/qI+kRQCS0fdxJofY3cmW5At0IBrFOc0LYZ9QhI2yjTKcCJAzR5RaBC4EfMNF+g/jccipXORGIKcyFbJYMQeCOfScmNO0HeqgWbArPEcN7gLH1l5IJkAulGFRxrzHbHdhPyUtIIFJiMNpclDBQLdp8mi75G94iCT6bGFDMXq0Nc9S87BetdY8pNevIqUL/74c2fA3NmEyuZXWuJgFjyNgVCZgmEy287nhRhqeXbg9eDSRqolaZRIjJEPyhZqcWqY8koDJMM3FsruZEv7h3u3oTfZZS0SCM4vlh56zPqSisZ0CxPT+0n9mE3NJ8xc+0eN68eX54i6ZZf83kYnMk8ehTTU2bZXHy5Eej8evTl32xOykQyXEQRU3ltoWXUBZA2kOBQbmUvFSH4KeiSyR0C+hOLLbdQ9pB2MsUmRaXRrHj0CJMQ9uRM7bx05Zu9JwWV3C/nC3M+z3tvKJ1swuqS8HfcGgVjfnyLbDMrl47KMGeHyfNy3U8ZQ82F5k5tPV8pZ5QKZ+IUtzr2Ovf5fFOa8hN9AmanrAS49M5an6WtXr9si5Av+ohulHEBtpWFlzqXs7dQU8yKUWazuLdrWY09AWdks9Q4ECKL2PzZW0/SeX6qYl+9kcl3rUdkRoINzMLWl9DweZLbKCMIWRUnk87+69vvqB6EoIj+BzrMjoATgJLvpwfAF44BiCThPSpulSzzz/nWNd8d61bp5LAzhAf3a8mVwentmETeq0SCdU3Q3OF2cKNLAGjzV4EfTkZAv1S1lCVrNaj/RLlmyNR/paHXbRBR4dBO26hSXxIGz+rMhHeWROOTtIzDHZyIiBpgnbUJrsIqlj7g5CLZ4JC/2QzMD4A+ZXIoSlXE4yKWQgZTAazM43LI+iTFxsMqsAnBRZsgIjsuCMdsyDm5VPZ+YZ6Nw4d++5N+F5edok2iuYY4+BtYSJkAvpsnEgwAojGBBVR/Hmk7qZD1gHhlRUWf2UYk9HXfDAZHHwrZ57CS+QdtJHt8EA5jhFcHuMTJgr74kPBocHGRDYNfSS0yhmCoyW6iEJtdoPBGsxkSvh/DFiM7BD5AtcnA1tqlhCWu/oS4mUCgw09ZhDIXUGZfCg4qng7mGyt+gXGbXK16RIyHu4ulhI+NB5sux7YRGsKGLjHxvP+1dvQk2ktM4hQ6jkD3FfLCVkIJkiXP8iF+dCbaH3GfoVbSRpTfJCUYlBzijyKlkyvwAeQywjcYD7TyeYaCZJRsIwFpZv0pUFzIYYOT4qTY+SpI1P12Yr22Y3jsCspIKuaGXjVpLCou+vZpz6pt+BEaRgEaP70LhNEzYwNZBZJEYWS25Ix7jw2yDt/ZAfSdTvcwFtBhpJrAPcEq8YCF142lmafJy5ye50bB6MqpmYkKto86TjcOYea0bwhXG6mBTjpxTOduIqYSEYIBLVWcB/UvUL212QDioguKDfwYQmBiV+uIr+z9nFv+95K88lTNbLvcFO7E1vrCrxlpQ+3RgAGx9xGNSSd2AFyS/GHSOsOE2ITxEoY7IYkEjHsKF4gAY/L8V49AWO4R6YtBVEd9aAtI1SpTPOa3lcGo5+Q4VVzCZbUAdHravtZoQ7IqNFIohJHUHqzwnnuX8Y67fdPGHugOEFVZcNBtTowWXmOPNtFUzd/FgL6DTXlCH+mBEYQyBWQCjSgCFipsDcYrRFAHLKNIDgtWuVSA+tOI8ZWrfKinsRXSNfU/NLUugOQ49aZqNo1wNQGxivQW+r/TYhRpae9WZVUMxftNDHhS1MJnLa7tLZiiakAGpKCaijYAiQOEJc5eM5HwSHM2KL0WlIWW4eFnOkTUvcbqQl4ymyv0d2458igrMCPKGePYEEuZkJRT5h/DddASzB723Cif68zOeQCH3KO+QKzROwayvz90jo2TIlGqXILW7TlMzawoQIxBy4pVnpDjsDrl6tmJOt9jO75jP/Dfc5uQc=</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Claude (Cowork) for Manoj</dc:creator>
  <dc:title>Multiship - QA bug list</dc:title>
  <dcterms:created xsi:type="dcterms:W3CDTF">2026-10-12T05:44:27Z</dcterms:created>
  <dcterms:modified xsi:type="dcterms:W3CDTF">2026-10-12T07:57:10Z</dcterms:modified>
  <cp:lastModifiedBy>Claude (Cowork) for Manoj</cp:lastModifiedBy>
</cp:coreProperties>
</file>