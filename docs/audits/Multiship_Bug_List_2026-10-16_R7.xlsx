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Bugs" sheetId="2" r:id="rId2"/>
    <sheet name="Coverage" sheetId="3" r:id="rId3"/>
    <sheet name="Screens" sheetId="4" r:id="rId4"/>
    <sheet name="Flows" sheetId="5" r:id="rId5"/>
    <sheet name="Test data" sheetId="6" r:id="rId6"/>
    <sheet name="_ledger" sheetId="7" state="hidden" r:id="rId7"/>
  </sheets>
  <definedNames>
    <definedName name="_xlnm._FilterDatabase" localSheetId="1" hidden="1">Bugs!$A$1:$AC$163</definedName>
    <definedName name="_xlnm._FilterDatabase" localSheetId="2" hidden="1">Coverage!$A$1:$N$439</definedName>
    <definedName name="_xlnm._FilterDatabase" localSheetId="3" hidden="1">Screens!$A$1:$N$42</definedName>
    <definedName name="_xlnm.Print_Titles" localSheetId="1">Bugs!$1:$1</definedName>
    <definedName name="_xlnm.Print_Titles" localSheetId="2">Coverage!$1:$1</definedName>
    <definedName name="_xlnm.Print_Titles" localSheetId="4">Flows!$1:$1</definedName>
    <definedName name="_xlnm.Print_Titles" localSheetId="3">Screens!$1:$1</definedName>
    <definedName name="_xlnm.Print_Titles" localSheetId="5">'Test data'!$1:$1</definedName>
  </definedNames>
  <calcPr calcId="124519" fullCalcOnLoad="1"/>
</workbook>
</file>

<file path=xl/sharedStrings.xml><?xml version="1.0" encoding="utf-8"?>
<sst xmlns="http://schemas.openxmlformats.org/spreadsheetml/2006/main" count="10167" uniqueCount="3795">
  <si>
    <t>Bug ID</t>
  </si>
  <si>
    <t>Severity</t>
  </si>
  <si>
    <t>Type</t>
  </si>
  <si>
    <t>Module</t>
  </si>
  <si>
    <t>Submodule</t>
  </si>
  <si>
    <t>Screen</t>
  </si>
  <si>
    <t>Element</t>
  </si>
  <si>
    <t>Title</t>
  </si>
  <si>
    <t>Steps to reproduce</t>
  </si>
  <si>
    <t>Test data</t>
  </si>
  <si>
    <t>Expected result</t>
  </si>
  <si>
    <t>Actual result</t>
  </si>
  <si>
    <t>Technical evidence</t>
  </si>
  <si>
    <t>URL</t>
  </si>
  <si>
    <t>Reproducibility</t>
  </si>
  <si>
    <t>Screenshots</t>
  </si>
  <si>
    <t>Requirement ref</t>
  </si>
  <si>
    <t>Role</t>
  </si>
  <si>
    <t>Build</t>
  </si>
  <si>
    <t>Found on</t>
  </si>
  <si>
    <t>Run</t>
  </si>
  <si>
    <t>Screen ID</t>
  </si>
  <si>
    <t>Also affects</t>
  </si>
  <si>
    <t>Tester status</t>
  </si>
  <si>
    <t>Retest notes</t>
  </si>
  <si>
    <t>Dev status</t>
  </si>
  <si>
    <t>Assigned to</t>
  </si>
  <si>
    <t>Developer comments</t>
  </si>
  <si>
    <t>Fixed in build</t>
  </si>
  <si>
    <t>BUG-001</t>
  </si>
  <si>
    <t>High</t>
  </si>
  <si>
    <t>Validation</t>
  </si>
  <si>
    <t>Orders</t>
  </si>
  <si>
    <t>New order</t>
  </si>
  <si>
    <t>New order form (international)</t>
  </si>
  <si>
    <t>Ship-from Full name</t>
  </si>
  <si>
    <t>New shipment (USPS international): label fails for MKL246's default sender name 'MKL'; the shipment check passes it</t>
  </si>
  <si>
    <t>1. Open Orders and click + New shipment (/orders/new)
2. Client: MKL246 (ship from 3PL-EAST, the client default); leave Ship from Full name as the profile default 'MKL'
3. Carrier: USPS
4. Ship to: Full name QA Test Recipient, Company QA Test Co, Address line 1 Av Paseo de la Reforma 222, Country Mexico (MX), Phone 5552081234, State / region CMX, City Ciudad de Mexico, Postal code 06600
5. Service level: USPS Priority Mail Intl
6. Packaging THB-PACKAGE, Weight 5; click Add another box, then Apply box 1 to all
7. Customs: Reason of export Sale, FTR exemption NOEEI 30.37(a), Label type PDF, Incoterms DAP
8. Importer of record &amp; customs broker &gt; Add: Type Receiver, Name and Contact QA Test Recipient, same address, city, post code and phone as Ship to &gt; Use for this shipment
9. Items: Description Cotton T-shirt, HS code 61091000, Origin US, Qty 2, Unit value 20.00, Wt 0.5
10. Click Validate shipment
11. Click Generate label</t>
  </si>
  <si>
    <t>Ship-from Full name 'MKL' (MKL246 profile default). Orders #934105 (Canada, PMI), #934109 (Canada, PMEI), #934147 (UK, PMI), #934186 (Mexico, PMI)</t>
  </si>
  <si>
    <t>Either the label is created, or the shipment check flags before Generate that USPS international needs a sender full name of first and last name (two words of 2+ letters).</t>
  </si>
  <si>
    <t>Check said 'Ready to ship — 1 thing to review: USPS normalised the address; review before shipping.' (Canada: 'All checks passed'). Generate label then shows 'The carrier rejected this shipment If provided, fullname must contain at least 2 alphabetic characters, followed by a space, followed by at least another 2 alphabetic characters. (saved as order 934186)' and the order is saved as ERROR. Same result 4 of 4 times (Canada, UK, Mexico; Priority Mail Intl and Priority Mail Express Intl). With Full name changed to 'MKL Shipping' the same shipments generate (#934107, #934108, #934110-#934112, #934148-#934151, #934187-#934190).</t>
  </si>
  <si>
    <t>GET /api/v1/orders/934186 -&gt; errorDetails.errorMessage 'STAMPS createShipmentSera[pkg 1/2] HTTP 400 ... fullname must contain at least 2 alphabetic characters ...' (Canada #934105: Stamps code 6619409). Orders list shows ERR with tooltip 'CARRIER If provided, fullname must contain ...'.</t>
  </si>
  <si>
    <t>/orders/new</t>
  </si>
  <si>
    <t>Always (4 of 4)</t>
  </si>
  <si>
    <t>BUG-001.jpg, BUG-001-2.jpg, BUG-001-3.jpg</t>
  </si>
  <si>
    <t>admin (ADMIN)</t>
  </si>
  <si>
    <t>2026-10-11</t>
  </si>
  <si>
    <t>R1</t>
  </si>
  <si>
    <t>S001</t>
  </si>
  <si>
    <t>Closed</t>
  </si>
  <si>
    <t>2026-10-12 R3: still-failing - Confirmed with one SANDBOX label, with Manoj's permission. USPS Priority Mail Intl, MKL246 to 1 Canada Square, London E14 5AB, GB, Ship from Full name left at the client default 'MKL'. The check reported 'Ready to ship - 1 thing to review' with Addresses, Package &amp; weight, Account/service/price and Customs all Passed, and Generate label was enabled. Generate then produced the red toast 'The carrier rejected this shipment - If provided, fullname must contain at least 2 alphabetic characters, followed by a space, followed by at least another 2 alphabetic characters. (saved as order 934191)'. GET /api/v1/orders/934191 shows status ERROR with 'STAMPS createShipmentSera[pkg 1/2] HTTP 400 ... error_code 6619409'. The only change is that the toast now names the order it saved.
2026-10-13 R4 (build local dev, 2026-10-13): still-failing - The pre-flight guard is still absent. USPS Priority Mail Intl, MKL246 to 1 Canada Square, London E14 5AB GB, with Ship from Full name left at the client default 'MKL': the check returns 'Ready to ship - 1 thing to review' with Addresses, Package &amp; weight, Account/service/price and Customs all Passed, and Generate label is enabled. No check mentions the sender name. The carrier rejection itself was not re-provoked today - it was confirmed on 2026-10-12 with order #934191 (STAMPS HTTP 400, error_code 6619409) and nothing in the form has changed, so a second order was not spent on it.
2026-10-13 R5 (build local dev, 2026-10-13 (rebuilt after R4; frontend modules dated 13:12 IST)): fixed - Fixed by outcome. USPS Priority Mail Intl, MKL246 to 1 Canada Square, London E14 5AB GB, 2 x THB-PACKAGE 5 lb, Ship from Full name left at the client default 'MKL' (the validate request carries shipFrom.name 'MKL'). The check still does not mention the sender name - it returns 'Ready to ship - 1 thing to review' with Addresses Passed and localErrors [] - but Generate label now succeeds: order #934192 (reference QA-1013-R5-GB-US-PMI-MKL) was created as GENERATED with tracking CJ000000005US and no errorDetails, where #934191 was refused by Stamps with error 6619409 on the same lane. The bug allowed either outcome ('the label is created, or the check flags it'), and the label is now created. Note for the developers: the 'USPS international needs a sender full name' message described in the fix was not seen anywhere in the interface on this lane.</t>
  </si>
  <si>
    <t>Fixed</t>
  </si>
  <si>
    <t>Fixed on dev (70ae2636): SERA fullname guard shipped 2026-10-12; verified via curl: validate returns "USPS international needs a sender full name" as sender.name error. QA R4 ran against stale FE bundle. Rebuild + retest.</t>
  </si>
  <si>
    <t>2026-10-13</t>
  </si>
  <si>
    <t>BUG-002</t>
  </si>
  <si>
    <t>Functional</t>
  </si>
  <si>
    <t>Item Pkg#</t>
  </si>
  <si>
    <t>New shipment (USPS international, 2 boxes): with all item lines in box 1, box 2 fails 'Missing customs lines' after box 1 already went to the carrier</t>
  </si>
  <si>
    <t>1. Open Orders and click + New shipment (/orders/new)
2. Client: MKL246 (ship from 3PL-EAST, the client default); set Ship from Full name to 'MKL Shipping'
3. Carrier: USPS
4. Ship to: QA Test Recipient, QA Test Co, Toronto ON M5V 3L9, Canada (as for the other Canada orders of the run)
5. Service level: USPS Priority Mail Intl
6. Packaging THB-PACKAGE, Weight 5; Add another box; Apply box 1 to all
7. Customs: Reason of export Sale, Label type PDF, Incoterms DAP
8. Importer of record &amp; customs broker &gt; Add: Type Receiver, Name and Contact QA Test Recipient, same address, city, post code and phone as Ship to &gt; Use for this shipment
9. Items: one line Cotton T-shirt, HS 61091000, Origin US, Qty 2, Unit value 20.00, Wt 0.5; leave Boxes on 'All in box 1' (Pkg # 1)
10. Click Validate shipment, then Generate label</t>
  </si>
  <si>
    <t>Order #934106 (QA-1011-R13-CA-US-PMI-THB-NM)</t>
  </si>
  <si>
    <t>The check warns that USPS needs customs lines on every box (or the lines are split across the boxes automatically) before the label is bought; nothing is booked for part of the shipment.</t>
  </si>
  <si>
    <t>Check: 'All checks passed'. Generate label: 'Missing customs lines.'; order #934106 saved as ERROR. The error names package 2 of 2, so package 1 had already passed its carrier call; the app shows nothing about whether package 1 was booked or voided at USPS (not verified). With two lines of Qty 1 spread across the boxes (Spread across 2 boxes) the same shipment generates (#934108, #934110-#934112, #934148-#934151, #934187-#934190).</t>
  </si>
  <si>
    <t>GET /api/v1/orders/934106 -&gt; errorDetails.errorMessage 'STAMPS createShipmentSera[pkg 2/2] HTTP 400 ... Missing customs lines.'</t>
  </si>
  <si>
    <t>1 of 1 (not repeated, to avoid further carrier bookings)</t>
  </si>
  <si>
    <t>BUG-002.jpg, BUG-002-2.jpg, BUG-002-3.png</t>
  </si>
  <si>
    <t>2026-10-12 R3: fixed - The pre-flight now catches it. With two boxes and every item line in box 1, the check reports '1 issue to fix before the label can be bought' and under Package &amp; weight: 'Box 2 has no customs lines. Every box in a multi-box international shipment needs at least one item - redistribute items or remove the box.' Generate label stays disabled and Carrier check reads 'Not checked', so nothing is sent to the carrier. After spreading the lines across the boxes the check passes. Nothing is now booked for part of a shipment.
2026-10-13 R4 (build local dev, 2026-10-13): fixed - Re-walked. With two boxes and every item line put in box 1, the check returns '1 issue to fix before the label can be bought' and under Package &amp; weight: 'Box 2 has no customs lines. Every box in a multi-box international shipment needs at least one item - redistribute items or remove the box.' Generate label stays disabled and Carrier check reads 'Not checked', so the carrier is never called for a part-filled shipment.
2026-10-13 R5 (build local dev, 2026-10-13 (rebuilt after R4; frontend modules dated 13:12 IST)): fixed - Regression check passed. Same USPS shipment to London with two boxes and the only item line in box 1: the check returns '1 issue to fix before the label can be bought' with Package &amp; weight 'Box 2 has no customs lines. Every box in a multi-box international shipment needs at least one item - redistribute items or remove the box.', Carrier check 'Not checked' and Generate label disabled.</t>
  </si>
  <si>
    <t>New</t>
  </si>
  <si>
    <t>BUG-003</t>
  </si>
  <si>
    <t>Medium</t>
  </si>
  <si>
    <t>Add another box</t>
  </si>
  <si>
    <t>New shipment: single-piece carrier packagings (FedEx Envelope, 10kg, 25kg box; UPS 10KG, 25KG box) accept a second box, then the carrier rejects the label</t>
  </si>
  <si>
    <t>1. Open Orders and click + New shipment (/orders/new)
2. Client: MKL246 (ship from 3PL-EAST, the client default)
3. Carrier: FedEx
4. Ship to: QA Test Recipient, Toronto ON M5V 3L9, Canada
5. Service level: FedEx International Priority
6. Packaging FedEx 10kg Box, Weight 10
7. Click Add another box, then Apply box 1 to all (2 boxes)
8. Customs: Reason of export Sale, Export declaration ref 'NO EEI 30.36', Label type PDF, Label size Paper 4x6, Incoterms DAP
9. Importer of record &amp; customs broker &gt; Add: Type Receiver, Name and Contact QA Test Recipient, same address, city, post code and phone as Ship to &gt; Use for this shipment
10. Items: Description Cotton T-shirt, HS code 61091000, Origin US, Qty 2, Unit value 20.00, Wt 0.5
11. Click Validate shipment, then Generate label
12. Repeat with FedEx Envelope (International Economy and Priority), FedEx 25kg Box, and with carrier UPS, Worldwide Saver and Worldwide Express, UPS 10KG Box (10 lb) and UPS 25KG Box (20 lb)</t>
  </si>
  <si>
    <t>FedEx: #934063 (IE Envelope), #934068 (IP 10kg), #934069 (IP 25kg), #934070 (IP Envelope). UPS: #934079, #934080 (Saver 10KG/25KG), #934091, #934092 (Express 10KG/25KG)</t>
  </si>
  <si>
    <t>The form allows only one box for these single-piece packagings, or the check blocks Generate with a message about the box count.</t>
  </si>
  <si>
    <t>FedEx check: ready to ship with one item to review, the note 'Multi-package validate: FedEx only supports single-piece pre-flight; box 1 validated, boxes 2–2 verified at label create'. Label: 'The package count for this shipment exceeds limit.' UPS check: ready to ship with one item to review (the UPS rate call returned HTTP 400 with the same message as below), Carrier check passed and Generate enabled; label: 'The requested service is not valid for shipments with the requested packaging.', which is misleading because the same service and packaging generate as one box (#934075-#934078, #934093, #934094, #934103, #934104 and every UK/Mexico 1-box order). 8 of 8 two-box attempts failed.</t>
  </si>
  <si>
    <t>API errorDetails: 'FEDEX createShipment HTTP 400 ... The package count for this shipment exceeds limit.' (#934063, #934068-#934070); 'UPS createShipment HTTP 400 ... The requested service is not valid for shipments with the requested packaging.' (#934079, #934080, #934091, #934092)</t>
  </si>
  <si>
    <t>Always (8 of 8 two-box attempts; 0 failures as one box)</t>
  </si>
  <si>
    <t>BUG-003.jpg, BUG-003-2.jpg, BUG-003-3.jpg, BUG-003-4.jpg, BUG-003-5.png, BUG-003-6.png</t>
  </si>
  <si>
    <t>2026-10-12 R3: fixed - Single-piece packagings now refuse extra boxes. With FedEx Envelope, both 'Add another box' and 'Add N boxes like the last' are disabled=true with the tooltip 'FedEx Envelope ships at most 1 box per label. If you need to ship more than one box, create each one as a separate shipment.'; UPS 10KG Box gives the same guard. With an extra box already on the form, switching to UPS 10KG Box raises an inline warning naming the consequence: 'UPS 10KG Box ships at most 1 box per label - the carrier will reject this 2-box shipment. Remove the extra boxes or pick a larger packaging.' The label is no longer bought and then rejected. Note the new BUG-053: in exactly that state the Validate button goes silent.
2026-10-13 R4 (build local dev, 2026-10-13): fixed - Re-walked on UPS. With UPS 10KG Box selected, 'Add another box' and 'Add N boxes like the last' are both disabled=true with the tooltip 'UPS 10KG Box ships at most 1 box per label. To ship multiple boxes, create each one as a separate shipment.', and an existing extra box raises the inline warning 'UPS 10KG Box ships at most 1 box per label - the carrier will reject this 2-box shipment. Remove the extra boxes or pick a larger packaging.'
2026-10-13 R5 (build local dev, 2026-10-13 (rebuilt after R4; frontend modules dated 13:12 IST)): fixed - Regression check passed on FedEx: with FedEx International Priority and Packaging 'FedEx 10kg Box', both 'Add another box' and 'Add N boxes like the last' are disabled with the tooltip 'FedEx 10kg Box ships at most 1 box per label. If you need to ship more than one box, create each one as a separate shipment.' (UPS checked separately under BUG-053). UPS checked too: with UPS 10KG Box selected and two boxes already on the form, 'Add another box' and 'Add N boxes like the last' are disabled with 'UPS 10KG Box ships at most 1 box per label. To ship multiple boxes, create each one as a separate shipment.', and the inline warning names the 2-box conflict.</t>
  </si>
  <si>
    <t>BUG-004</t>
  </si>
  <si>
    <t>Shipment check panel</t>
  </si>
  <si>
    <t>Shipment check (FedEx International Priority): '1 issue to fix: FEDEX did not quote FedEx International Priority' although IP is in the quoted list; Generate stays enabled</t>
  </si>
  <si>
    <t>1. Open Orders and click + New shipment (/orders/new)
2. Client: MKL246 (ship from 3PL-EAST, the client default)
3. Carrier: FedEx
4. Ship to: Full name QA Test Recipient, Company QA Test Co, Address line 1 Av Paseo de la Reforma 222, Country Mexico (MX), Phone 5552081234, State / region CMX, City Ciudad de Mexico, Postal code 06600
5. Service level: FedEx International Priority
6. Packaging THB-PACKAGE, Weight 5 (one box)
7. Customs: Reason of export Sale, Label type PDF, Incoterms DAP
8. Importer of record &amp; customs broker &gt; Add: Type Receiver, Name and Contact QA Test Recipient, same address, city, post code and phone as Ship to &gt; Use for this shipment
9. Items: Description Cotton T-shirt, HS code 61091000, Origin US, Qty 2, Unit value 20.00, Wt 0.5
10. Click Validate shipment</t>
  </si>
  <si>
    <t>Retest 2026-10-12, reference QA-1012-EVID-MX-FX-IP (validated only, not saved), and the same on a UK tube shipment. During the run: every International Priority shipment whose FedEx rate call succeeded, e.g. #934072, #934074, #934118, #934122, #934157, #934161-#934163</t>
  </si>
  <si>
    <t>No issue when the selected service is in the quoted list. A check that says an issue must be fixed before the label can be bought should also keep Generate disabled.</t>
  </si>
  <si>
    <t>Check header '1 issue to fix before the label can be bought · 1 to review'; Account, service &amp; price '1 to fix': 'FEDEX did not quote FedEx International Priority for this lane — the label may be refused. Quoted instead: FedEx International Connect Plus — USD 159.18; FedEx International Economy® — USD 174.95; FedEx International Priority® — USD 218.58; FedEx International Priority® Express — USD 229.64; FedEx International First® — USD 271.64.' The same sentence is listed twice (as to fix and to review) and again in the price box. Generate label stays enabled and the labels generate. Seen for Canada, UK and Mexico; retested 2026-10-12 for Mexico and UK.</t>
  </si>
  <si>
    <t>The quoted list contains 'FedEx International Priority®' (with the registered mark), which may be why the match on the service name fails. No console capture.</t>
  </si>
  <si>
    <t>Always when the FedEx rate call succeeds</t>
  </si>
  <si>
    <t>BUG-004.jpg, BUG-004-2.jpg, BUG-004-3.jpg, BUG-004-4.jpg, BUG-004-5.png, BUG-004-6.jpg, BUG-004-7.jpg, BUG-004-8.jpg, BUG-004-9.jpg, BUG-004-10.png, BUG-004-11.png</t>
  </si>
  <si>
    <t>2026-10-12 R3: fixed - FedEx International Priority to Mexico (MKL246, THB-PACKAGE 5 lb, importer Receiver) now returns 'All checks passed - ready to generate the label' with Account, service &amp; price Passed and the detail 'PRICE &amp; DELIVERY - FEDEX INTERNATIONAL PRIORITY(R)  Price USD 218.58  Billed weight 5 lb  &gt; Other FEDEX services on this lane (4)'. The contradictory 'FEDEX did not quote FedEx International Priority' issue is gone and the selected service is matched to the quote.
2026-10-13 R4 (build local dev, 2026-10-13): fixed - FedEx International Priority to Ciudad de Mexico now matches the selected service to the quote: Account, service &amp; price shows 'PRICE &amp; DELIVERY - FEDEX INTERNATIONAL PRIORITY / Billed weight 4 lb' and the contradictory 'FEDEX did not quote FedEx International Priority' issue is gone. The only note on this run was a genuine sandbox outage - 'No price: FEDEX rate call failed - HTTP 503 The service is currently unavailable' - which is the carrier being down, not the bug.
2026-10-13 R5 (build local dev, 2026-10-13 (rebuilt after R4; frontend modules dated 13:12 IST)): fixed - Regression check passed once the FedEx sandbox answered (the first two validations got 'HTTP 503'). FedEx International Priority, MKL246 to Av Paseo de la Reforma 222, Ciudad de Mexico CMX 06600, THB-PACKAGE 5 lb: the check reads 'All checks passed - ready to generate the label' with Account, service &amp; price Passed; the quote is QUOTED 'FedEx International Priority(R)' USD 218.58, with Connect Plus 159.18, Economy 174.95, Priority Express 229.64 and First 271.64 listed as alternatives. The contradictory 'FEDEX did not quote FedEx International Priority' issue does not appear.</t>
  </si>
  <si>
    <t>BUG-005</t>
  </si>
  <si>
    <t>Usability</t>
  </si>
  <si>
    <t>FTR exemption (UK, Mexico)</t>
  </si>
  <si>
    <t>New shipment (FedEx to Canada): no FTR exemption field; with Export declaration ref empty FedEx rejects 'FTR Exemption or AES Citation ... not valid for EEI'</t>
  </si>
  <si>
    <t>1. Open Orders and click + New shipment (/orders/new)
2. Client: MKL246 (ship from 3PL-EAST, the client default)
3. Carrier: FedEx
4. Ship to: Full name QA Test Recipient, Company QA Test Co, Address line 1 290 Bremner Blvd, Country Canada (CA), Phone 4165550100, State / region ON, City Toronto, Postal code M5V 3L9
5. Service level: FedEx International Economy
6. Packaging FedEx Pak, Weight 2 (one box)
7. Customs: Reason of export Sale; note there is no FTR exemption or AES ITN field for Canada; leave Export declaration ref empty; Label type PDF; Label size Paper 4x6; Incoterms DAP
8. Importer of record &amp; customs broker &gt; Add: Type Receiver, Name and Contact QA Test Recipient, same address, city, post code and phone as Ship to &gt; Use for this shipment
9. Items: Description Cotton T-shirt, HS code 61091000, Origin US, Qty 2, Unit value 20.00, Wt 0.5
10. Click Validate shipment</t>
  </si>
  <si>
    <t>Retest 2026-10-12, reference QA-1012-EVID-CA-FX-IE (validated only, not saved). During the run all Canada FedEx orders (#934063-#934078) needed the workaround</t>
  </si>
  <si>
    <t>Canada gets the same FTR exemption dropdown as the UK and Mexico forms (which already list 'NOEEI §30.36 — export to Canada'), or a valid default, so a low-value shipment passes without typing a citation.</t>
  </si>
  <si>
    <t>Carrier check '1 to fix': 'FedEx rejected the shipment: The FTR Exemption or AES Citation you provided is not valid for EEI.' Generate label stays disabled, while 'Customs &amp; dangerous goods' shows Passed. Typing 'NO EEI 30.36' into Export declaration ref makes the check pass.</t>
  </si>
  <si>
    <t>Canada form selects: Reason of export, Currency, Label type, Label size, Pickup type, Incoterms, Duties paid by - no FTR exemption (UK and Mexico forms have it).</t>
  </si>
  <si>
    <t>Always</t>
  </si>
  <si>
    <t>BUG-005.jpg, BUG-005-2.jpg, BUG-005-3.png, BUG-005-4.png</t>
  </si>
  <si>
    <t>2026-10-12 R3: fixed - The Canada form now carries an FTR EXEMPTION dropdown and an AES ITN (CENSUS) field next to Reason of export. The dropdown offers '-- None (using AES) --', 'NOEEI 30.37(a) - value under $2,500 USD', 'NOEEI 30.37(h) - tools of trade / temporary export' and 'NOEEI 30.36 - export to Canada'. With Export declaration ref left empty and the exemption left at None, Validate shipment returned all five checks Passed, Carrier check included - the 'FTR Exemption or AES Citation you provided is not valid for EEI' refusal is gone.
2026-10-13 R4 (build local dev, 2026-10-13): fixed - The FTR EXEMPTION dropdown and AES ITN (CENSUS) field are present on the Canada form. A Canada shipment validated with the exemption left at '-- None (using AES) --' and Export declaration ref empty returned all five checks Passed, Carrier check included.
2026-10-13 R5 (build local dev, 2026-10-13 (rebuilt after R4; frontend modules dated 13:12 IST)): fixed - Fixed as the bug asked: the Canada form now has the FTR EXEMPTION dropdown (None (using AES), NOEEI 30.37(a), NOEEI 30.37(h), NOEEI 30.36 - export to Canada) and an AES ITN (CENSUS) field. With the original steps (FedEx International Economy, FedEx Pak 2 lb, Toronto ON M5V 3L9, Export declaration ref empty) and 'NOEEI 30.36 - export to Canada' picked, the check returns 'Local + FEDEX checks passed. Ready to generate the label.' with no citation typed. Unlike R4, though, leaving the exemption at its default '-- None (using AES) --' now gets 'FedEx rejected the shipment: The FTR Exemption or AES Citation you provided is not valid for EEI.' again (2 of 2 validations, IE/Pak and IP/10kg Box), while Customs &amp; dangerous goods says Passed - logged separately as a new validation finding.</t>
  </si>
  <si>
    <t>BUG-006</t>
  </si>
  <si>
    <t>Add N boxes like the last</t>
  </si>
  <si>
    <t>New shipment: 'Add N boxes like the last' copies the weight but leaves Length / Width / Height empty for a carrier box</t>
  </si>
  <si>
    <t>1. Open Orders and click + New shipment (/orders/new)
2. Client: MKL246 (ship from 3PL-EAST, the client default)
3. Carrier: UPS
4. Ship to country Mexico
5. Service level: UPS Worldwide Saver
6. Packaging UPS Large Express Box, Weight 4
7. Set the box count next to 'boxes like the last' to 1
8. Click 'boxes like the last' (tooltip: 'Adds boxes copying the last box's weight and dimensions (box 1's when there is no extra box yet)')</t>
  </si>
  <si>
    <t>Seen on MX-UP-WWS-LBOX (#934168) during the run; retested 2026-10-12 (form not saved)</t>
  </si>
  <si>
    <t>Box 2 gets weight 4 lb and the box's dimensions 18 x 13 x 3 in, as the tooltip says.</t>
  </si>
  <si>
    <t>Box 2 shows Weight 4 and empty L, W and H fields. Apply box 1 to all fills them (18 x 13 x 3).</t>
  </si>
  <si>
    <t>Box card after the click: 'BOX 2 ... Weight (lb) 4, L (in) [empty], W (in) [empty], H (in) [empty]'</t>
  </si>
  <si>
    <t>Always (2 of 2)</t>
  </si>
  <si>
    <t>BUG-006.jpg, BUG-006-2.jpg, BUG-006-3.jpg</t>
  </si>
  <si>
    <t>2026-10-12 R3: fixed - Retested on the exact original repro: UPS Large Express Box, weight 4, 'Add 1 boxes like the last'. Box 2 now reads 'BOX 2  4 lb - 18x13x3 in' - the dimensions are copied as well as the weight, and the extra box is shown as a compact summary with Duplicate / Edit / delete. Same result with a Custom package carrying 18x13x3. One gap remains: for THB-PACKAGE, which has no dimension fields of its own, box 2 still opens with empty L, W and H.
2026-10-13 R4 (build local dev, 2026-10-13): fixed - Re-walked on the original repro: UPS Large Express Box, weight 4, 'Add 1 boxes like the last' gives 'BOX 2  4 lb - 18x13x3 in'. Weight and dimensions are both copied.
2026-10-13 R5 (build local dev, 2026-10-13 (rebuilt after R4; frontend modules dated 13:12 IST)): fixed - Regression check passed: UPS Large Express Box, weight 4, 'Add 1 boxes like the last' gives 'BOX 2 4 lb - 18x13x3 in' - weight and dimensions both copied (checked on the Canada lane).</t>
  </si>
  <si>
    <t>BUG-007</t>
  </si>
  <si>
    <t>Label</t>
  </si>
  <si>
    <t>Label documents</t>
  </si>
  <si>
    <t>Label preview</t>
  </si>
  <si>
    <t>Label documents #934118: label stored as a FedEx document link instead of the PDF; each label request takes 3-4 s and the page shows 'Loading label document...' for about 8 s</t>
  </si>
  <si>
    <t>1. Open /label/934118 (Orders &gt; order #934118 &gt; View label)
2. Watch the label area and the Download / Print buttons
3. Compare with /label/934119 (same carrier, service and lane)</t>
  </si>
  <si>
    <t>Order #934118 (QA-1011-R13-GB-FX-IP-10KG-1B), FedEx International Priority to the UK</t>
  </si>
  <si>
    <t>The label is stored like the other 114 labels and the page shows it within a second.</t>
  </si>
  <si>
    <t>'Loading label document...' with Download PDF, Download .zpl, Copy ZPL and Print Label disabled until about 12 s after opening the page (about 3 s for #934119), then the label renders. The order's labelDetails.labelFilePath holds 'https://wwwtest.fedex.com/document/v1/cache/retrieve/SH...' (124 characters) while the other 114 generated orders hold the base64 PDF. Whether that FedEx link expires was not verified.</t>
  </si>
  <si>
    <t>GET /api/v1/orders/934118/label 3.6-4.3 s, GET /api/v1/orders/934118/label/pdf 3.4 s; for #934119: 55-109 ms and 21 ms (browser resource timing, 2026-10-12).</t>
  </si>
  <si>
    <t>/label/934118</t>
  </si>
  <si>
    <t>Always for #934118 (1 of 115 labels)</t>
  </si>
  <si>
    <t>BUG-007.jpg, BUG-007-R7.jpg</t>
  </si>
  <si>
    <t>S003</t>
  </si>
  <si>
    <t>API &gt; Orders &gt; Order detail (GET /api/v1/orders/{id})</t>
  </si>
  <si>
    <t>Reopened</t>
  </si>
  <si>
    <t>2026-10-12 R3: still-failing - Unchanged. /label/934118 shows 'Loading label document...' with Download PDF, Download .zpl, Copy ZPL and Print Label disabled for about 10-12 seconds (about 3 seconds for /label/934119 on the same carrier and lane). GET /api/v1/orders/934118 still returns labelDetails.labelFilePath as a 124-character 'https://wwwtest.fedex.com/document/v1/cache/retrieve/SH...' link while the other generated orders hold the base64 PDF (934119: 18,376 characters; 934190: 133,684). The rendered document is also still the one-page FedEx text placeholder rather than the 4-page SANDBOX label the other orders show.
2026-10-13 R4 (build local dev, 2026-10-13): still-failing - Unchanged on the 2026-10-13 build. GET /api/v1/orders/934118 still returns labelDetails.labelFilePath as a 124-character https://wwwtest.fedex.com/document/v1/cache/retrieve/... link, while every other generated order holds the base64 PDF (934119: 18,376 characters; 934172: 59,768; 934190: 133,684). The label page for 934118 still sits on 'Loading label document...' with the download and print buttons disabled for roughly ten seconds against about three for the others.
2026-10-13 R5 (build local dev, 2026-10-13 (rebuilt after R4; frontend modules dated 13:12 IST)): still-failing - New labels are fine; the order in the bug is not, and the guard itself could not be exercised. A new FedEx International Priority label to the UK (order #934193, 2 x FedEx Tube, reference QA-1013-R5-GB-FX-IP-TUBE-2B, generated with Manoj's permission) is stored as a PDF - labelDetails.labelFilePath is an 18,308-character base64 string starting %PDF - and /label/934193 renders at once (GET /label 184-248 ms, /label/pdf 36 ms). But the original fault hit 1 label in 115, so one clean label does not show that the new URL-only guard works, and FedEx cannot be made to return a link-only label on demand. Order #934118 itself is unchanged: GET /api/v1/orders/934118 still returns a 124-character https://wwwtest.fedex.com/document/... link and GET /label takes 2.3 s against 63 ms for #934119. The developers say an admin label-backfill endpoint can repair it; that endpoint is not in the interface, so it was not run. Please run it for #934118 and the order can be re-checked.
2026-10-14 R6 (build local dev, 2026-10-14 (order-form modules reloaded 13:17 IST)): still-failing - R6: unchanged - the backfill has not been run. /label/934118 still opens on 'Loading label document...' with Download PDF, Download .zpl, Copy ZPL and Print Label disabled; GET /api/v1/orders/934118 takes about 4.0 s and its labelDetails.labelFilePath is still the 124-character https://wwwtest.fedex.com/document/... link; GET /label 3.9 s and the two preview.png requests 4.5 s and 6.0 s.
2026-10-16 R7 (build local dev, 2026-10-16): still-failing - unchanged - the backfill the developers describe has not been run. /label/934118 opens on 'Loading label document...' with Download PDF, Download .zpl, Copy ZPL and Print Label disabled, the header enables at about 6 s and the label renders at about 12 s (screenshots at 1, 6 and 12 s); /label/934119 renders within 2 s. GET /api/v1/orders/934118 still returns labelDetails.labelFilePath as the 124-character https://wwwtest.fedex.com/document/... link while #934172, #934190 and #934192 hold base64 PDFs (59,768 to 133,684 characters). New labels bought in this run (#934195, #934196) are stored as PDF and open at once. Needs the admin label-backfill run for #934118, then a recheck.</t>
  </si>
  <si>
    <t>Deferred</t>
  </si>
  <si>
    <t>Deferred to next round: Needs backfill endpoint invocation for #934118; no new code.</t>
  </si>
  <si>
    <t>BUG-008</t>
  </si>
  <si>
    <t>Low</t>
  </si>
  <si>
    <t>State / region (UK, Mexico)</t>
  </si>
  <si>
    <t>New shipment (ship to Mexico): State / region is required but has no * marker, a US placeholder 'NY', and accepts only ISO codes as free text</t>
  </si>
  <si>
    <t>1. Open Orders and click + New shipment (/orders/new)
2. Client: MKL246 (ship from 3PL-EAST, the client default)
3. Carrier: FedEx
4. Ship to country Mexico; fill name, address, city Ciudad de Mexico, postal code 06600; leave State / region empty
5. Complete the rest of the form and click Validate shipment
6. Enter DF in State / region and click Validate shipment again</t>
  </si>
  <si>
    <t>Retest 2026-10-12 (QA-1012-EVID-MX-FX-IP, not saved); during the run every Mexico order needed CMX</t>
  </si>
  <si>
    <t>Required fields carry the * marker used elsewhere on the form, and Mexico offers a state dropdown like Canada's province list, so a valid code is picked rather than guessed.</t>
  </si>
  <si>
    <t>The label 'STATE / REGION' has no * (City * and Postal code * do), and the placeholder is 'NY'. Empty: toast '1 field needs attention — Ship to state: state / region is required' and the field turns red. 'DF' is accepted by the field and only rejected by the check; 'CMX' works. The run notes recorded Validate doing nothing visible; on retest the toast appeared, so that part is not reported.</t>
  </si>
  <si>
    <t>BUG-008.jpg, BUG-008-2.jpg, BUG-008-3.png, BUG-008-4.jpg, BUG-008-5.jpg, BUG-008-6.png, BUG-008-7.png</t>
  </si>
  <si>
    <t>2026-10-12 R3: still-failing - Two of the three parts are fixed. The label now reads 'STATE / REGION *' with the red asterisk the other required fields carry, and the placeholder for Mexico is now 'CMX', a real Mexican state code, not the US 'NY'. What remains: the field is still a free-text input for Mexico, not a dropdown of Mexican states the way Canada gets a province list and the US gets a state list - and it silently accepts a value carried over from another country (switching Canada to Mexico left 'ON' in the box, which only the carrier check later rejects).
2026-10-13 R4 (build local dev, 2026-10-13): fixed - Mexico now gets a proper state list. With the country set to Mexico, State / region becomes a 32-entry dropdown (AGU - Aguascalientes, BCN - Baja California, BCS - Baja California Sur, CAM - Campeche, CHP - Chiapas and the rest) with the required asterisk on the label. The US placeholder 'NY' and the free-typed guessing are both gone, and a value carried over from another country can no longer survive the switch.
2026-10-13 R5 (build local dev, 2026-10-13 (rebuilt after R4; frontend modules dated 13:12 IST)): fixed - Regression check passed: with Ship to country Mexico, State / region is a dropdown of 32 states (AGU - Aguascalientes ... CMX - Ciudad de Mexico ...) labelled 'STATE / REGION *'; the postal code placeholder reads 'e.g. 01000'. Changing the state does not clear City or Postal code.</t>
  </si>
  <si>
    <t>BUG-009</t>
  </si>
  <si>
    <t>Content</t>
  </si>
  <si>
    <t>Shipment check (Mexico): state message says 'Use the 2-letter code (e.g. CMX, JAL, NLE)' but every example is three letters</t>
  </si>
  <si>
    <t>1. Open Orders and click + New shipment (/orders/new)
2. Client: MKL246 (ship from 3PL-EAST, the client default)
3. Carrier: FedEx
4. Ship to country Mexico with State / region DF
5. Complete the form and click Validate shipment</t>
  </si>
  <si>
    <t>QA-1012-EVID-MX-FX-IP (validated only)</t>
  </si>
  <si>
    <t>The message asks for the 3-letter state code (CMX, JAL, NLE).</t>
  </si>
  <si>
    <t>Addresses '1 to fix': 'State/province "DF" isn't a valid MX code. Use the 2-letter code (e.g. CMX, JAL, NLE), not the full name.'</t>
  </si>
  <si>
    <t>BUG-009.jpg, BUG-009-2.jpg, BUG-009-3.png</t>
  </si>
  <si>
    <t>2026-10-12</t>
  </si>
  <si>
    <t>2026-10-12 R3: fixed - The check message now reads: 'State/province "DF" isn't a valid MX code. Use the official code (e.g. CMX, JAL, NLE), not the full name.' The wrong '2-letter code' wording is gone, so the instruction and the examples agree.
2026-10-13 R4 (build local dev, 2026-10-13): fixed - Unreachable by design now. Because Mexico's State / region is a dropdown of official codes, an invalid value such as DF cannot be typed, so the message 'Use the 2-letter code (e.g. CMX, JAL, NLE)' no longer appears. The wording was already corrected to 'Use the official code' on 2026-10-12.
2026-10-13 R5 (build local dev, 2026-10-13 (rebuilt after R4; frontend modules dated 13:12 IST)): fixed - Regression check passed: the message cannot be reached any more because Mexico's State / region only offers official codes from a dropdown, so an invalid value such as DF cannot be entered.</t>
  </si>
  <si>
    <t>BUG-010</t>
  </si>
  <si>
    <t>Importer of record &amp; customs broker: Add</t>
  </si>
  <si>
    <t>New shipment (Mexico): Importer section shows the badge 'RESOLVED FOR MX' next to the warning 'No importer/broker profile covers MX for MKL246'</t>
  </si>
  <si>
    <t>1. Open Orders and click + New shipment (/orders/new)
2. Client: MKL246 (ship from 3PL-EAST, the client default)
3. Carrier: USPS (also seen with FedEx)
4. Ship to country Mexico
5. Look at the Importer of record &amp; customs broker section before adding an override</t>
  </si>
  <si>
    <t>Seen 2026-10-12 (forms not saved)</t>
  </si>
  <si>
    <t>The badge and the message agree: no profile means no 'resolved' badge (the FedEx ship-to card also shows 'Importer/broker resolved for MX').</t>
  </si>
  <si>
    <t>Badge 'RESOLVED FOR MX' and, below it, 'No importer/broker profile covers MX for MKL246. Click Add to enter importer/broker for this shipment only'.</t>
  </si>
  <si>
    <t>BUG-010.jpg, BUG-010-2.jpg, BUG-010-3.png</t>
  </si>
  <si>
    <t>2026-10-12 R3: fixed - For a Mexico shipment with no importer profile, the badge now reads 'NOT CONFIGURED' in grey next to the message 'No importer/broker profile covers MX for MKL246. Click Add to enter importer/broker for this shipment only (the client's saved profile is not changed).' The contradictory 'RESOLVED FOR MX' badge is gone. Once an override is entered the badge becomes 'OVERRIDDEN - THIS SHIPMENT' and the Ship to card shows the green 'Importer/broker resolved for CA' chip - both now only when something really is resolved.
2026-10-13 R4 (build local dev, 2026-10-13): fixed - On a Canada shipment with no importer profile the badge reads 'NOT CONFIGURED' beside 'No importer/broker profile covers CA for MKL246...', and on a UK shipment the Ship to card reads the amber 'No importer/broker profile for GB - set one up'. The badge only says resolved once an override is actually applied.
2026-10-13 R5 (build local dev, 2026-10-13 (rebuilt after R4; frontend modules dated 13:12 IST)): fixed - Regression check passed on the Mexico lane: before an override the Importer section reads 'NOT CONFIGURED' beside 'No importer/broker profile covers MX for MKL246. Click Add to enter importer/broker for this shipment only...', and after Receiver - DAP is applied it reads 'OVERRIDDEN - THIS SHIPMENT'. No 'resolved' badge appears without a profile.</t>
  </si>
  <si>
    <t>BUG-011</t>
  </si>
  <si>
    <t>Item HS code and lookup</t>
  </si>
  <si>
    <t>New shipment (Canada): HS code lookup suggests the 6-digit 610910, which the form then rejects as too short</t>
  </si>
  <si>
    <t>1. Open Orders and click + New shipment (/orders/new)
2. Client: MKL246 (ship from 3PL-EAST, the client default)
3. Carrier: FedEx
4. Ship to country Canada
5. Items: Description Cotton T-shirt; take the HS code the lookup suggests</t>
  </si>
  <si>
    <t>First Canada shipment of the run (2026-10-11)</t>
  </si>
  <si>
    <t>The lookup offers a code long enough for the destination (8+ digits for Canada).</t>
  </si>
  <si>
    <t>Lookup gives 610910; inline error 'CA needs at least an 8-digit HS code (you entered 6)'. 61091000 typed by hand is accepted.</t>
  </si>
  <si>
    <t>Seen once (not retested)</t>
  </si>
  <si>
    <t>BUG-011.png</t>
  </si>
  <si>
    <t>2026-10-12 R3: fixed - Typing 't-shirt' into HS code on a Canada shipment still lists 610910 and 610990, but picking 610910 now inserts 61091000 into the field - the lookup pads the code to the destination's required length. No inline error, and the Customs check passed. The hint under the field reads 'HS code should be 6-10 digits (e.g. 6104.62.20). Dots/spaces are OK; letters are not.'
2026-10-13 R4 (build local dev, 2026-10-13): fixed - Typing 't-shirt' into HS code on a Canada shipment lists 610910 and 610990; picking 610910 inserts 61091000 into the field. The code is padded to the destination's required length and the Customs check passes.
2026-10-13 R5 (build local dev, 2026-10-13 (rebuilt after R4; frontend modules dated 13:12 IST)): fixed - Regression check passed: typing t-shirt into HS code on the Canada shipment lists 610910 and 610990, and picking 610910 fills the field with 61091000, the 8 digits Canada needs. The suggestion list itself is too narrow to read - logged separately.</t>
  </si>
  <si>
    <t>BUG-012</t>
  </si>
  <si>
    <t>Ship-from address (from client profile)</t>
  </si>
  <si>
    <t>Client MKL246 ship-from address: Address line 1 '8191 Logistics Dr,' ends with a stray comma</t>
  </si>
  <si>
    <t>1. Open Orders and click + New shipment (/orders/new)
2. Client: MKL246 (ship from 3PL-EAST, the client default)
3. Look at Ship from &gt; Address line 1</t>
  </si>
  <si>
    <t>MKL246 / 3PL-EAST ship-from profile</t>
  </si>
  <si>
    <t>Address line 1 without trailing punctuation; it is printed on labels and sent to the carriers.</t>
  </si>
  <si>
    <t>'8191 Logistics Dr,'</t>
  </si>
  <si>
    <t>BUG-012.jpg</t>
  </si>
  <si>
    <t>2026-10-12 R3: still-failing - Client MKL246's ship-from Address line 1 still reads '8191 Logistics Dr,' with the trailing comma, on the New shipment form at /orders/new.
2026-10-13 R4 (build local dev, 2026-10-13): still-failing - Unchanged. Picking client MKL246 on the New shipment form still fills Ship from Address line 1 as '8191 Logistics Dr,' with the trailing comma.
2026-10-13 R5 (build local dev, 2026-10-13 (rebuilt after R4; frontend modules dated 13:12 IST)): fixed - Picking client MKL246 on /orders/new now fills Ship from Address line 1 as '8191 Logistics Dr' with no trailing comma (Ship from 3PL-EAST - Central Warehouse, Zeeland MI 49464). The validate request sends addressLine1 '8191 Logistics Dr' to the server as well.</t>
  </si>
  <si>
    <t>Fixed on dev (a0238990): V149 strips trailing comma from warehouse.line1/line2 (3PL-EAST was leaking the string onto labels; V147 only touched clients table).</t>
  </si>
  <si>
    <t>BUG-013</t>
  </si>
  <si>
    <t>Add item</t>
  </si>
  <si>
    <t>New shipment &gt; Items: 'Add item' inserts the new blank line above the existing one</t>
  </si>
  <si>
    <t>1. Open Orders and click + New shipment (/orders/new)
2. Client: MKL246 (ship from 3PL-EAST, the client default)
3. Carrier: USPS; ship to country Mexico
4. Fill item line 1: Cotton T-shirt, 61091000, US, 1, 20.00, 0.5
5. Click + Add item</t>
  </si>
  <si>
    <t>Seen during the run (USPS split shipments) and on retest 2026-10-12</t>
  </si>
  <si>
    <t>The new line is added below the existing line, or focus moves into the new line.</t>
  </si>
  <si>
    <t>A blank line appears as row 1 and the filled line moves to row 2, so the next values typed into the top row go into the new line.</t>
  </si>
  <si>
    <t>BUG-013.jpg, BUG-013-2.jpg, BUG-013-3.jpg, BUG-013-4.jpg, BUG-013-5.png</t>
  </si>
  <si>
    <t>2026-10-12 R3: fixed - With item line 1 filled (Cotton T-shirt, 61091000, US, 2, 20.00, 0.5), clicking + Add item now appends the blank line as row 2 and leaves the filled line as row 1.
2026-10-13 R4 (build local dev, 2026-10-13): fixed - With item line 1 filled, + Add item appends the blank line below it as row 2; the filled line stays at row 1.
2026-10-13 R5 (build local dev, 2026-10-13 (rebuilt after R4; frontend modules dated 13:12 IST)): fixed - Regression check passed: with item line 1 filled (Cotton T-shirt, 61091000, US, 2, 20.00, 0.5), + Add item appends the blank line as row 2 and the filled line stays in row 1.</t>
  </si>
  <si>
    <t>BUG-014</t>
  </si>
  <si>
    <t>UI</t>
  </si>
  <si>
    <t>Boxes: Spread across 2 boxes</t>
  </si>
  <si>
    <t>New shipment: the 'Lines spread across 2 boxes' toast covers the Validate shipment and Generate label buttons</t>
  </si>
  <si>
    <t>1. Open Orders and click + New shipment (/orders/new)
2. Client: MKL246 (ship from 3PL-EAST, the client default)
3. Carrier: USPS; ship to country Mexico
4. Add another box (2 boxes)
5. Two item lines (Add item)
6. Click Boxes &gt; Spread across 2 boxes</t>
  </si>
  <si>
    <t>Seen during the run and on retest 2026-10-12</t>
  </si>
  <si>
    <t>Confirmation toasts do not sit over the footer's main buttons.</t>
  </si>
  <si>
    <t>Toast 'Done — Lines spread across 2 boxes in order — adjust any line's Pkg # if needed.' covers Validate shipment and Generate label at the bottom right; during the run the Validate click did not go through until the toast was closed.</t>
  </si>
  <si>
    <t>BUG-014.jpg, BUG-014-2.jpg, BUG-014-3.jpg</t>
  </si>
  <si>
    <t>2026-10-12 R3: fixed - With 2 boxes and 2 item lines, Boxes &gt; 'Spread across 2 boxes' shows the toast 'Done - Lines spread across 2 boxes in order - adjust any line's Pkg # if needed.' clear of the footer: Validate shipment and Generate label stay fully visible and clickable while it is on screen. The lines were correctly assigned Pkg # 1 and 2.
2026-10-13 R4 (build local dev, 2026-10-13): fixed - Boxes &gt; 'Spread across 2 boxes' shows 'Done - Lines spread across 2 boxes in order - adjust any line's Pkg # if needed.' clear of the footer, with Validate shipment and Generate label both fully visible and clickable.
2026-10-13 R5 (build local dev, 2026-10-13 (rebuilt after R4; frontend modules dated 13:12 IST)): fixed - Regression check passed: Boxes &gt; 'Spread across 2 boxes' shows the toast 'Done - Lines spread across 2 boxes in order - adjust any line's Pkg # if needed.' at the right, above the footer, with Validate shipment and Generate label clear and clickable; the toast dismisses itself after a few seconds. While it is up it sits over the right end of the minimised Shipment check bar (its 'Check again' and 'Show details' buttons), which is cosmetic because the footer's Validate shipment does the same job.</t>
  </si>
  <si>
    <t>BUG-015</t>
  </si>
  <si>
    <t>Label documents: every page load gets HTTP 503 from HEAD /label/preview.png before falling back to the PDF</t>
  </si>
  <si>
    <t>1. Open /label/934119 (or any generated order's label page)
2. Read the network requests</t>
  </si>
  <si>
    <t>Orders #934118, #934119, #934190 (2026-10-12)</t>
  </si>
  <si>
    <t>The preview request succeeds, or the page asks for the PDF directly; no 5xx on a normal page load.</t>
  </si>
  <si>
    <t>HEAD /api/v1/orders/{id}/label/preview.png?pkg=1 -&gt; 503, twice per load, then GET /label/pdf -&gt; 200 and the label shows. Each /label request is also sent twice (possibly React StrictMode in the dev build).</t>
  </si>
  <si>
    <t>HEAD /api/v1/orders/934119/label/preview.png?pkg=1 -&gt; 503 (x2); GET /api/v1/orders/934119/label -&gt; 200 (x2); GET /api/v1/orders/934119/label/pdf -&gt; 200</t>
  </si>
  <si>
    <t>/label/{orderNo}</t>
  </si>
  <si>
    <t>Always (3 of 3 pages)</t>
  </si>
  <si>
    <t>Not captured</t>
  </si>
  <si>
    <t>2026-10-12 R3: still-failing - Unchanged. On /label/934119 and /label/934118 the page still sends HEAD /api/v1/orders/{id}/label/preview.png?pkg=1 -&gt; 503 twice per load before falling back to GET /label/pdf -&gt; 200, and GET /api/v1/orders/{id}/label is still sent twice.
2026-10-13 R4 (build local dev, 2026-10-13): still-failing - Unchanged. /label/934119 still sends HEAD /api/v1/orders/934119/label/preview.png?pkg=1 -&gt; 503 twice per page load before falling back to GET /label/pdf -&gt; 200, and GET /api/v1/orders/934119/label is still sent twice.
2026-10-13 R5 (build local dev, 2026-10-13 (rebuilt after R4; frontend modules dated 13:12 IST)): fixed - No 5xx any more. Opening the label page of the new order #934192 sends HEAD /api/v1/orders/934192/label/preview.png?pkg=1 -&gt; 404 (twice, about 120 ms each) and then GET /label/pdf?pkg=1 -&gt; 200 in 50 ms, and the label renders; no console error. The page still probes for a PNG preview that never exists for this carrier, now answered with a clean 404 instead of 503, and GET /label is still sent twice per load (React StrictMode in dev).</t>
  </si>
  <si>
    <t>Fixed on dev (d52bc26f): HEAD short-circuit shipped 2026-10-12; verified via curl: HEAD now returns 404 not 503. QA R4 stale backend.</t>
  </si>
  <si>
    <t>BUG-016</t>
  </si>
  <si>
    <t>Validate shipment</t>
  </si>
  <si>
    <t>Validate shipment: a server failure shows the raw toast 'Something went wrong HTTP error! status: 502'</t>
  </si>
  <si>
    <t>1. Open Orders and click + New shipment (/orders/new)
2. Client: MKL246 (ship from 3PL-EAST, the client default)
3. Carrier: FedEx
4. Ship to: Full name QA Test Recipient, Company QA Test Co, Address line 1 Av Paseo de la Reforma 222, Country Mexico (MX), Phone 5552081234, State / region CMX, City Ciudad de Mexico, Postal code 06600
5. Service level: FedEx International Economy; Packaging FedEx Pak; 2 boxes
6. Fill customs, importer and items as for the other Mexico FedEx orders
7. Click Validate shipment</t>
  </si>
  <si>
    <t>First Validate of MX-FX-IE-PAK (order later created as #934153)</t>
  </si>
  <si>
    <t>A plain message that the check could not run and to try again; no HTTP wording.</t>
  </si>
  <si>
    <t>Toast 'Something went wrong HTTP error! status: 502'; no check panel and no order. Clicking Validate again worked.</t>
  </si>
  <si>
    <t>1 of about 40 FedEx validations</t>
  </si>
  <si>
    <t>2026-10-12 R3: cannot-retest - The 502 was a one-off server failure and could not be provoked again. Validate shipment was run about a dozen times during this retest across FedEx, UPS and USPS on the Canada, Mexico and UK lanes and returned 200 every time, so the raw 'Something went wrong HTTP error! status: 502' toast never reappeared. The wording of the error path is therefore unverified; note that other raw text is still shown to the user - the USPS no-price message prints the carrier's JSON ('error_reference_id ... error_code 4522242 ...') in full inside the check panel.
2026-10-13 R4 (build local dev, 2026-10-13): cannot-retest - The 502 from /shipments/validate could not be provoked again - about fifteen validations across FedEx, UPS and USPS on the Canada, Mexico and UK lanes all returned 200. A related case did appear and is worth the team's attention: when the FedEx sandbox returned 503, the check panel printed the raw status to the user - 'No price from the carrier: No price: FEDEX rate call failed - HTTP 503 The service is currently unavailable...'. The carrier's own sentence is fine; the 'HTTP 503' prefix is the same raw-status habit the original bug was about.
2026-10-13 R5 (build local dev, 2026-10-13 (rebuilt after R4; frontend modules dated 13:12 IST)): cannot-retest - The one-off 502 from /shipments/validate did not recur: about ten validations across USPS and FedEx in this run returned 200. The raw-status habit behind it is still visible in another place, though: whenever the FedEx sandbox rate call fails, the check panel prints 'No price from the carrier: No price: FEDEX rate call failed - HTTP 503 The service is currently unavailable...' (and once 'HTTP 500 GENERIC.ERROR'), twice in the same panel. That is now logged as its own bug so it can be fixed independently of the toast.
2026-10-14 R6 (build local dev, 2026-10-14 (order-form modules reloaded 13:17 IST)): fixed - R6: the real 502 never recurred, so the failure was simulated in the page: the next POST /api/v1/shipments/validate was answered with an HTML 502 Bad Gateway. The toast now reads 'Something went wrong - Backend is temporarily unavailable - please try again in a moment.' with no HTTP wording, and the form stays as it was. (The previous check panel stays open with its old results while the toast shows.)</t>
  </si>
  <si>
    <t>Fixed on dev (cleanServerMessage): cleanServerMessage already strips HTTP prefix. One-off 502 not reproducible.</t>
  </si>
  <si>
    <t>BUG-017</t>
  </si>
  <si>
    <t>Query</t>
  </si>
  <si>
    <t>API</t>
  </si>
  <si>
    <t>Order detail (GET /api/v1/orders/{id})</t>
  </si>
  <si>
    <t>shippingDetails.weight</t>
  </si>
  <si>
    <t>Order API: shippingDetails.weight holds one box's weight on two-box orders, not the shipment total - intended?</t>
  </si>
  <si>
    <t>1. GET /api/v1/orders/934190 (2 boxes of 2 lb)
2. Read data.shippingDetails.weight and data.orderDetails.packageCount</t>
  </si>
  <si>
    <t>All 97 two-box orders of the run, e.g. #934190 (2 x 2 lb), #934172 (THB 2 x 5 lb)</t>
  </si>
  <si>
    <t>If the field is the order weight, it should be the total (4 lb, 10 lb); if it is per box, the name or docs should say so and per-box weights should be available.</t>
  </si>
  <si>
    <t>weight 2 for #934190 and 5 for #934172; on all 97 two-box orders it equals one box's weight.</t>
  </si>
  <si>
    <t>/api/v1/orders/{id}</t>
  </si>
  <si>
    <t>Always (97 of 97)</t>
  </si>
  <si>
    <t>S004</t>
  </si>
  <si>
    <t>2026-10-12 R3: still-failing - Unchanged. GET /api/v1/orders/934190 returns orderDetails.packageCount 2 with shippingDetails.weight 2 (the shipment is 2 boxes of 2 lb, so the total is 4); #934172 returns packageCount 2 with weight 5 against a 10 lb total. shippingDetails still carries only city, state, zipCode, shipVia, weight, shipViaDescription and intlYn - there is no per-box weight array and no renamed field, so the ambiguity the bug asked about is unresolved.
2026-10-13 R4 (build local dev, 2026-10-13): still-failing - Unchanged. shippingDetails.weight still holds one box's weight on multi-box orders: #934190 packageCount 2 / weight 2 (total 4), #934172 packageCount 2 / weight 5 (total 10), and the new #934191 packageCount 2 / weight 3 (total 6). No per-box weight array and no renamed field have been added.
2026-10-13 R5 (build local dev, 2026-10-13 (rebuilt after R4; frontend modules dated 13:12 IST)): still-failing - Fixed for every GENERATED order checked, not for orders that never got a label. New two-box order #934192 (2 x 5 lb) reports shippingDetails.weight 10, and the backfill corrected the old ones: #934190 now 4 (was 2) and #934172 now 10 (was 5). But the two-box ERROR orders still hold one box's weight: #934191 reports 3 for a 6 lb shipment (2 x 3 lb) and #934106 reports 5 for 10 lb (2 x 5 lb), both unchanged since R4. The backfill appears to work from label batches, which ERROR orders do not have, so the field still means 'total' or 'one box' depending on the order's status. The new FedEx two-box order #934193 (2 x 3 lb FedEx Tube) also reports weight 6, so new orders are correct on both carriers tried.
2026-10-14 R6 (build local dev, 2026-10-14 (order-form modules reloaded 13:17 IST)): still-failing - R6: unchanged for orders that never got a label: ERROR orders #934191 (2 boxes, 2 x 3 lb) reports shippingDetails.weight 3 and #934106 (2 x 5 lb) reports 5. GENERATED orders stay correct: #934190 4, #934172 10, #934192 10.
2026-10-16 R7 (build local dev, 2026-10-16): still-failing - unchanged for orders that never got a label: ERROR orders #934191 (packageCount 2, 2 x 3 lb) and #934106 (packageCount 2, 2 x 5 lb) still report shippingDetails.weight 3 and 5. GENERATED orders stay correct: #934190 4, #934172 10, #934192 10. Matches the developers' own note that the ERROR path was missed by the backfill.</t>
  </si>
  <si>
    <t>Deferred to next round: Code fix covers new orders; ERROR path missed by V150 — needs broader backfill.</t>
  </si>
  <si>
    <t>BUG-018</t>
  </si>
  <si>
    <t>Shipment check (USPS to UK and Mexico): every check says 'USPS normalised the address; review before shipping' without showing what changed</t>
  </si>
  <si>
    <t>1. Open Orders and click + New shipment (/orders/new)
2. Client: MKL246 (ship from 3PL-EAST, the client default)
3. Carrier: USPS
4. Ship to the UK (1 Canada Square, London E14 5AB) or Mexico (as above)
5. Complete the form and click Validate shipment</t>
  </si>
  <si>
    <t>UK #934147-#934151, Mexico #934186-#934190 (10 of 10); not shown for Canada</t>
  </si>
  <si>
    <t>Show the normalised address (or the difference) so it can be reviewed, and only flag it when something changed.</t>
  </si>
  <si>
    <t>'Ready to ship — 1 thing to review: USPS normalised the address; review before shipping.' with no address shown.</t>
  </si>
  <si>
    <t>Always (10 of 10 UK/Mexico USPS checks)</t>
  </si>
  <si>
    <t>BUG-018.png, BUG-018-R7.jpg</t>
  </si>
  <si>
    <t>2026-10-12 R3: still-failing - Unchanged. USPS Priority Mail Intl to the UK still ends with 'Ready to ship - 1 thing to review' and, under Carrier check, the single line 'USPS normalised the address; review before shipping.' Expanding the row shows nothing more - the normalised address and the difference are still not shown, and the note appears whether or not anything changed.
2026-10-13 R4 (build local dev, 2026-10-13): still-failing - Unchanged on the UK lane. USPS Priority Mail Intl to London E14 5AB ends with 'Ready to ship - 1 thing to review' and, under Carrier check, the single line 'USPS normalised the address; review before shipping.' No normalised address and no difference are shown. Worth noting the same shipment to Canada produced no normalisation note at all and passed cleanly, so the note is lane-specific rather than unconditional.
2026-10-13 R5 (build local dev, 2026-10-13 (rebuilt after R4; frontend modules dated 13:12 IST)): still-failing - Unchanged on the UK lane. USPS Priority Mail Intl to 1 Canada Square, London E14 5AB still ends with 'Ready to ship - 1 thing to review' and, under Carrier check, only the line 'USPS normalised the address; review before shipping.' No normalised address and no difference are shown. The validate response explains why the screen cannot show more: carrier.matchLevel is 'CORRECTED' with message 'Full Address Verified.' and warnings ['USPS normalised the address; review before shipping.'], while the top-level address field is null - the corrected address is not returned to the page at all. The Mexico lane behaves the same: USPS Priority Mail Intl to Av Paseo de la Reforma 222, Ciudad de Mexico CMX 06600 gives the identical single line under Carrier check, again with address null and matchLevel 'CORRECTED' in the response.
2026-10-14 R6 (build local dev, 2026-10-14 (order-form modules reloaded 13:17 IST)): still-failing - R6: unchanged on the UK lane. USPS Priority Mail Intl, MKL246 to QA-1014-R6 Recipient, 1 Canada Square, London E14 5AB GB, THB-PACKAGE 2 lb: 'Ready to ship - 1 thing to review', Carrier check 'USPS normalised the address; review before shipping.' The validate response has overall WARN 'USPS suggests a corrected address.', carrier.matchLevel CORRECTED, message 'Full Address Verified.' and address null, so the page still has no corrected address to show.
2026-10-16 R7 (build local dev, 2026-10-16): still-failing - USPS Priority Mail Intl, MKL246 to QA-1016 Recipient, 1 Canada Square, London E14 5AB GB, THB-PACKAGE 2 lb, DAP: 'Ready to ship - 1 thing to review', Carrier check 'USPS normalised the address; review before shipping.' with no address and no difference shown. A second UK address (10 Downing Street, London SW1A 2AA) gives the identical line, so the note is not tied to a real change either. Validate response: overall WARN 'USPS suggests a corrected address.', carrier.matchLevel CORRECTED, message 'Full Address Verified.', top-level address null.</t>
  </si>
  <si>
    <t>Fixed on dev (70ae2636 + 1e36810b): SERA path shipped 2026-10-12; SWSIM intl path hardened 2026-10-13 (seraAddressesEqual check so UK lane only fires when SWSIM actually normalised).</t>
  </si>
  <si>
    <t>2026-10-15</t>
  </si>
  <si>
    <t>BUG-019</t>
  </si>
  <si>
    <t>Shipment check (FedEx to UK): billed-weight notes of 68, 52 and 22 lb seen during the run, about 3-9 times the figures for the same boxes to Mexico</t>
  </si>
  <si>
    <t>1. Open Orders and click + New shipment (/orders/new)
2. Client: MKL246 (ship from 3PL-EAST, the client default)
3. Carrier: FedEx
4. Ship to: 1 Canada Square, London E14 5AB, United Kingdom
5. Service level: FedEx International Priority
6. Packaging FedEx Tube, Weight 3; Add another box; Apply box 1 to all
7. Complete customs, importer and items; click Validate shipment</t>
  </si>
  <si>
    <t>Run: #934115 and #934122 (2 tubes 38x6x6 in): 68 lb; #934121 (2 Paks): 52 lb; #934117 and #934124 (2 boxes 12x9x4 in): 22 lb. Mexico for the same boxes: 19.68, 5.52 and 6.22 lb</t>
  </si>
  <si>
    <t>The same boxes give the same billed weight on every lane (19.68 lb for the two tubes).</t>
  </si>
  <si>
    <t>During the run the UK checks showed billed weights of 68 lb (two tubes), 52 lb (two Paks) and 22 lb (two 12x9x4 in boxes: '22 lb - charged on box size, not the 4 lb it weighs'). On retest 2026-10-12 the same UK tube shipment showed the expected 19.68 lb, so it did not reproduce. Raised so the team can check whether the figure comes from the FedEx sandbox response or the app.</t>
  </si>
  <si>
    <t>5 times during the run; 0 of 1 on retest</t>
  </si>
  <si>
    <t>BUG-019.jpg, BUG-019-2.jpg, BUG-019-3.png</t>
  </si>
  <si>
    <t>2026-10-12 R3: fixed - Did not reproduce, and the figure is now explained. FedEx International Priority to London E14 5AB with two FedEx Tubes of 3 lb shows 'Billed weight 19.68 lb - charged on box size, not the 6 lb it weighs' - the expected dimensional figure, with the reason printed beside it. The 68 lb / 52 lb / 22 lb readings of the original run did not recur on any lane tried.
2026-10-13 R4 (build local dev, 2026-10-13): fixed - No inflated billed weight seen on any lane this run. FedEx International Priority to Mexico with a 4 lb THB-PACKAGE reported 'Billed weight 4 lb', and the 2026-10-12 check of the original repro (two FedEx Tubes to London) gave the expected 19.68 lb with the explanation 'charged on box size, not the 6 lb it weighs'.
2026-10-13 R5 (build local dev, 2026-10-13 (rebuilt after R4; frontend modules dated 13:12 IST)): fixed - Regression check passed on the original repro: FedEx International Priority to 1 Canada Square, London E14 5AB with two FedEx Tubes (38x6x6 in, 3 lb each) gives 'Billed weight 19.68 lb - charged on box size, not the 6 lb it weighs' (validate response: billableWeight 19.68, actualWeight 6, dimensional true), the same figure as Mexico. No inflated billed weight seen.</t>
  </si>
  <si>
    <t>BUG-020</t>
  </si>
  <si>
    <t>Suggestion</t>
  </si>
  <si>
    <t>Label size (FedEx)</t>
  </si>
  <si>
    <t>New shipment (FedEx): Label size stays 'Thermal stock 4×6' when Label type is switched to PDF</t>
  </si>
  <si>
    <t>1. Open Orders and click + New shipment (/orders/new)
2. Client: MKL246 (ship from 3PL-EAST, the client default)
3. Carrier: FedEx; any international destination
4. Change Label type from ZPLII (Zebra) to PDF
5. Look at Label size</t>
  </si>
  <si>
    <t>All FedEx shipments of the run were set to Paper 4x6 by hand</t>
  </si>
  <si>
    <t>Switching to PDF moves Label size to a paper size (for example Paper 4x6).</t>
  </si>
  <si>
    <t>Label size remains 'Thermal stock 4×6' next to Label type 'PDF (vector, sharp)'.</t>
  </si>
  <si>
    <t>BUG-020.jpg</t>
  </si>
  <si>
    <t>2026-10-12 R3: fixed - Changing Label type from ZPLII (Zebra) to PDF (vector, sharp) now moves Label size from 'Thermal stock 4x6' to 'Paper 4x6' on its own.
2026-10-13 R4 (build local dev, 2026-10-13): fixed - Switching Label type from ZPLII (Zebra) to PDF (vector, sharp) moves Label size from 'Thermal stock 4x6' to 'Paper 4x6' on its own.
2026-10-13 R5 (build local dev, 2026-10-13 (rebuilt after R4; frontend modules dated 13:12 IST)): fixed - Regression check passed with the renamed options: switching FedEx Label type from 'ZPL (thermal)' to 'PDF (plain)' moves Label size from 'Thermal stock 4x6' to 'Paper 4x6' on its own.</t>
  </si>
  <si>
    <t>BUG-021</t>
  </si>
  <si>
    <t>Importer &amp; broker override dialog</t>
  </si>
  <si>
    <t>Type (Business / Receiver)</t>
  </si>
  <si>
    <t>Importer &amp; broker override: choosing Type 'Receiver · DAP' leaves every field empty instead of using the ship-to details</t>
  </si>
  <si>
    <t>1. Open Orders and click + New shipment (/orders/new)
2. Client: MKL246 (ship from 3PL-EAST, the client default)
3. Carrier: FedEx
4. Ship to: Full name QA Test Recipient, Company QA Test Co, Address line 1 290 Bremner Blvd, Country Canada (CA), Phone 4165550100, State / region ON, City Toronto, Postal code M5V 3L9
5. Importer of record &amp; customs broker &gt; Add
6. Type: Receiver · DAP</t>
  </si>
  <si>
    <t>Every international shipment of the run (MKL246 has no importer profile for CA, GB or MX)</t>
  </si>
  <si>
    <t>Receiver fills (or offers to fill) name, address, city, state, post code and phone from Ship to.</t>
  </si>
  <si>
    <t>All fields stay empty apart from Country; all 7 values had to be typed for each of the 128 orders.</t>
  </si>
  <si>
    <t>BUG-021.jpg, BUG-021-2.jpg, BUG-021-3.png</t>
  </si>
  <si>
    <t>S002</t>
  </si>
  <si>
    <t>2026-10-12 R3: fixed - Importer of record &amp; customs broker &gt; Add &gt; Type 'Receiver - DAP' now fills Name (QA Test Recipient), Address 1 (290 Bremner Blvd), City (Toronto), State (ON), Post code (M5V 3L9), Country (CA) and Phone (4165550100) from Ship to. Only the optional Contact box stays empty.
2026-10-13 R4 (build local dev, 2026-10-13): fixed - Importer of record &amp; customs broker &gt; Add &gt; Type 'Receiver - DAP' fills Name, Address 1, City, State, Post code, Country and Phone from Ship to; only the optional Contact box stays empty.
2026-10-13 R5 (build local dev, 2026-10-13 (rebuilt after R4; frontend modules dated 13:12 IST)): fixed - Regression check passed: Importer of record &amp; customs broker &gt; Add &gt; Type 'Receiver - DAP' fills Name QA Test Recipient, Address 1 1 Canada Square, City London, Post code E14 5AB, Country GB and Phone 2079460000 from Ship to; State (empty on Ship to) and Contact stay empty.</t>
  </si>
  <si>
    <t>BUG-022</t>
  </si>
  <si>
    <t>Settings</t>
  </si>
  <si>
    <t>Organization &gt; Clients</t>
  </si>
  <si>
    <t>Clients list</t>
  </si>
  <si>
    <t>Search code, name, city</t>
  </si>
  <si>
    <t>Clients search: '%' and '_' work as wildcards, so searching for them lists clients that do not contain them</t>
  </si>
  <si>
    <t>1. Open Settings &gt; Clients (/settings/clients)
2. Type % in the box 'Search code, name, city...' and wait for the list
3. Replace it with _ and wait
4. Replace it with MKL_46 and wait
5. Replace it with M%6 and wait
6. Clear the search, click Filters, type _ in Code contains and wait; clear it and type % in City contains</t>
  </si>
  <si>
    <t>Search terms: %, _, MKL_46, M%6. Clients on file: MKL246 (MKL, Zeeland MI), THB000 (Thoroughbred Fulfillment LLC, Zeeland MI)</t>
  </si>
  <si>
    <t>The search matches the text typed. No client code, name or city contains % or _, so each of these four searches should show 'No clients match the current filters.' Client codes may contain '_' (the Add Client hint says 'Letters, digits, '-', '_''), so a code search with '_' must not also match other characters in that position.</t>
  </si>
  <si>
    <t>'%' and '_' each list both clients ('Showing 2 of 2 clients'). 'MKL_46' and 'M%6' each list MKL246 ('Showing 1 of 1 client'). The Filters panel has the same fault: Code contains '_' and City contains '%' each list both clients. Settings &gt; Logs, Search entity key behaves the same: '%' (sent as entityKey=%25) returns all 34,622 entries and 'QA13_5' finds the QA13R5 rows. Email Delivery Log, Recipient contains: '%' (recipient=%25) returns all 7 rows.</t>
  </si>
  <si>
    <t>GET /api/v1/clients?page=0&amp;size=25&amp;sortBy=code&amp;sortDirection=ASC&amp;search=%25 -&gt; 200, 2 rows
GET /api/v1/clients?...&amp;search=_ -&gt; 200, 2 rows
GET /api/v1/clients?...&amp;search=MKL_46 -&gt; 200, 1 row (MKL246)
The term reaches the server intact, so the server most likely uses it in a SQL LIKE pattern without escaping % and _.</t>
  </si>
  <si>
    <t>http://localhost:5173/settings/clients</t>
  </si>
  <si>
    <t>BUG-022.jpg</t>
  </si>
  <si>
    <t>R2</t>
  </si>
  <si>
    <t>S006</t>
  </si>
  <si>
    <t>Settings &gt; Organization &gt; Warehouses &gt; Warehouses list; Settings &gt; Organization &gt; Users &gt; Users list; Settings &gt; Activity &amp; Logs &gt; Logs; Settings &gt; Activity &amp; Logs &gt; Email Delivery Log</t>
  </si>
  <si>
    <t>2026-10-12 R3: fixed - Searching '_', '%' and 'MKL_46' now all give 'Showing 0 of 0 clients'. A normal term still works ('mkl' finds MKL246). The Filters panel is fixed too: Code contains '_' and City contains '%' both give 0 of 0.
2026-10-13 R4 (build local dev, 2026-10-13): fixed - Re-walked at 1460x847. Searching '%' returns 'No clients match the current filters' with 'Showing 0 of 0 clients'; the wildcard is no longer passed through to the query.
2026-10-13 R5 (build local dev, 2026-10-13 (rebuilt after R4; frontend modules dated 13:12 IST)): still-failing - Fixed on Clients, still failing on Warehouses, which this bug lists as also affected. Clients: '%' and 'MKL_46' in the search box both give 'No clients match the current filters' (Showing 0 of 0), and in Filters, Code contains '_' and City contains '%' each give 0 rows, while 'zEELand' still finds both clients; a SQL-style probe (' OR 1=1 --) and an HTML payload return 0 rows with no error. Warehouses (/settings/warehouses, two warehouses 3PL-EAST and QA-1013-R5-WH01): '_' and '%' each still list both warehouses although neither contains either character, so the wildcard is still passed through to the query there. 'SPRINGFIELD' and '"quoted"' match correctly. Users (/settings/users) has the same fault and is added to the affected screens: '%' and '_' in 'Search username, email, name...' each list both users (admin and manoj7000), although no username, email or name contains either character.
2026-10-14 R6 (build local dev, 2026-10-14 (order-form modules reloaded 13:17 IST)): still-failing - R6: still fixed on Clients, still failing everywhere else this bug lists. Warehouses: '%', '_' and '3PL_EAST' each list 3PL-EAST. Users: '%' and '_' each list both users. Logs, Search entity key: '%' (sent as entityKey=%25) returns all 34,627 entries, and 'QA-1014_R6' finds QA-1014-R6-WH01. Email Delivery Log, Recipient contains: '%' (recipient=%25) and '_' each show 10 of 10 rows, although no recipient contains either character, while 'verify' correctly shows 3.
2026-10-16 R7 (build local dev, 2026-10-16): fixed - R7: fixed on every screen this bug lists. Clients unchanged (fixed since R4). Warehouses: '%', '_' and '3PL_EAST' each give 'No warehouses match the current filters' (Showing 0 of 0), while '3PL-EAST' finds Central Warehouse. Users: '%' and '_' give 'No users.', 'adm' finds admin. Logs, Search entity key: '%' (entityKey=%25) and 'QA-1014_R6' give 0 entries, 'QA-1014-R6' gives 4. Email Delivery Log, Recipient contains: '%' and '_' give 'No delivery rows match those filters' (0 of 0), 'verify' gives 3 of 3.</t>
  </si>
  <si>
    <t>Fixed on dev (a601e4aa): Delivery log recipient filter now escapes % _ and query uses ESCAPE "\\".
R6+1 (afeb4111+e17bf946, 2026-10-15): Spread ESCAPE '\' + escapeLike() to WarehouseRepository, AdminUserService (Criteria API) and AuditLogRepositoryCustomImpl. Delivery-log fix (a601e4aa) now matches every other search path.
Test fix (46d6db84, 2026-10-15): — no code change, just test lock-in.</t>
  </si>
  <si>
    <t>BUG-023</t>
  </si>
  <si>
    <t>Columns (show/hide + pin)</t>
  </si>
  <si>
    <t>Clients &gt; Columns: every column can be hidden, leaving blank rows with only the row menu (Edit, Delete)</t>
  </si>
  <si>
    <t>1. Open Settings &gt; Clients (/settings/clients)
2. Click Columns
3. Untick Code, Name, Contact, Country, Carrier accounts, Orders and Status
4. Press Esc to close the menu</t>
  </si>
  <si>
    <t>Default column layout; 2 clients (MKL246, THB000)</t>
  </si>
  <si>
    <t>At least one identifying column (for example Code) stays visible, or the last ticked column cannot be unticked, so each row still shows which client it is.</t>
  </si>
  <si>
    <t>All seven columns can be unticked. The grid then shows an empty header and two blank rows with only the ⋮ row menu, whose Edit and Delete act on a client the user cannot see. 'Reset layout' in the Columns menu brings the columns back.</t>
  </si>
  <si>
    <t>Reloading the page keeps the blank grid (column layout is remembered in the browser), so it stays until Columns &gt; Reset layout is used.</t>
  </si>
  <si>
    <t>BUG-023.jpg, BUG-023-2.jpg, BUG-023-3.png</t>
  </si>
  <si>
    <t>2026-10-12 R3: still-failing - All seven columns can still be unticked in the Columns menu, leaving an empty header and two blank rows with only the row menu. Reset layout still brings them back.
2026-10-13 R4 (build local dev, 2026-10-13): still-failing - Unchanged. Every one of the seven columns can still be unticked in the Columns menu - no minimum is enforced and the last one is not disabled. With all seven hidden the grid shows two header-less, cell-less rows carrying only the row menu, under the line 'Showing 2 of 2 clients'. Reset layout is the only way back.
2026-10-13 R5 (build local dev, 2026-10-13 (rebuilt after R4; frontend modules dated 13:12 IST)): fixed - With Name, Contact, Country, Carrier accounts, Orders and Status unticked, the last ticked column (Code) is disabled with the title 'At least one column must stay visible', so every row still shows its client code. Reset layout restores all seven columns - but it also unpins the row-actions column until reload (logged separately as BUG-074).</t>
  </si>
  <si>
    <t>Fixed on dev (2e93fc82): Hideable-only count on the last-visible guard. Yesterday fix counted the row-actions column (hideable=false) in visibleCount so last user column could still be hidden.</t>
  </si>
  <si>
    <t>BUG-024</t>
  </si>
  <si>
    <t>Row menu &gt; Importer / Broker</t>
  </si>
  <si>
    <t>Importer / Broker dialog (Clients row menu): a click on the dimmed background closes it and throws away what was typed; Esc does nothing</t>
  </si>
  <si>
    <t>1. Open Settings &gt; Clients (/settings/clients)
2. Scroll the table to the right and open the ⋮ menu on MKL246
3. Click Importer / Broker
4. Type QA-1012-IMP-BACKDROP in Importer name and QA Contact in Contact
5. Press Esc
6. Click on the dimmed background to the right of the dialog
7. Open ⋮ &gt; Importer / Broker on MKL246 again</t>
  </si>
  <si>
    <t>Client MKL246; Importer name QA-1012-IMP-BACKDROP; Contact QA Contact (nothing saved)</t>
  </si>
  <si>
    <t>Esc and a background click behave the same way, and neither silently discards typed data: either they ask 'Discard changes?' when something has been typed, or only Cancel / X close the dialog. The Filters panel and Columns menu on the same page close on Esc.</t>
  </si>
  <si>
    <t>Esc does nothing (the dialog stays open, focus moves to the X button). A single click on the dimmed background closes the dialog at once with no warning; reopening shows an empty form, so everything typed is lost.</t>
  </si>
  <si>
    <t>No request is sent on close (nothing saved). The form is long (client and destinations, importer of record, tax identity and further sections), so one stray click loses a lot of typing.</t>
  </si>
  <si>
    <t>BUG-024.jpg</t>
  </si>
  <si>
    <t>2026-10-12 R3: still-failing - Unchanged. Esc with the cursor in Importer name does nothing; a single click on the dimmed background closes the dialog at once and the typed name is gone when it is reopened.
2026-10-13 R4 (build local dev, 2026-10-13): still-failing - Unchanged, and now inconsistent with the rest of the app. With 'QA-1013 Importer Draft' typed into Importer name, a click on the dimmed background closed the Importer / Broker dialog at once and discarded it, with no prompt. The client editor on the same screen does guard this: leaving it with unsaved changes raises 'Leave client editor? This client has unsaved changes. Leave and lose what you've edited?' with Stay / Leave.
2026-10-13 R5 (build local dev, 2026-10-13 (rebuilt after R4; frontend modules dated 13:12 IST)): fixed - Esc and a click on the dimmed background now both ask 'Discard this draft and close?' once something has been typed (QA-1013-R5 Importer Draft in Importer name). Answering Cancel keeps the dialog open with the text intact (checked for both Esc and the background); answering OK closes it. Cancel and X in the dialog still close without asking, which the bug allowed. The question is asked with the browser's own confirm box rather than the in-app Stay / Leave dialog the client editor and the order form use - logged separately as a consistency point.</t>
  </si>
  <si>
    <t>Fixed on dev (6e754e09): CustomsProfileModal ModalShell already in dev. QA R4 ran against stale bundle.</t>
  </si>
  <si>
    <t>BUG-025</t>
  </si>
  <si>
    <t>Table width / row actions reachable at 1446 px</t>
  </si>
  <si>
    <t>Clients list: the row menu (⋮ Importer / Broker, Edit, Delete) is off-screen at a 1446 px wide window; it is only reachable by scrolling the table sideways</t>
  </si>
  <si>
    <t>1. Use a browser window 1446 x 840 with the Settings menu expanded
2. Open Settings &gt; Clients (/settings/clients)
3. Look for the ⋮ menu at the end of each row
4. Scroll the table to the right with the horizontal scrollbar under the rows</t>
  </si>
  <si>
    <t>Default column layout and Compact density; 2 clients</t>
  </si>
  <si>
    <t>The row actions are visible without sideways scrolling: the seven default columns fit, and the Status column has a wide empty area after the Active badge.</t>
  </si>
  <si>
    <t>The rows end at the Status column; the ⋮ menu (the only way to Edit or Delete a client) is hidden past the right edge. A horizontal scrollbar appears under the table, and the ⋮ buttons show only after scrolling right, when Code and Name scroll out of view.</t>
  </si>
  <si>
    <t>Window 1446 x 840, Settings menu expanded. With every column hidden (Columns menu) the ⋮ buttons appear at the right edge without scrolling, so the overflow comes from the column widths.</t>
  </si>
  <si>
    <t>BUG-025.jpg, BUG-025-2.jpg, BUG-025-3.jpg, BUG-025-4.jpg, BUG-025-5.png</t>
  </si>
  <si>
    <t>2026-10-12 R3: still-failing - Still reproduces, though not at the original width: the Claude side panel fixes this session's viewport at 1005x847, so 1446 px could not be set. At 1005 px with the default column layout the row ends at Orders and the actions column is past the right edge; the horizontal scrollbar has to be used before any row action can be reached.
2026-10-13 R4 (build local dev, 2026-10-13): still-failing - Unchanged, and my 2026-10-12 reading of 'fixed' was wrong - that check was made while the grid happened to be scrolled right. Measured from the DOM at a 1460 px window with the default layout: both Row actions buttons sit at x 1587-1615, entirely outside the viewport. The grid's own scroller is 1058 px wide against 1280 px of content, so the row menu can only be reached by scrolling the grid sideways; there is no sticky actions column.
2026-10-13 R5 (build local dev, 2026-10-13 (rebuilt after R4; frontend modules dated 13:12 IST)): fixed - At 1442 px with the Settings menu expanded and the default layout, both row-action (⋮) buttons sit at x 1347 in a sticky cell at the right edge of the grid and are clickable without scrolling (hit-tested in the DOM); the grid itself still scrolls 240 px sideways for the Status column, which is reachable by scrolling. Note that Columns &gt; Reset layout unpins the column again until the page is reloaded (BUG-074).</t>
  </si>
  <si>
    <t>Fixed on dev (9f8a1ebe): pinnedByDefault now honoured when persisted pinning is empty — operators with pre-fix empty pinning state now get the row-actions sticky pin on first load.</t>
  </si>
  <si>
    <t>BUG-026</t>
  </si>
  <si>
    <t>Sort by Code</t>
  </si>
  <si>
    <t>Clients list sorting: after the third click on a header the arrow disappears, but the list is still sorted by Code ascending, so the next click on Code appears to do nothing</t>
  </si>
  <si>
    <t>1. Open Settings &gt; Clients (/settings/clients); the Code header shows an up arrow (Code ascending)
2. Click the Code header (Code descending: THB000 first)
3. Click the Code header again: no arrow is shown and the rows are MKL246, THB000
4. Click the Code header once more</t>
  </si>
  <si>
    <t>2 clients (MKL246, THB000)</t>
  </si>
  <si>
    <t>Each click visibly changes the sort, and the header arrow always matches the order shown: either the third click returns to 'Code ascending' with its arrow (as on page load), or the 'unsorted' state shows rows in a different, unsorted order.</t>
  </si>
  <si>
    <t>After the second click the header shows no arrow although the rows are in Code ascending order (the page-load state, which shows an arrow). The following click only brings the arrow back; the rows do not move. Cycling Orders (descending, ascending, then a third click) ends in the same arrow-less Code ascending state.</t>
  </si>
  <si>
    <t>The 'no arrow' state requests GET /api/v1/clients?page=0&amp;size=25&amp;sortBy=code&amp;sortDirection=ASC, the same request as page load and as 'Code ascending'.</t>
  </si>
  <si>
    <t>BUG-026.png</t>
  </si>
  <si>
    <t>2026-10-12 R3: fixed - The Code header now cycles between two states only. Three clicks from the default gave descending (THB000 first, arrow down), ascending (MKL246 first, arrow up), descending again - the arrow matches the order every time and the arrow-less state is gone.
2026-10-13 R4 (build local dev, 2026-10-13): fixed - Clicking the Code header three times now leaves a visible sort arrow and a list that matches it: THB000 above MKL246, with the request GET /api/v1/clients?...sortBy=code&amp;sortDirection=DESC. The header cycles between ASC and DESC with the arrow always shown; the silent third state is gone.
2026-10-13 R5 (build local dev, 2026-10-13 (rebuilt after R4; frontend modules dated 13:12 IST)): fixed - Regression check passed: three clicks on Code go descending (THB000 first), ascending, descending, with aria-sort and the arrow always matching the rows; Name sorts alphabetically and Orders numerically (33467 before 407); Contact, Country, Carrier accounts and Status are not sortable.</t>
  </si>
  <si>
    <t>BUG-027</t>
  </si>
  <si>
    <t>Client wizard (Add / Edit)</t>
  </si>
  <si>
    <t>Defaults &gt; Timezone (IANA search and locate button)</t>
  </si>
  <si>
    <t>Client wizard &gt; Timezone: searching 'Kolkata' or 'Kyiv' finds nothing; the list only has the old names Asia/Calcutta and Europe/Kiev</t>
  </si>
  <si>
    <t>1. Open Settings &gt; Clients and click + Add Client
2. In Defaults &gt; Timezone type Kolk
3. Replace it with Calcutta
4. Replace it with Kyiv, then with Kiev
5. Click the locate button 'Detect timezone from browser' (browser set to India time)</t>
  </si>
  <si>
    <t>Timezone search terms Kolk, Calcutta, Kyiv, Kiev</t>
  </si>
  <si>
    <t>The field asks for an IANA name ('IANA (e.g. America/New_York)'); the current IANA names Asia/Kolkata and Europe/Kyiv are offered (old aliases may also match), so a user searching the city's current name finds it.</t>
  </si>
  <si>
    <t>'Kolk' and 'Kyiv' show 'No timezone matches ...'. 'Calcutta' offers Asia/Calcutta (UTC+05:30) and 'Kiev' offers Europe/Kiev. The locate button also fills Asia/Calcutta.</t>
  </si>
  <si>
    <t>The list appears to come from the browser's own time-zone list, which in Chrome still uses the old aliases.</t>
  </si>
  <si>
    <t>http://localhost:5173/settings/clients/new</t>
  </si>
  <si>
    <t>BUG-027.png, BUG-027-2.jpg, BUG-027-3.png, BUG-027-4.jpg, BUG-027-5.png</t>
  </si>
  <si>
    <t>S040</t>
  </si>
  <si>
    <t>2026-10-12 R3: still-failing - Half fixed. 'Kyiv' now finds Europe/Kiev, so an alias has been added there, but 'Kolk' still shows 'No timezone matches "Kolk".' - Asia/Kolkata is still missing.
2026-10-13 R4 (build local dev, 2026-10-13): fixed - The timezone list carries the modern names and keeps the old ones as aliases. Searching 'Kolkata' returns both Asia/Calcutta and Asia/Kolkata (UTC+05:30); searching 'Kyiv' returns Europe/Kiev and Europe/Kyiv (UTC+03:00).
2026-10-13 R5 (build local dev, 2026-10-13 (rebuilt after R4; frontend modules dated 13:12 IST)): fixed - Regression check passed: on the new-client wizard, Timezone search 'Kolkata' lists Asia/Calcutta and Asia/Kolkata (UTC+05:30), 'Kyiv' lists Europe/Kiev and Europe/Kyiv (UTC+03:00), and 'toronto' (lower case) finds America/Toronto.</t>
  </si>
  <si>
    <t>BUG-028</t>
  </si>
  <si>
    <t>Return address: Same as Ship From / own address</t>
  </si>
  <si>
    <t>Client wizard &gt; Return address: a ZIP+4 cannot be typed - the field stops at 9 characters while its own hint shows the 10-character form 12345-6789</t>
  </si>
  <si>
    <t>1. Open Settings &gt; Clients and click + Add Client
2. Fill step 1 Identity and pick a warehouse on step 2 Ship From, then go to step 3 Return address
3. Untick 'Same as Ship From'
4. Type 60601-1234 in ZIP</t>
  </si>
  <si>
    <t>ZIP typed: 60601-1234 (10 characters). Hint under the field: 'Format: 12345 or 12345-6789 - max 9 chars - UPS'</t>
  </si>
  <si>
    <t>A ZIP+4 in the form the hint shows (12345-6789) can be typed and is accepted; if the carrier limit is 9 digits, the hyphen should not count towards it.</t>
  </si>
  <si>
    <t>The input has maxlength 9, so typing stops after '60601-123'. The field then shows the error 'Postal code doesn't match the US format.' and Next stays disabled, so a US ZIP+4 return address cannot be saved at all.</t>
  </si>
  <si>
    <t>input maxlength 9, value after typing 60601-1234: '60601-123'. The same 9-character limit is on the ZIP field of the Ship From / Return address block. Phone behaves the same way: maxlength 15 truncates '+1 (312) 555-0100' to '+1 (312) 555-01', but no error is shown for that.</t>
  </si>
  <si>
    <t>BUG-028.jpg, BUG-028-2.jpg, BUG-028-3.png</t>
  </si>
  <si>
    <t>2026-10-12 R3: fixed - The ZIP field now has maxlength 10 and its hint reads 'Format: 12345 or 12345-6789 - max 10 chars - USPS / UPS'. Typing 60601-1234 leaves the full value with no error.
2026-10-13 R4 (build local dev, 2026-10-13): fixed - Return address ZIP now accepts the full ZIP+4: 60601-1234 (10 characters) is held in the field, and the hint reads 'Format: 12345 or 12345-6789 - max 10 chars - USPS / UPS'. Field and hint agree.
2026-10-13 R5 (build local dev, 2026-10-13 (rebuilt after R4; frontend modules dated 13:12 IST)): fixed - Regression check passed: on step 3 Return address with 'Same as Ship From' unticked, ZIP has maxlength 10 and holds 60601-1234 in full; the hint reads 'Format: 12345 or 12345-6789 - max 10 chars - USPS / UPS' and Next is enabled.</t>
  </si>
  <si>
    <t>BUG-029</t>
  </si>
  <si>
    <t>Carrier accounts grid for the client (+ Add Account, default star)</t>
  </si>
  <si>
    <t>Client wizard &gt; Carriers: the UPS account number hint and its error message give different rules ('exactly 6 alphanumerics' vs '6-10 letters or digits')</t>
  </si>
  <si>
    <t>1. Open Settings &gt; Clients and click + Add Client
2. Fill step 1, pick a warehouse on step 2, go on to step 4 Carriers
3. Click + Add carrier account; Carrier is UPS
4. Read the grey hint under Account number
5. Type 12 in Account number and click into Client ID
6. Replace it with QA10127890123 and click into Client ID</t>
  </si>
  <si>
    <t>Carrier UPS; Account number 12, then QA1012!! (saved as QA1012)</t>
  </si>
  <si>
    <t>The hint and the error state the same rule, so the user knows whether a 7-10 character UPS number is allowed.</t>
  </si>
  <si>
    <t>The grey hint reads 'UPS shipper numbers are exactly 6 alphanumerics.' while the red error, shown for a shorter value, reads 'UPS shipper number is 6-10 letters or digits'. The field itself stops at 6 characters (typing QA10127890123 leaves QA1012), so the error message is the wrong one and tells the user to try lengths the field will not accept. DHL Express has the same mismatch: hint 'DHL Express account numbers are up to 9 digits.' against error 'DHL Express account number is 9-12 digits', and the field accepts letters (QA1012QA1) although both texts say digits.</t>
  </si>
  <si>
    <t>Account number input caps at 6 characters for UPS and strips punctuation as typed (QA1012!! becomes QA1012). Only the error text disagrees with the hint and with the field's own behaviour.</t>
  </si>
  <si>
    <t>BUG-029.jpg, BUG-029-2.png, BUG-029-3.jpg, BUG-029-4.png, BUG-029-5.png, BUG-029-R7-letters.png, BUG-029-R7.png</t>
  </si>
  <si>
    <t>2026-10-12 R3: still-failing - Fixed for UPS: the hint now reads 'UPS shipper numbers are 6-10 letters or digits.', matching the error, and a 10-character number is accepted. DHL Express still disagrees with itself - the grey hint says 'DHL Express account numbers are up to 9 digits.' while the error says 'DHL Express account number is 9-12 digits'.
2026-10-13 R4 (build local dev, 2026-10-13): still-failing - The hint-versus-error mismatch is fixed for both carriers: UPS now reads '6-10 letters or digits (UPS shipper #)' with the field capped at maxlength 10 (typing QA10137890123 leaves QA10137890), and DHL Express reads '9-12 digits (DHL account #)' against the error 'DHL Express account number is 9-12 digits'. What remains is the other half of the original finding: the DHL field still accepts letters - QA1013QA1013 was held and rejected only on length, not on being non-numeric, although both the placeholder and the error say digits.
2026-10-13 R5 (build local dev, 2026-10-13 (rebuilt after R4; frontend modules dated 13:12 IST)): still-failing - Fixed for UPS and DHL, but the same fault now shows on FedEx, which the fix comment says it covers. UPS: placeholder '6-10 letters or digits (UPS shipper #)', hint 'UPS shipper numbers are 6-10 letters or digits.', error for '12' 'UPS shipper number is 6-10 letters or digits', field capped at 10 (QA10137890123 -&gt; QA10137890) - all agree. DHL Express: inputMode numeric, pattern [0-9]{9,12}, letters stripped as typed (QA1013QA1013 -&gt; 10131013), hint and error both '9-12 digits'. FedEx (new client QA-1013-R5-CL01, carrier form on step 4): the placeholder reads 'Up to 12 digits (FedEx account #)', the error on blur reads 'FedEx account number is exactly 9 digits', and the field itself holds up to 12 letters or digits (pattern [0-9A-Za-z]{1,12}, no numeric inputMode) - QA740561111 is kept as typed. Three different rules for one field, which is what this bug is about. Minor: a value typed for one carrier is carried over when the carrier is changed (QA13R5 typed for UPS stays in the DHL field); it is then caught on blur with the DHL error, so nothing invalid can be staged.
2026-10-14 R6 (build local dev, 2026-10-14 (order-form modules reloaded 13:17 IST)): cannot-retest - R6: not re-walked. The client editor (/settings/clients/new and /settings/clients/{code}) failed to compile from about 14:00 IST to the end of the run (15:38): '[plugin:vite:oxc] Transform failed ... src/components/ClientEditorPage.tsx:1515:13 Expected , or ) but found Identifier' - a developer edit in progress at the Markup step.
2026-10-16 R7 (build local dev, 2026-10-16): still-failing - R7: fixed for UPS and DHL, still failing for FedEx. Client wizard (+ Add Client &gt; step 4 Carriers &gt; + Add carrier account). UPS: placeholder '6-10 letters or digits (UPS shipper #)', hint 'UPS shipper numbers are 6-10 letters or digits.', error for '12' 'UPS shipper number is 6-10 letters or digits', field capped at 10 (QA10167890123 -&gt; QA10167890) - all agree. DHL Express: placeholder '9-12 digits (DHL account #)', inputMode numeric, letters are stripped as typed (QA1016QA1016 -&gt; 10161016), error '9-12 digits'. FedEx: the dev change ('field physically cannot hold letters') is not there - the placeholder reads 'Up to 12 digits (FedEx account #)', the field has no numeric inputMode and holds 12 letters or digits (QA740561111234 -&gt; QA7405611112; 740561111234 is kept as typed), and the error on leaving the field reads 'FedEx account number is exactly 9 digits'. Three different rules for the one FedEx field. A value typed for one carrier is also carried over when the carrier is changed (QA10167890 from UPS stayed in the DHL field and was flagged on blur).</t>
  </si>
  <si>
    <t>Fixed on dev (3a9a749e): DHL/FEDEX account input strips non-digits onChange + inputMode=numeric so the field physically cannot hold letters.
Test fix (46d6db84, 2026-10-15): tests now assert UPS maxLength 10 + DHL maxLength 12 to match the 6-10 / 9-12 widening.</t>
  </si>
  <si>
    <t>BUG-030</t>
  </si>
  <si>
    <t>Client wizard &gt; Carriers: Cancel on the carrier account form keeps everything typed, including the client secret, and + Add carrier account reopens the discarded draft</t>
  </si>
  <si>
    <t>1. Open Settings &gt; Clients and click + Add Client
2. Fill step 1 Identity and pick a warehouse on step 2 Ship From, then go to step 4 Carriers
3. Click + Add carrier account
4. Choose carrier DHL Express, type an account number, a client id and a client secret
5. Click Cancel - the list shows 'No carrier accounts staged yet'
6. Click + Add carrier account again</t>
  </si>
  <si>
    <t>Carrier DHL Express, account number QA1012QA1, test client id and client secret created for this run (local SANDBOX placeholders)</t>
  </si>
  <si>
    <t>Cancel discards the draft, so the next + Add carrier account opens an empty form on the default carrier - as the empty-state text implies.</t>
  </si>
  <si>
    <t>The list is emptied but the form is not: reopening it shows the cancelled carrier, account number, client id and the filled client secret. Typing an account number then appends to the retained one (QA1012 typed into a field already holding QA1012 gives QA1012QA1), so a stale credential can be staged against the wrong carrier without the user noticing.</t>
  </si>
  <si>
    <t>Nothing is sent on Cancel; the draft is only held in the page. The retained secret stays masked but is still submitted if the user clicks Add to list.</t>
  </si>
  <si>
    <t>BUG-030.jpg</t>
  </si>
  <si>
    <t>2026-10-12 R3: fixed - Cancel now clears the draft completely: reopening + Add carrier account gives an empty form on the default carrier, with the account number, client id and secret all blank.
2026-10-13 R4 (build local dev, 2026-10-13): fixed - Filled the carrier form (DHL Express, account 123456789, client id and secret), clicked Cancel, then + Add carrier account again: the form reopens empty on the default carrier UPS, with account number, client id and client secret all blank. No stale credential is retained.
2026-10-13 R5 (build local dev, 2026-10-13 (rebuilt after R4; frontend modules dated 13:12 IST)): fixed - Regression check passed: with FedEx, an account number, a client id and a client secret typed, Cancel and then + Add carrier account reopens an empty form on the default carrier UPS - account number, client id and secret (length 0) all blank.</t>
  </si>
  <si>
    <t>BUG-031</t>
  </si>
  <si>
    <t>Client wizard &gt; Carriers: 'Add to list' greys out with the tooltip 'Fix the highlighted fields to continue' while no field is highlighted</t>
  </si>
  <si>
    <t>1. Open Settings &gt; Clients and click + Add Client; fill step 1 and step 2
2. On step 4 Carriers click + Add carrier account
3. Choose carrier DHL Express and type the account number QA1012QA1 (letters and digits)
4. Fill Client ID and Client secret
5. Look at the Add to list button and hover over it</t>
  </si>
  <si>
    <t>Carrier DHL Express, account number QA1012QA1; hint under the field: 'DHL Express account numbers are up to 9 digits.'</t>
  </si>
  <si>
    <t>Either the account number is accepted, or the field that fails is marked in red with its message, so the user can see what to fix.</t>
  </si>
  <si>
    <t>Add to list is greyed and its tooltip says 'Fix the highlighted fields to continue', but no field is red and no message is shown. The value only becomes acceptable after the carrier is changed to UPS or the letters are removed, which the user has to work out for themselves.</t>
  </si>
  <si>
    <t>The button is not really disabled (disabled=false) - it only looks greyed and carries the tooltip, so a click gives no feedback either.</t>
  </si>
  <si>
    <t>BUG-031.jpg</t>
  </si>
  <si>
    <t>2026-10-12 R3: fixed - With carrier DHL Express and the account number QA1012QA1, the field is now outlined in red with 'DHL Express account number is 9-12 digits' underneath, so the tooltip 'Fix the highlighted fields to continue' now matches what is on screen.
2026-10-13 R4 (build local dev, 2026-10-13): fixed - Add to list with the form incomplete now marks each failing field in red with its own message - 'Account number is required' under Account number and 'Client ID is required' under Client ID - and only then greys the button. The reason is visible instead of hidden behind a tooltip.
2026-10-13 R5 (build local dev, 2026-10-13 (rebuilt after R4; frontend modules dated 13:12 IST)): fixed - Regression check passed: Add to list on the empty form marks Account number ('Account number is required'), Client ID ('Client ID is required') and Client secret ('Client secret is required') in red; the button's title then reads 'Fix the highlighted fields to continue' with the fields actually highlighted.</t>
  </si>
  <si>
    <t>BUG-032</t>
  </si>
  <si>
    <t>Markup: kind (Percent / Flat), Value, Currency, Preview, Save markup</t>
  </si>
  <si>
    <t>Creating a client shows the raw error code MARKUP_REQUIRED_FOR_CLIENT in the 'Heads up' message</t>
  </si>
  <si>
    <t>1. Create a client through Settings &gt; Clients &gt; + Add Client, skipping the Markup step
2. Read the 'Heads up' toast shown after Submit</t>
  </si>
  <si>
    <t>Client QA-1012-CL01 created with no billing markup</t>
  </si>
  <si>
    <t>The message explains in words that labels will be refused until a billing markup is set; the internal code belongs in the log, not in the message.</t>
  </si>
  <si>
    <t>'Set a billing markup for QA-1012-CL01 on the Markup tab before generating labels - MARKUP_REQUIRED_FOR_CLIENT will otherwise reject every label call for this client.'</t>
  </si>
  <si>
    <t>The rest of the sentence already says what happens, so the code adds nothing for the user. The same warning is useful on the Markup step itself, which is only marked amber.</t>
  </si>
  <si>
    <t>BUG-032.jpg, BUG-032-2.jpg, BUG-032-3.png</t>
  </si>
  <si>
    <t>2026-10-12 R3: cannot-retest - The 'Heads up' toast could not be read this time: toasts now clear themselves after about ten seconds (BUG-037 is fixed) and it had gone before the screen could be captured. The Markup step itself carries no such wording. Worth one more look the next time a client is created.
2026-10-13 R4 (build local dev, 2026-10-13): fixed - Creating QA-1013-CL01 now shows: 'Heads up - Set a billing markup for QA-1013-CL01 on the Markup tab before generating labels - otherwise every label call for this client will be rejected until one is configured.' The raw MARKUP_REQUIRED_FOR_CLIENT code is gone from the message.
2026-10-13 R5 (build local dev, 2026-10-13 (rebuilt after R4; frontend modules dated 13:12 IST)): fixed - Regression check passed: creating QA-1013-R5-CL02 with no billing markup raises 'Heads up - Set a billing markup for QA-1013-R5-CL02 on the Markup tab before generating labels - otherwise every label call for this client will be rejected until one is configured.', next to 'Done - Client QA-1013-R5-CL02 created.', '1 carrier account saved.' and '1 mapping saved.' (with a 'Dismiss all' link). No raw error code anywhere; the list row's warning icon carries the same wording.</t>
  </si>
  <si>
    <t>Fixed on dev (errorMessages entry present): MARKUP_REQUIRED_FOR_CLIENT friendly entry exists; could not retest.</t>
  </si>
  <si>
    <t>BUG-033</t>
  </si>
  <si>
    <t>Client wizard &gt; Return address: the State limit is credited to USPS in both modes but changes from 'max 2 chars' to 'max 5 chars' on a client with no USPS account</t>
  </si>
  <si>
    <t>1. Open Settings &gt; Clients and click + Add Client
2. On step 3 Return address untick 'Same as Ship From' and read the hint under STATE: 'max 2 chars - USPS'
3. Finish the wizard with a single UPS carrier account
4. Open the saved client (Edit) and go to step 3 Return address
5. Read the hint under STATE again</t>
  </si>
  <si>
    <t>Client QA-1012-CL01, one carrier account: UPS - QA1012 (SANDBOX)</t>
  </si>
  <si>
    <t>The hint names the carrier whose limit is being applied. The other fields do this correctly: with only UPS on the client they read 'max 35 chars - UPS', 'max 9 chars - UPS'.</t>
  </si>
  <si>
    <t>STATE reads 'max 2 chars - USPS' in the new-client wizard and 'max 5 chars - USPS' on the saved client, although that client has no USPS account. Two different limits are attributed to the same carrier, and the carrier named is one the client does not use.</t>
  </si>
  <si>
    <t>Same page, same field. In the wizard (no carrier staged yet) the limits shown are the strictest across all carriers ('UPS / FEDEX' appears on other fields); on the saved client they narrow to the client's own carriers, and only STATE keeps the USPS label.</t>
  </si>
  <si>
    <t>http://localhost:5173/settings/clients/QA-1012-CL01</t>
  </si>
  <si>
    <t>BUG-033.png, BUG-033-2.png, BUG-033-3.png</t>
  </si>
  <si>
    <t>2026-10-12 R3: fixed - On a saved client whose only carrier account is UPS the State hint now reads 'max 5 chars - UPS', naming the carrier the limit comes from. In the new-client wizard, before any carrier is staged, it reads 'max 2 chars - USPS', which is the strictest rule across the carriers. The two no longer contradict each other.
2026-10-13 R4 (build local dev, 2026-10-13): fixed - On the saved client QA-1013-CL01, which has a single UPS carrier account, every return-address hint now names UPS and only UPS: 'max 35 chars - UPS' (Attention/Company and Street), 'max 30 chars - UPS' (City), 'max 5 chars - UPS' (State), 'Format: 12345 or 12345-6789 - max 10 chars - UPS' (ZIP), 'max 15 chars - UPS' (Phone). The USPS attribution on a client with no USPS account is gone. The wizard still shows a stricter 'max 2 chars' before any carrier is chosen, which is consistent now that it is the across-all-carriers limit rather than a carrier-specific claim.
2026-10-13 R5 (build local dev, 2026-10-13 (rebuilt after R4; frontend modules dated 13:12 IST)): fixed - Regression check passed on the saved client QA-1013-R5-CL01 (one UPS account): every return-address hint names UPS only - 'max 35 chars - UPS' (Attention, Street, Suite), 'max 30 chars - UPS' (City), 'max 5 chars - UPS' (State), 'Format: 12345 or 12345-6789 - max 10 chars - UPS' (ZIP), 'max 15 chars - UPS' (Phone).</t>
  </si>
  <si>
    <t>BUG-034</t>
  </si>
  <si>
    <t>Billing markup: a negative or non-numeric value is only refused by the server, as a 'Something went wrong' toast, with nothing marked on the field</t>
  </si>
  <si>
    <t>1. Open Settings &gt; Clients, open a client and go to step 6 Markup
2. Choose Percent of rate and type -5 in Value, then click Save markup
3. Replace the value with abc and click Save markup again</t>
  </si>
  <si>
    <t>Client QA-1012-CL01; markup values -5 and abc</t>
  </si>
  <si>
    <t>The form refuses a negative or non-numeric percentage as the field is typed, the way the Identity and Return steps do, and the field is marked with the reason. A failed save is not reported as an unexpected error.</t>
  </si>
  <si>
    <t>Both values are accepted by the field. The live preview simply disappears with no message, Save markup stays active, and the save fails with a red toast headed 'Something went wrong' and the detail 'Value must be a non-negative number.' The field itself is never marked.</t>
  </si>
  <si>
    <t>The Value input is type=text with no min, max or step. The preview panel vanishing also moves the Save markup button up by about 80 px, so a click aimed at it can land on Next instead (seen during this test).</t>
  </si>
  <si>
    <t>BUG-034.jpg, BUG-034-2.jpg, BUG-034-3.jpg</t>
  </si>
  <si>
    <t>2026-10-12 R3: fixed - Typing -5 or abc now marks the field at once with 'Value must be a non-negative number.' underneath it. No save attempt and no toast are needed to find out.
2026-10-13 R4 (build local dev, 2026-10-13): fixed - Typing -5 into the markup Value (%) field now marks it red immediately with 'Value must be a non-negative number.' The preview clears and the save never has to be attempted, so the 'Something went wrong' toast no longer appears for an ordinary validation failure.
2026-10-13 R5 (build local dev, 2026-10-13 (rebuilt after R4; frontend modules dated 13:12 IST)): fixed - Typing -5 or abc into the markup Value (%) field marks it at once with 'Value must be a non-negative number.' (aria-invalid true), and clicking Save markup with -5 sends no request. The toast that click raises is still headed 'Something went wrong' - that wording is BUG-036's subject and is recorded there.</t>
  </si>
  <si>
    <t>BUG-035</t>
  </si>
  <si>
    <t>Billing markup preview formats a USD amount with Indian digit grouping: $2,50,00,00,00,024.75 instead of $250,000,000,024.75</t>
  </si>
  <si>
    <t>1. Open Settings &gt; Clients, open a client and go to step 6 Markup
2. Choose Percent of rate, currency USD
3. Type 999999999999 in Value
4. Read the PREVIEW line</t>
  </si>
  <si>
    <t>Markup: Percent of rate, value 999999999999, currency USD; preview base rate $25.00</t>
  </si>
  <si>
    <t>A USD amount is grouped in thousands: $250,000,000,024.75.</t>
  </si>
  <si>
    <t>The preview reads 'On a $25.00 carrier rate, this markup produces a billable amount of $2,50,00,00,00,024.75.' - lakh/crore grouping. The amount itself is right; only the grouping is wrong.</t>
  </si>
  <si>
    <t>The number appears to be formatted with the browser's own locale rather than a locale chosen for the currency, so the same screen shows $25.00 (US style) and $2,50,00,00,00,024.75 (Indian style) side by side. Worth checking everywhere money is printed, labels and invoices included.</t>
  </si>
  <si>
    <t>BUG-035.png, BUG-035-2.png, BUG-035-3.png</t>
  </si>
  <si>
    <t>2026-10-12 R3: fixed - With the value 999999999999 the preview now reads 'a billable amount of $250,000,000,024.75' - thousands grouping, correct for USD.
2026-10-13 R4 (build local dev, 2026-10-13): fixed - A markup of 1000000000% on a $25.00 carrier rate now previews as '$250,000,025.00' - thousands grouping. The lakh/crore grouping is gone.
2026-10-13 R5 (build local dev, 2026-10-13 (rebuilt after R4; frontend modules dated 13:12 IST)): fixed - Regression check passed with the original value: 999999999999 % on a $25.00 rate previews '$250,000,000,024.75' - thousands grouping. (Saving that value then fails with a server 500 - logged separately.)</t>
  </si>
  <si>
    <t>BUG-036</t>
  </si>
  <si>
    <t>Edit mode: Cancel and Save changes ('Identity + addresses only')</t>
  </si>
  <si>
    <t>Edit client: ordinary validation failures are announced as 'Something went wrong', the same red heading the app uses for server errors</t>
  </si>
  <si>
    <t>1. Open Settings &gt; Clients and open a client (row menu &gt; Edit)
2. Clear Client name on step 1 Identity
3. Click Save changes
4. Go to step 6 Markup, type -5 in Value and click Save markup</t>
  </si>
  <si>
    <t>Client QA-1012-CL01; empty Client name; markup value -5</t>
  </si>
  <si>
    <t>A field the user has to correct is reported as such ('Fix the highlighted fields to save'), without the heading the app uses when something unexpected has failed.</t>
  </si>
  <si>
    <t>Both show a red toast headed 'Something went wrong' with the real message underneath: 'Fix the highlighted fields to save.' and 'Value must be a non-negative number.' The same heading was seen on a genuine 502 during the earlier shipment run (BUG-016), so the user cannot tell a typo from an outage. Custom Fields: Save on an empty New field form -&gt; 'Something went wrong - Key and label are both required.'; Type Select with no options -&gt; 'Something went wrong - SELECT fields need comma-separated options.' Output Destinations: Create with no client code -&gt; 'Something went wrong - Client code is required.' Mail: Add provider with no display name -&gt; 'Something went wrong - Kind and display name are required.' Email Templates: Render preview with invalid Variables JSON -&gt; 'Something went wrong - Vars must be valid JSON.'</t>
  </si>
  <si>
    <t>The on-field message 'Name is required.' is shown correctly at the same time, so only the toast heading is at fault.</t>
  </si>
  <si>
    <t>BUG-036.jpg, BUG-036-2.jpg, BUG-036-3.png, BUG-036-R7-carrier.png, BUG-036-R7-markup.jpg, BUG-036-R7.png</t>
  </si>
  <si>
    <t>Settings &gt; Organization &gt; Users &gt; Users list; Settings &gt; Carriers &amp; Services &gt; Carrier Accounts; Settings &gt; Carriers &amp; Services &gt; Shipping Catalog; Settings &gt; Labels &amp; Documents &gt; Templates; Settings &gt; Labels &amp; Documents &gt; Custom Fields; Settings &gt; Labels &amp; Documents &gt; Output Destinations; Settings &gt; Email &amp; Alerts &gt; Mail; Settings &gt; Email &amp; Alerts &gt; Email Templates</t>
  </si>
  <si>
    <t>2026-10-12 R3: still-failing - Unchanged. Saving the client editor with an empty Client name still raises a red toast headed 'Something went wrong' with 'Fix the highlighted fields to save.' underneath. The field is marked correctly at the same time, and the toast now clears itself (BUG-037), but the heading is still the one used for server failures.
2026-10-13 R4 (build local dev, 2026-10-13): fixed - Editing MKL246 with the email set to 'not-an-email' now marks the field red with the inline message 'Enter a valid email address (name@domain).' and raises a toast headed 'Check the form for errors - Fix the highlighted fields to save.' The 'Something went wrong' heading is no longer used for ordinary validation. MKL246 was left unchanged (email still conac@mkl.com).
2026-10-13 R5 (build local dev, 2026-10-13 (rebuilt after R4; frontend modules dated 13:12 IST)): still-failing - Fixed on Identity, not on Markup. Clearing Client name and clicking Save changes now raises 'Check the form for errors - Fix the highlighted fields to save.' with 'Name is required.' under the field and no request sent. But step 4 of the bug's own steps still fails: on step 6 Markup, typing -5 and clicking Save markup raises a red toast headed 'Something went wrong' with 'Value must be a non-negative number.' beneath - no request is sent, so this is an ordinary validation failure announced with the heading the app uses for server errors. The same heading is used, correctly, a moment later for a real server 500 on the same button, so the two still look alike. Settings &gt; Users has the same fault and is added to the affected screens: Send invite with an empty form raises a red toast headed 'Something went wrong' with 'Email and client are required.' underneath, and no request is sent. Settings &gt; Carrier Accounts has it too: Save to Account Book with required fields empty, or with a 41+ character name, raises 'Something went wrong - Please fix the highlighted fields before saving.' while the fields themselves are marked correctly ('Account number is required', 'Max 40 characters'), with no request sent. Shipping Catalog &gt; Add Package too: 'Something went wrong - Give the package a name.' and 'Something went wrong - A custom box needs length, width and height.', with no field marked and no request sent. Templates too: a 352 KB logo is refused with 'Something went wrong - Logo must be under 200 KB. Try compressing the image.'
2026-10-14 R6 (build local dev, 2026-10-14 (order-form modules reloaded 13:17 IST)): still-failing - R6: still failing. Carrier Accounts &gt; Add carrier account, Save with required fields empty: 'Something went wrong - Please fix the highlighted fields before saving.' with the fields marked and no request sent. Output Destinations &gt; Create with no client code: 'Something went wrong - Client code is required.', no request sent. The client wizard's Markup step (the bug's own steps) could not be re-walked: the client editor did not compile during this run (ClientEditorPage.tsx parse error).
2026-10-16 R7 (build local dev, 2026-10-16): still-failing - R7: fixed on the bug's own screen, still failing everywhere else it lists. Client editor &gt; step 6 Markup, Value -5, Save markup: the toast is now headed 'Check the form for errors' with 'Value must be a non-negative number.' underneath, and no request is sent (the same sentence is also shown under the field). Still headed 'Something went wrong' for ordinary validation failures: Settings &gt; Users &gt; Invite user with an empty form ('Email and client are required.', no request sent); Settings &gt; Carrier Accounts &gt; Add Account &gt; Save to Account Book with the required fields empty ('Please fix the highlighted fields before saving.' while the fields are marked, no request sent); Settings &gt; Mail &gt; Add provider with no display name. The scanner enrolment and the Markup step show the corrected heading, so the fix reached those screens only.</t>
  </si>
  <si>
    <t>Fix landed earlier this session: Markup validation heading shipped as 9b7cb64d earlier this session.</t>
  </si>
  <si>
    <t>BUG-037</t>
  </si>
  <si>
    <t>Toasts and messages (success, validation, server errors)</t>
  </si>
  <si>
    <t>Error toasts never time out: a failed-delete message was still on screen 38 minutes later, through navigation and other work</t>
  </si>
  <si>
    <t>1. Open Settings &gt; Clients (/settings/clients)
2. Scroll the table right, open the row menu on MKL246 and click Delete (it is refused because the client has orders)
3. Carry on working: open other Settings steps, edit a client, come back
4. Look at the bottom right of the window</t>
  </si>
  <si>
    <t>Toast 'Something went wrong - MKL246 has 404 pending order(s). Complete or void them before deleting.' raised at 09:37, still shown at 10:15</t>
  </si>
  <si>
    <t>An error message disappears on its own after a short time, like the green 'Done' toasts, or at the latest when the user moves to another screen.</t>
  </si>
  <si>
    <t>Red toasts stay until clicked away. They survive moving between wizard steps and back to the list, and they stack: three were on screen at once earlier in this run. Each one covers the bottom-right corner of the page.</t>
  </si>
  <si>
    <t>Green success toasts ('Markup saved for QA-1012-CL01.') do disappear by themselves, so only the error ones are affected. A 'Dismiss all' button appears once more than one is open.</t>
  </si>
  <si>
    <t>BUG-037.jpg</t>
  </si>
  <si>
    <t>2026-10-12 R3: fixed - The refusal toast for deleting MKL246 now carries a countdown bar and cleared itself within about 10 seconds without being clicked.
2026-10-13 R4 (build local dev, 2026-10-13): fixed - The error toast from that failed save had dismissed itself within 15 seconds. It no longer persists across navigation.
2026-10-13 R5 (build local dev, 2026-10-13 (rebuilt after R4; frontend modules dated 13:12 IST)): fixed - Regression check passed: the two red toasts raised on the Markup step ('Something went wrong - Value must be a non-negative number.' and the server-error one with reference 3e0a8978) had both dismissed themselves within about 20 seconds; only the later green 'Done - Markup saved' toast remained.</t>
  </si>
  <si>
    <t>BUG-038</t>
  </si>
  <si>
    <t>Export (CSV of current view)</t>
  </si>
  <si>
    <t>Clients Export: the button promises 'visible columns, filtered rows' but the request carries no column information, so hidden columns are unlikely to be left out</t>
  </si>
  <si>
    <t>1. Open Settings &gt; Clients (/settings/clients)
2. Hover over Export and read the tooltip
3. Click Export and look at the request the page sends
4. Type THB in the search box and click Export again
5. Hide the Contact column from the Columns menu and click Export again</t>
  </si>
  <si>
    <t>3 clients; search THB; Contact column hidden</t>
  </si>
  <si>
    <t>Either the CSV matches the view as the tooltip says, or the tooltip only promises what the export really does.</t>
  </si>
  <si>
    <t>The tooltip reads 'Export the current view as CSV - visible columns, filtered rows'. Rows are honoured: the request becomes /api/v1/clients/export.csv?sortBy=code&amp;sortDirection=ASC&amp;search=THB. Columns are not sent at all - the request is identical with the Contact column hidden - so the server cannot know which columns to leave out.</t>
  </si>
  <si>
    <t>Requests seen on Clients: .../export.csv?sortBy=code&amp;sortDirection=ASC and .../export.csv?sortBy=code&amp;sortDirection=ASC&amp;search=THB, both 200. The downloaded file itself could not be opened from this session, so the CSV content is not verified - please confirm with a file. The same button on Settings &gt; Warehouses behaves differently: no server call at all, the file is built in the page and fetched from a data: URL, so the two lists do not share an export path even though the tooltip is identical.</t>
  </si>
  <si>
    <t>2026-10-12 R3: cannot-retest - The implementation has changed: the Clients Export no longer calls /api/v1/clients/export.csv at all. Like the Warehouses one it now builds the file in the page and fetches it from a data: URL, so the original evidence - that no column information was sent to the server - no longer applies, and a client-side build can honour the hidden columns. The file itself still cannot be opened from this session, so whether the CSV matches the visible columns is still unverified.
2026-10-13 R4 (build local dev, 2026-10-13): still-failing - Now reproducible and confirmed failing. With six of the seven columns hidden and the search set to THB, Export sent GET /api/v1/clients/export.csv?sortBy=code&amp;sortDirection=ASC&amp;search=THB. The filter is carried, but there is no column parameter of any kind, so the 'visible columns' half of the button's promise is not honoured - the file will contain every column regardless of what is on screen.
2026-10-13 R5 (build local dev, 2026-10-13 (rebuilt after R4; frontend modules dated 13:12 IST)): still-failing - Half fixed. The page now sends the visible columns and the server drops the hidden ones - with Contact and Orders hidden and THB in the search box, Export (download permitted by Manoj) sent GET /api/v1/clients/export.csv?sortBy=orderCount&amp;sortDirection=DESC&amp;search=THB&amp;columns=code,name,country,accounts,status,actions and the CSV read in the page was 'Code,Name,Country,Carrier accounts,Status' / 'THB000,Thoroughbred Fulfillment LLC,US,,ACTIVE'. But the server never writes Contact or Orders, even when they are visible and requested: with the default layout (all seven columns shown) the request is ...&amp;columns=code,name,contact,country,accounts,orderCount,status,actions and the file still has only 'Code,Name,Country,Carrier accounts,Status'. So a user who can see Contact and Orders on screen gets a file without them - the 'visible columns' promise is still not kept, now in the other direction. Likely the server does not recognise the ids 'contact' and 'orderCount'.
2026-10-14 R6 (build local dev, 2026-10-14 (order-form modules reloaded 13:17 IST)): still-failing - R6: unchanged since R5. Export now sends the visible columns (columns=code,name,contact,country,accounts,orderCount,status,actions), but the CSV the server returns still has only 'Code,Name,Country,Carrier accounts,Status' - Contact and Orders are never written, even when they are shown. Checked with the download caught in the page.
2026-10-16 R7 (build local dev, 2026-10-16): fixed - R7: with the default layout Export sends columns=code,name,contact,country,accounts,orderCount,status,actions and the CSV header is now 'Code,Name,Email,Phone,Country,Carrier accounts,Orders,Status' - Contact (as Email + Phone) and Orders are written. With Contact and Orders hidden the file is 'Code,Name,Country,Carrier accounts,Status'. CSV read from the download caught in the page; layout reset afterwards.</t>
  </si>
  <si>
    <t>Fixed on dev (9681f4ff): FE columns (contact/orderCount/actions) now alias to backend map keys so CSV contains the right columns.</t>
  </si>
  <si>
    <t>BUG-039</t>
  </si>
  <si>
    <t>Breadcrumb and browser tab title in the wizard</t>
  </si>
  <si>
    <t>Client wizard: the top breadcrumb still reads 'Settings' and the browser tab is always 'multiship-react', so neither says which client is open</t>
  </si>
  <si>
    <t>1. Open Settings &gt; Clients and click + Add Client (/settings/clients/new)
2. Look at the breadcrumb in the top bar and at the browser tab title
3. Open an existing client with the row menu &gt; Edit (/settings/clients/MKL246) and look again</t>
  </si>
  <si>
    <t>Pages /settings/clients, /settings/clients/new and /settings/clients/MKL246</t>
  </si>
  <si>
    <t>The breadcrumb follows the page, as it does on the list itself ('Settings &gt; Clients'), and the tab title names the screen and the record, so a user with several tabs open can tell them apart and a bookmark is meaningful.</t>
  </si>
  <si>
    <t>On both wizard pages the breadcrumb shows only 'Settings', losing the 'Clients' step and the client, even though the page header shows 'EDIT CLIENT - MKL (MKL246)'. The browser tab reads 'multiship-react' on every page in the application.</t>
  </si>
  <si>
    <t>document.title is 'multiship-react' on /settings/clients, /settings/clients/new and /settings/clients/MKL246.</t>
  </si>
  <si>
    <t>BUG-039.jpg</t>
  </si>
  <si>
    <t>2026-10-12 R3: still-failing - Half fixed. The browser tab title is now 'New client - Settings' instead of 'multiship-react'. The breadcrumb in the top bar still reads only 'Settings' on /settings/clients/new and on a client's edit page, losing both the Clients step and the client itself.
2026-10-13 R4 (build local dev, 2026-10-13): fixed - The browser tab now reads 'New client - Settings' instead of 'multiship-react', and the panel header reads 'NEW CLIENT / Register a client'. The global breadcrumb reads 'SETTINGS ... Clients', naming the section the wizard belongs to rather than just 'Settings'.
2026-10-13 R5 (build local dev, 2026-10-13 (rebuilt after R4; frontend modules dated 13:12 IST)): fixed - Regression check passed: on /settings/clients/new the browser tab reads 'New client - Settings' and the top breadcrumb 'SETTINGS &gt; Clients'.</t>
  </si>
  <si>
    <t>BUG-040</t>
  </si>
  <si>
    <t>Organization &gt; Warehouses</t>
  </si>
  <si>
    <t>Warehouses list</t>
  </si>
  <si>
    <t>Add / Edit warehouse panel: address fields and country</t>
  </si>
  <si>
    <t>Add warehouse accepts a state of 'ILLINOIS' and a 10-character postal code, although this is the ship-from address printed on every label</t>
  </si>
  <si>
    <t>1. Open Settings &gt; Warehouses and click + Add Warehouse
2. Fill Code QA-1012-WH01 and a name
3. Line 1 742 Evergreen Terrace, City Springfield
4. State / region: type ILLINOIS
5. Postal code: type 62704-1234
6. Phone +1 (217) 555-0100, Country US
7. Click Create warehouse</t>
  </si>
  <si>
    <t>Warehouse QA-1012-WH01, state ILLINOIS, postal code 62704-1234, country US</t>
  </si>
  <si>
    <t>The ship-from address is checked at least as strictly as the client's return address, which caps State at 2 characters for a US address and checks the postal code format. UPS and FedEx both need a 2-letter state code for US addresses, so 'ILLINOIS' will be refused at label time.</t>
  </si>
  <si>
    <t>No check at all. State / region accepts up to 50 characters with no format rule and no carrier hint, Postal code accepts up to 20 with no format rule. The warehouse saves and the list shows 'Springfield, ILLINOIS'. The same window on the client Return address step would have truncated both and shown an error.</t>
  </si>
  <si>
    <t>Input maxlengths on this panel: Code 50, Name 255, Line 1 255, Line 2 255, City 100, State 50, Postal code 20, Country 2, Phone 50. No per-carrier hints are shown, unlike the Return address step which shows 'max 2 chars - USPS', 'Format: 12345 or 12345-6789' and so on. Required fields are checked ('State / region is required.'), so only the content rules are missing.</t>
  </si>
  <si>
    <t>http://localhost:5173/settings/warehouses</t>
  </si>
  <si>
    <t>BUG-040.jpg, BUG-040-2.jpg</t>
  </si>
  <si>
    <t>S007</t>
  </si>
  <si>
    <t>2026-10-12 R3: fixed - Add warehouse now refuses the carrier-breaking values. Typing ILLINOIS into State / region marks the field 'State / region must be 2 characters or fewer.'; typing NOTAZIPCODE12345678 into Postal code marks it 'Postal code must be 10 characters or fewer.' Create warehouse greys out while either is wrong. The rules are length rules rather than format rules - a 2-character non-state such as XX is still accepted - but the values that broke the carriers are now rejected before the record is saved.
2026-10-13 R4 (build local dev, 2026-10-13): fixed - Re-walked. ILLINOIS in State / region is marked 'State / region must be 2 characters or fewer.'; NOTAZIPCODE12345678 is marked 'Postal code must be 10 characters or fewer.' Clicking Create warehouse with those values sends no request at all and raises 'Missing details - Fix the highlighted fields before saving.' with every failing field marked, Street address included.
2026-10-13 R5 (build local dev, 2026-10-13 (rebuilt after R4; frontend modules dated 13:12 IST)): fixed - Regression check passed: Add warehouse QA-1013-R5-WH01 with State / region ILLINOIS marks the field 'State / region must be 2 characters or fewer.'; Create warehouse then sends no request and raises 'Missing details - Fix the highlighted fields before saving.' The ZIP+4 62704-1234 is accepted. (A lower-case 'il' is accepted and stored as typed - added to BUG-079.)</t>
  </si>
  <si>
    <t>BUG-041</t>
  </si>
  <si>
    <t>Row menu &gt; Attach clients</t>
  </si>
  <si>
    <t>Warehouses &gt; Attach clients: the dialog never shows which clients are already attached, and nothing on the screen can detach one</t>
  </si>
  <si>
    <t>1. Open Settings &gt; Warehouses
2. Scroll the table right, open the row menu on a warehouse and click Attach clients
3. Tick a client and click Attach - the Attached count goes up and 'Attached QA-1012-WH01 to 1 client.' is shown
4. Open the same row menu &gt; Attach clients again
5. Look for a way to undo the attachment anywhere on this screen</t>
  </si>
  <si>
    <t>Warehouse QA-1012-WH01 attached to client THB000</t>
  </si>
  <si>
    <t>The dialog shows the clients already attached, ticked or marked, so the user can see the current state; and an attachment made by mistake can be undone from the same place.</t>
  </si>
  <si>
    <t>Both clients are shown unticked every time, with no sign that THB000 is attached - the only clue is the Attached count in the grid. The subtitle says 'Existing attachments are unaffected', so the dialog only ever adds. The row menu offers Attach clients, Edit and Delete only, and the Edit panel does not list attachments either, so an attachment can be created here but never removed.</t>
  </si>
  <si>
    <t>Ticking a client also reveals 'Set as this client's default warehouse', which silently changes that client's default - another reason the current state needs to be visible. The only way found to change it is the client's own Ship From step.</t>
  </si>
  <si>
    <t>BUG-041.jpg, BUG-041-2.jpg, BUG-041-3.png</t>
  </si>
  <si>
    <t>2026-10-12 R3: fixed - Row menu &gt; Attach clients on a warehouse with one attached client: the dialog subtitle now reads 'Pick clients to attach. Rows already attached carry a badge + Detach button.', THB000 shows a green ATTACHED badge and a red Detach button. Detach opens 'Detach client - Detach THB000 from warehouse QA-1012-WH02?' and on confirm the badge clears and a 'Detached THB000.' toast appears. Re-attach works too. Retested on QA-1012-WH02 at 1392x847.
2026-10-13 R4 (build local dev, 2026-10-13): fixed - Row menu &gt; Attach clients on QA-1013-WH01 shows the subtitle 'Pick clients to attach. Rows already attached carry a badge + Detach button.' with QA-1013-CL01 carrying a green ATTACHED badge and a red Detach button.
2026-10-13 R5 (build local dev, 2026-10-13 (rebuilt after R4; frontend modules dated 13:12 IST)): fixed - Regression check passed: row menu &gt; Attach clients on 3PL-EAST lists MKL246, QA-1013-R5-CL01 and THB000 each with an ATTACHED badge and a red Detach button. Detach on my own QA-1013-R5-CL01 asks 'Detach client - Detach QA-1013-R5-CL01 from warehouse 3PL-EAST?' (in-app Cancel / Detach) and removes it; ticking it again with 'Set as this client's default warehouse' re-attaches it ('Attached 3PL-EAST to 1 client (default).'). Note that the grid's Attached count disagrees with this list (BUG-080).</t>
  </si>
  <si>
    <t>BUG-042</t>
  </si>
  <si>
    <t>Add / Edit warehouse panel: carrier address Verify</t>
  </si>
  <si>
    <t>Warehouse address Verify reports the raw status NOT_SUPPORTED, and the green tick icon makes a refusal look like a pass</t>
  </si>
  <si>
    <t>1. Open Settings &gt; Warehouses, open a warehouse with the row menu &gt; Edit
2. Next to ADDRESS pick carrier UPS and click Verify
3. Repeat with FEDEX and with USPS</t>
  </si>
  <si>
    <t>Warehouse QA-1012-WH01, 742 Evergreen Terrace, Springfield, ILLINOIS, 62704-1234, US; carriers UPS, FEDEX, USPS</t>
  </si>
  <si>
    <t>The result is written for the user, and an address that was not checked does not carry a success tick.</t>
  </si>
  <si>
    <t>Each result line reads '&lt;CARRIER&gt; - NOT_SUPPORTED' with a green circled-tick icon in front of it. UPS and FedEx add 'No live credentials for &lt;carrier&gt; - cannot call address validation.'; USPS adds 'SERA address validation needs live credentials; the account is on a fallback token.' The explanations are clear, but the raw enum and the tick icon together read as though the address passed.</t>
  </si>
  <si>
    <t>POST /api/v1/addresses/validate/carrier -&gt; 200 for each of the three carriers; no carrier was actually contacted, because the sandbox accounts have no live address-validation credentials. The address itself (state 'ILLINOIS') therefore went unchecked - see BUG-040. Each result has its own Dismiss link.</t>
  </si>
  <si>
    <t>BUG-042.jpg</t>
  </si>
  <si>
    <t>2026-10-12 R3: fixed - The Verify result now reads 'UPS - VERIFICATION NOT SUPPORTED FOR THIS COUNTRY' with the explanation 'No live credentials for UPS - cannot call address validation.' and a Dismiss action, behind a neutral blue info icon. The raw NOT_SUPPORTED status and the green tick that made a refusal look like a pass are both gone.
2026-10-13 R4 (build local dev, 2026-10-13): fixed - Verify on a US address with no live UPS credentials returns 'UPS - VERIFICATION NOT SUPPORTED FOR THIS COUNTRY / No live credentials for UPS - cannot call address validation. / Dismiss', behind a neutral info icon. No raw NOT_SUPPORTED and no green tick on a refusal.
2026-10-13 R5 (build local dev, 2026-10-13 (rebuilt after R4; frontend modules dated 13:12 IST)): fixed - Regression check passed in substance: Verify with carrier UPS on the new warehouse returns 'UPS - VERIFICATION NOT SUPPORTED FOR THIS COUNTRY / No live credentials for UPS - cannot call address validation. / Dismiss' behind a neutral info icon - no raw NOT_SUPPORTED and no green tick. The headline itself is inaccurate for a US address (the cause is the credentials, not the country) - logged separately.</t>
  </si>
  <si>
    <t>BUG-043</t>
  </si>
  <si>
    <t>Status toggle (Activate / Deactivate warehouse)</t>
  </si>
  <si>
    <t>Deactivating a warehouse that clients ship from happens on one click, with no warning - the same action on a client asks first and lists the cascade</t>
  </si>
  <si>
    <t>1. Open Settings &gt; Warehouses
2. Pick a warehouse with a number greater than 0 in the Attached column
3. Click its Status toggle</t>
  </si>
  <si>
    <t>Warehouse QA-1012-WH01, Attached = 1 (client THB000)</t>
  </si>
  <si>
    <t>The same care as on the Clients screen, where Deactivate asks 'Deactivate QA-1012-CL01?' and lists what else it will disable. The panel's own wording - 'inactive warehouses are hidden from shipment resolution' - means this can stop a client shipping.</t>
  </si>
  <si>
    <t>One click and it is done: the row turns Inactive and a green toast says 'QA-1012-WH01 is now inactive.' Nothing is asked, and the attached clients are not mentioned even though the Attached column shows 1.</t>
  </si>
  <si>
    <t>Re-activating is also a single click. The toast prints the status in lower case here ('is now inactive.') and in upper case on the Clients screen ('is now ACTIVE.').</t>
  </si>
  <si>
    <t>BUG-043.jpg, BUG-043-2.jpg, BUG-043-3.png</t>
  </si>
  <si>
    <t>2026-10-12 R3: fixed - Toggling the Status switch off on QA-1012-WH02 (1 client attached) now opens 'Deactivate warehouse - Deactivate warehouse QA-1012-WH02? It is currently attached to 1 client - any shipment that resolves ship-from to this warehouse will error until it is reactivated.' with Cancel / Deactivate; only on confirm does the row go Inactive. Delete likewise warns 'It is currently attached to 1 client - they will be unlinked.'
2026-10-13 R4 (build local dev, 2026-10-13): fixed - Toggling QA-1013-WH01 off with one client attached raises 'Deactivate warehouse - Deactivate warehouse QA-1013-WH01? It is currently attached to 1 client - any shipment that resolves ship-from to this warehouse will error until it is reactivated.' with Cancel / Deactivate.
2026-10-13 R5 (build local dev, 2026-10-13 (rebuilt after R4; frontend modules dated 13:12 IST)): fixed - Regression check passed: the Status toggle on QA-1013-R5-WH01 (attached to 1 client) raises 'Deactivate warehouse - Deactivate warehouse QA-1013-R5-WH01? It is currently attached to 1 client - any shipment that resolves ship-from to this warehouse will error until it is reactivated.' Cancel leaves it Active, Deactivate sets Inactive, re-activating is immediate.</t>
  </si>
  <si>
    <t>BUG-044</t>
  </si>
  <si>
    <t>Organization &gt; Address book</t>
  </si>
  <si>
    <t>Address book list</t>
  </si>
  <si>
    <t>Page header and list load</t>
  </si>
  <si>
    <t>Settings &gt; Address book never loads: its only data call returns 500 every time, and the page shows the 'No saved addresses yet' empty state as though the book were empty</t>
  </si>
  <si>
    <t>1. Open Settings &gt; Address book (/settings/address-book)
2. Wait for the page to settle and read the two red toasts
3. Click Refresh at the top right
4. Watch the request the page makes</t>
  </si>
  <si>
    <t>No test data needed - the failure is on page load</t>
  </si>
  <si>
    <t>The saved addresses are listed, or, if the call fails, the grid says the list could not be loaded and offers a retry - not a message that says there are none.</t>
  </si>
  <si>
    <t>GET /api/v1/recipients?page=0&amp;size=25 returns 500 on every attempt. The grid shows 'No saved addresses yet. Add one here, or use "Save to address book" in Ship to on a new shipment.' On the first load two red toasts appear ('Something went wrong on the server... contact support with reference 4afd47af'), but on Refresh the call fails again with no message at all, so the page quietly claims the address book is empty. There is no way to tell from the screen whether there are no addresses or whether the list failed to load.</t>
  </si>
  <si>
    <t>Every read of the address book fails and every failure is drawn as an empty state. GET /api/v1/recipients?page 0&amp;size 25 -&gt; 500 (twice on load, twice on Refresh - the page calls it twice each time). The search sends GET /api/v1/recipients?q QA-1012&amp;page 0&amp;size 25 -&gt; 502 and the grid reads 'No saved addresses match "QA-1012".' The client filter sends GET /api/v1/recipients?customerNo MKL246&amp;page 0&amp;size 25 -&gt; 502 and the grid reads 'No saved addresses yet.' First-load toast text: 'Something went wrong on the server. Please try again in a moment. If this keeps happening, contact support with reference 4afd47af.' Further references seen: 51350c06, 9da70cce. No browser console errors. The whole screen is unusable, so none of its controls could be checked against real rows.</t>
  </si>
  <si>
    <t>http://localhost:5173/settings/address-book</t>
  </si>
  <si>
    <t>BUG-044.jpg, BUG-044-2.jpg</t>
  </si>
  <si>
    <t>S008</t>
  </si>
  <si>
    <t>2026-10-12 R3: fixed - GET /api/v1/recipients?page=0&amp;size=25 now returns 200 and the grid lists the saved addresses with a '1 saved address' / '2 saved addresses' count. Search (?q=Bremner, ?q=60601, ?q=zzz) and the client filter all return 200 as well.
2026-10-13 R4 (build local dev, 2026-10-13): fixed - Settings &gt; Address book loads. GET /api/v1/recipients?page=0&amp;size=25 returns 200, the grid renders, and the empty state shown is now truthful rather than a disguised failure.
2026-10-13 R5 (build local dev, 2026-10-13 (rebuilt after R4; frontend modules dated 13:12 IST)): fixed - Regression check passed: Settings &gt; Address book loads - GET /api/v1/recipients?page=0&amp;size=25 -&gt; 200 (twice, StrictMode) - and the empty state 'No saved addresses yet...' is now the truth (there were none). After adding one, the row and the count line '1 saved address' appear.</t>
  </si>
  <si>
    <t>BUG-045</t>
  </si>
  <si>
    <t>Data integrity</t>
  </si>
  <si>
    <t>Add / Edit address form</t>
  </si>
  <si>
    <t>Address book: a saved address is reported as a server failure, because the list reload that follows the save is what actually fails</t>
  </si>
  <si>
    <t>1. Open Settings &gt; Address book (/settings/address-book)
2. Click + Add address
3. Fill Name QA-1012 Test Recipient, Street 290 Bremner Blvd, City Chicago, State IL, Postal code 60601, Country United States
4. Click Save address
5. Read the toast and the grid</t>
  </si>
  <si>
    <t>Shared address 'QA-1012 Test Recipient', 290 Bremner Blvd, Chicago, IL 60601, US</t>
  </si>
  <si>
    <t>A save that succeeded is reported as a success. If the list cannot be reloaded afterwards, that is reported separately and does not cast doubt on the save.</t>
  </si>
  <si>
    <t>POST /api/v1/recipients returns 200 - the address is created - but the dialog closes onto a red 'Something went wrong on the server... contact support with reference 9da70cce' and the grid still reads 'No saved addresses yet'. Everything on screen says the save failed. The failure is really the GET that follows it (BUG-044). A user will save again, and again, each time creating another copy they cannot see.</t>
  </si>
  <si>
    <t>POST /api/v1/recipients -&gt; 200, then GET /api/v1/recipients?page 0&amp;size 25 -&gt; 500. One address was created during this test and cannot be seen or deleted from the UI while the list call fails: 'QA-1012 Test Recipient', shared with every client.</t>
  </si>
  <si>
    <t>BUG-045.jpg</t>
  </si>
  <si>
    <t>2026-10-12 R3: fixed - A new shared address (QA-1012 Retest Recipient, 1 Retest Way, Chicago IL 60601) saved cleanly: POST /api/v1/recipients 200, the dialog closed with no error toast and the row appeared at once. The earlier false failure was the broken reload, which is fixed with BUG-044.
2026-10-13 R4 (build local dev, 2026-10-13): fixed - Saving 'QA-1013 Test Recipient, 742 Evergreen Terrace, Springfield IL 62704 US' sent POST /api/v1/recipients -&gt; 200 followed by GET /api/v1/recipients?page=0&amp;size=25 -&gt; 200. The dialog closed, the row appeared in the grid and the count read '1 saved address'. No false 'Something went wrong on the server' toast, so no risk of duplicate saves.
2026-10-13 R5 (build local dev, 2026-10-13 (rebuilt after R4; frontend modules dated 13:12 IST)): fixed - Regression check passed: saving a new shared address sent POST /api/v1/recipients -&gt; 200 ('Recipient saved.') and the dialog closed onto the new row with '1 saved address'; no false server-error toast. Editing it (PUT /recipients/4 -&gt; 200) reported 'Updated QA-1013-R5 Retest Recipient.'</t>
  </si>
  <si>
    <t>BUG-046</t>
  </si>
  <si>
    <t>Defaults &gt; Origin country</t>
  </si>
  <si>
    <t>Country lists differ across Settings: the client's default Origin country offers 12 countries, the address book offers 250</t>
  </si>
  <si>
    <t>1. Open Settings &gt; Clients &gt; + Add Client and open the Defaults &gt; Origin country list on step 1
2. Open Settings &gt; Address book &gt; + Add address and open the Country list</t>
  </si>
  <si>
    <t>No data needed - the two lists are compared as shown</t>
  </si>
  <si>
    <t>One country list, taken from Settings &gt; Countries, so a client whose goods originate outside those 12 can be set up, and the two screens agree.</t>
  </si>
  <si>
    <t>Origin country on the client wizard has 13 entries: '- none -' plus US, CA, MX, GB, DE, FR, IN, CN, AU, JP, AE, SG. The address book Country list has 250. The warehouse panel takes a free-typed ISO-2 code instead, with no list at all - three different approaches to the same field in one settings area.</t>
  </si>
  <si>
    <t>Counted from the select options on each screen. Whether the 12 are a deliberate shortlist of supported origins is the question - if so it is worth saying so on the field, since a client with an origin outside the list cannot be set up at all.</t>
  </si>
  <si>
    <t>BUG-046-R7-warehouse.png, BUG-046-R7-wizard.png</t>
  </si>
  <si>
    <t>2026-10-12 R3: still-failing - Unchanged. Defaults &gt; Origin country still offers 13 options (none plus 12 countries) while the address book Country list still offers 250.
2026-10-13 R4 (build local dev, 2026-10-13): still-failing - Unchanged - the same field is still built three different ways inside Settings. The Add warehouse panel takes COUNTRY (ISO-2) as a free-typed text box with no list; the address book Add address dialog offers a 250-entry country select; the client wizard's Origin country is a searchable combobox. A code typed into the warehouse box is not checked against any list.
2026-10-13 R5 (build local dev, 2026-10-13 (rebuilt after R4; frontend modules dated 13:12 IST)): still-failing - Narrowed, not solved: the same field is now built two ways instead of three. The warehouse panel (Settings &gt; Warehouses &gt; Add warehouse) and the client wizard's Origin country both use the shared searchable country list, which holds 50 countries (US, CA, MX, GB, IE ... BR, AR, CL, CO, PE) - 'Iceland' gives 'No match' in both. The address book's Add address dialog still has its own native select with 250 countries, Iceland included, although the fix comment says it uses the shared one. So a client whose goods originate in, or a warehouse located in, one of the 200 missing countries still cannot be set up, while the address book offers them.
2026-10-14 R6 (build local dev, 2026-10-14 (order-form modules reloaded 13:17 IST)): still-failing - R6: unchanged since R5. Warehouses &gt; Add warehouse still uses the short searchable list ('Icel' -&gt; 'No match', 'Peru' found), while Address book &gt; Add address has its own select with 250 countries (Iceland and Peru included), and Importer / Broker's importer Country is another long select. The client wizard's Origin country could not be opened (client editor down).
2026-10-16 R7 (build local dev, 2026-10-16): fixed - R7: one 250-country list on every screen the bug compares. Client editor &gt; Defaults &gt; Origin country: the searchable list holds 250 entries (United States, Canada, Mexico ... U.S. Minor Outlying Islands) and 'Icel' finds Iceland (IS), which gave 'No match' in R5/R6. Settings &gt; Warehouses &gt; Add warehouse (Country) and Settings &gt; Address book &gt; Add address use the same full list, and the importer Country on Settings &gt; Importer / Broker is a 250-option select too.</t>
  </si>
  <si>
    <t>Fixed on dev (bf6e96b8): Warehouse Country swaps the free-text ISO-2 input for the shared CountrySelect used by /orders/new + address book + client wizard.
R6+1 (e17bf946, 2026-10-15): _countryData.ts sources from utils/countries.ts; CountrySelect now exposes the full 250-country list. Address book dialog switched to CountrySelect so warehouse / client / address book agree.</t>
  </si>
  <si>
    <t>BUG-047</t>
  </si>
  <si>
    <t>Performance</t>
  </si>
  <si>
    <t>Organization &gt; Users</t>
  </si>
  <si>
    <t>Users list</t>
  </si>
  <si>
    <t>Search username, email, name</t>
  </si>
  <si>
    <t>Users search is not debounced: every keystroke sends a search request and a second request that reloads the audit list</t>
  </si>
  <si>
    <t>1. Open Settings &gt; Users (/settings/users)
2. Type manoj into 'Search username, email, name...' at a normal typing speed
3. Watch the requests the page sends</t>
  </si>
  <si>
    <t>Search term 'manoj' (5 characters)</t>
  </si>
  <si>
    <t>The search waits for a pause before asking the server, the way the Clients and Warehouses lists do - one request per settled term.</t>
  </si>
  <si>
    <t>Ten requests for five characters: GET /api/v1/admin/users?search=m, ...search=ma, ...search=man and so on, each followed by GET /api/v1/admin/users/audit?limit=50. The audit list has nothing to do with the search term and is reloaded every time.</t>
  </si>
  <si>
    <t>53 requests were captured over a short search session on this screen. The Clients list sends one request per settled term for the same kind of search box, so the two behave differently.</t>
  </si>
  <si>
    <t>http://localhost:5173/settings/users</t>
  </si>
  <si>
    <t>S009</t>
  </si>
  <si>
    <t>2026-10-12 R3: fixed - Typing 'manoj' (5 characters) at normal speed into the user search now sends exactly one request - GET /api/v1/admin/users?search=manoj&amp;page=0&amp;size=50 - with a single accompanying GET /api/v1/admin/users/audit?limit=50, instead of ten requests. A clear (x) button has also been added to the search box.
2026-10-13 R4 (build local dev, 2026-10-13): fixed - Typing 'manoj' into the user search sends exactly one request, GET /api/v1/admin/users?search=manoj&amp;page=0&amp;size=50, with a single accompanying audit reload. The ten-requests-for-five-keystrokes behaviour is gone.
2026-10-13 R5 (build local dev, 2026-10-13 (rebuilt after R4; frontend modules dated 13:12 IST)): fixed - Typing 'manoj' at normal speed into 'Search username, email, name...' sent one search, GET /api/v1/admin/users?search=manoj&amp;page=0&amp;size=50 -&gt; 200, with a single audit reload, and listed only manoj7000. Matching stays case-insensitive: 'SUYOGINDIA' finds manoj7000 by email.</t>
  </si>
  <si>
    <t>BUG-048</t>
  </si>
  <si>
    <t>Invite user form (fields, validation, send)</t>
  </si>
  <si>
    <t>Invite user: a bad email address is reported under the heading 'This shipment needs attention', with the raw field message repeated underneath</t>
  </si>
  <si>
    <t>1. Open Settings &gt; Users (/settings/users)
2. Click Invite user
3. Type not-an-email in Email and pick client THB000
4. Click Send invite</t>
  </si>
  <si>
    <t>Email 'not-an-email', client THB000, role USER</t>
  </si>
  <si>
    <t>A message about the user being invited, shown once, in words: for example 'Enter a valid email address'. Nothing about shipments.</t>
  </si>
  <si>
    <t>A red toast headed 'This shipment needs attention' with two lines: 'Email must be a well-formed email address.' and 'email - must be a well-formed email address'. The heading belongs to the shipment screens, and the second line is the raw field-and-message pair repeated.</t>
  </si>
  <si>
    <t>No request is sent, so the check is in the page. The same dialog with an empty form shows a third heading, 'Something went wrong - Email and client are required.' - so one small form produces three different heading styles, none of which marks the field itself.</t>
  </si>
  <si>
    <t>BUG-048.jpg, BUG-048-2.jpg, BUG-048-3.png, BUG-048-4.jpg, BUG-048-5.jpg, BUG-048-6.png, BUG-048-7.png</t>
  </si>
  <si>
    <t>2026-10-12 R3: still-failing - Half fixed. The heading is corrected - the toast now reads 'Check the form for errors' instead of 'This shipment needs attention'. The duplication remains: the toast still prints the message twice, once in words ('Email must be a well-formed email address.') and once as the raw field-and-message pair ('email - must be a well-formed email address'). Retested with not-an-email + client THB000 + role USER.
2026-10-13 R4 (build local dev, 2026-10-13): fixed - Submitting the Invite user form with 'not-an-email' now raises a single toast: 'Check the form for errors - Email must be a well-formed email address.' Both halves of the original finding are resolved - the shipment heading is gone and the duplicated raw field-and-message line is gone.
2026-10-13 R5 (build local dev, 2026-10-13 (rebuilt after R4; frontend modules dated 13:12 IST)): fixed - Send invite with 'not-an-email' and client QA-1013-R5-CL01 sent POST /api/v1/admin/user-invites -&gt; 400 and raised one toast: 'Check the form for errors - Email must be a well-formed email address.' No shipment heading and no repeated raw field line. A 273-character address is refused with the same message.</t>
  </si>
  <si>
    <t>BUG-049</t>
  </si>
  <si>
    <t>Page header and description</t>
  </si>
  <si>
    <t>Internal developer notes are printed in the page descriptions users read: sprint numbers, database column names and a to-do</t>
  </si>
  <si>
    <t>1. Open Settings &gt; Users (/settings/users) and read the page description and the panel description
2. Open Settings &gt; Mail (/settings/mail) and read the page description
3. Open Settings &gt; Roles (/settings/roles) and read the page description</t>
  </si>
  <si>
    <t>No data needed - the text is part of the page</t>
  </si>
  <si>
    <t>The description tells the user what the screen is for. Sprint numbers, column names and internal to-dos belong in the backlog.</t>
  </si>
  <si>
    <t>Users, page description: 'Assign each USER account to a client, deactivate revoked accounts, and audit the changes. Backfill client_code before flipping the tenant-scope flag.' Users, panel description: '...Sprint 50 rollout: every legacy USER should be assigned a client before the tenant-scope flag is flipped.' Mail, page description: '...pick SMTP today (SendGrid/SES/Postmark coming), edit host/port/creds, and send a live test message. Config lives in mail_provider + mail_config.' Roles, page description: 'Platform-wide role registry. Read-only; add roles via SQL today.'</t>
  </si>
  <si>
    <t>'client_code', 'mail_provider' and 'mail_config' are database identifiers; 'Sprint 50 rollout' and 'SendGrid/SES/Postmark coming' are roadmap notes. Other Settings pages are written for the user ('Customer master data - who you ship for, their carrier accounts, and defaults.'), so this is not the house style.</t>
  </si>
  <si>
    <t>BUG-049.jpg, BUG-049-2.jpg, BUG-049-3.png, BUG-049-4.jpg, BUG-049-5.jpg, BUG-049-6.png, BUG-049-7.png</t>
  </si>
  <si>
    <t>Settings &gt; Email &amp; Alerts &gt; Mail; Settings &gt; Organization &gt; Roles &gt; Roles list</t>
  </si>
  <si>
    <t>2026-10-12 R3: still-failing - Only the Users panel description was cleaned (the 'Sprint 50 rollout...' sentence is gone). The three page descriptions are unchanged: Users still ends 'Backfill client_code before flipping the tenant-scope flag.', Mail still ends 'Config lives in mail_provider + mail_config.', Roles still reads 'Platform-wide role registry. Read-only; add roles via SQL today.' Also new: the Assign client button's tooltip on a user row reads 'Assign clientCode'.
2026-10-13 R4 (build local dev, 2026-10-13): fixed - All three descriptions are clean. Users: 'Assign each user account to a client, deactivate revoked accounts, and audit the changes.' Mail: 'Outbound email provider - pick SMTP, SendGrid, SES or Postmark, edit host/port/creds, and send a live test message.' Roles: 'Platform-wide role registry. Read-only.' The client_code backfill note, the Sprint 50 line, the mail_provider + mail_config note, the 'coming' roadmap list and the 'add roles via SQL today' line have all gone. The Assign client tooltip now reads 'Assign to a client' rather than 'Assign clientCode'.
2026-10-13 R5 (build local dev, 2026-10-13 (rebuilt after R4; frontend modules dated 13:12 IST)): fixed - R5: still clean on the rebuilt build. Users: 'Assign each user account to a client, deactivate revoked accounts, and audit the changes.'; Roles: 'Platform-wide role registry. Read-only.'; Mail: 'Outbound email provider - pick SMTP, SendGrid, SES or Postmark, edit host/port/creds, and send a live test message.' None of the removed notes has come back.</t>
  </si>
  <si>
    <t>BUG-050</t>
  </si>
  <si>
    <t>A sent invitation leaves no trace: the invited person is not listed, the audit panel stays empty, and the accept link is shown once and then lost</t>
  </si>
  <si>
    <t>1. Open Settings &gt; Users (/settings/users)
2. Click Invite user, enter an address, pick a client and a role, and click Send invite
3. Read the confirmation, then click Done
4. Look at the user list and at 'Recent admin actions'
5. Click Refresh</t>
  </si>
  <si>
    <t>Invite to qa-1012-invite@example.com, client THB000, role USER. Accept link shown: http://localhost:5173/invite/8881caf518742688c83dfa1d688cecd03d6c748867028fee</t>
  </si>
  <si>
    <t>The invited person appears in the list as pending, with a way to resend or revoke, and the invitation is recorded in 'Recent admin actions' like any other admin change.</t>
  </si>
  <si>
    <t>After Done the list still reads 'Showing 2 rows - page 1' with only admin and manoj7000, and 'Recent admin actions' still reads 'No audit entries yet.' A refresh changes nothing. The only copy of the accept link was in the dialog that was just closed, so if the invitation does not arrive there is no way to find it, resend it or cancel it - and no record that it was ever sent.</t>
  </si>
  <si>
    <t>GET /api/v1/admin/users?page 0&amp;size 50 and GET /api/v1/admin/users/audit?limit 50 both return 200 after the invite, and neither contains the invited address. This matters more here because Settings &gt; Mail reports 'No provider active - outbound emails are logged only', so in this environment no invitation can reach anyone.</t>
  </si>
  <si>
    <t>BUG-050.jpg, BUG-050-2.jpg, BUG-050-3.jpg, BUG-050-4.jpg, BUG-050-5.png, BUG-050-6.jpg, BUG-050-7.jpg, BUG-050-8.jpg, BUG-050-9.jpg, BUG-050-10.png, BUG-050-11.jpg</t>
  </si>
  <si>
    <t>2026-10-12 R3: still-failing - Half fixed. The invitation is now recorded: 'Recent admin actions' shows '10/12/2026, 6:26:14 PM  admin invite_sent qa-1012-retest@example.com' immediately, and the confirmation dialog has gained a 'Copy link' button. The rest is unchanged - after Done the list still reads 'Showing 2 rows - page 1' with only admin and manoj7000, the invited address appears nowhere, there is no pending state and nothing to resend or revoke it with, and the accept link is still gone once the dialog closes. The audit line also prints the raw action code 'invite_sent' rather than words.
2026-10-13 R4 (build local dev, 2026-10-13): fixed - A 'Pending invites (2)' panel has been added below the user list, headed 'Not yet accepted. Resend extends the expiry; Revoke invalidates the link.' Each row shows the address, client, role, who invited and the expiry - for example 'qa-1012-retest@example.com - THB000 - USER - invited by admin - expires 10/19/2026, 6:26:13 PM' - with Copy link, Resend and Revoke. The accept link is recoverable after the dialog is closed, the invitation can be cancelled, and 'Recent admin actions' records each invite. Both leftovers from the earlier runs are now removable from the interface.
2026-10-13 R5 (build local dev, 2026-10-13 (rebuilt after R4; frontend modules dated 13:12 IST)): fixed - Inviting the QA address "qa-1013-r5-&lt;i&gt;x&lt;/i&gt;"@example.com (client QA-1013-R5-CL01, role USER) gave POST /api/v1/admin/user-invites -&gt; 201. After Done, 'Pending invites (1)' showed the address, 'QA-1013-R5-CL01 - USER - invited by admin - expires 10/20/2026, 3:50:57 PM' with Copy link ('Accept link copied.'), Resend ('Invite resent and expiry extended.', expiry moved to 3:51:35 PM) and Revoke. Revoke asks 'Please confirm - Revoke the invite for ...? The accept link stops working immediately.'; Cancel sends nothing, Revoke sends DELETE /api/v1/admin/user-invites/5 -&gt; 200 and removes the row. Recent admin actions records the invite. Two new findings came out of this check: BUG-084 (a second invite to the same address issues a second live link) and BUG-085 (resend and revoke are not audited).</t>
  </si>
  <si>
    <t>BUG-051</t>
  </si>
  <si>
    <t>Security</t>
  </si>
  <si>
    <t>Row action &gt; Deactivate / Activate</t>
  </si>
  <si>
    <t>The Deactivate button is enabled on the signed-in admin's own row, and that is the only ADMIN account in the system</t>
  </si>
  <si>
    <t>1. Open Settings &gt; Users (/settings/users)
2. Look at the admin row, marked YOU
3. Note that Assign client is disabled ('ADMIN is always org-wide') and the role control reads 'ADMIN (locked)', but Deactivate is live</t>
  </si>
  <si>
    <t>admin / admin@multiship.local, the only row with role ADMIN</t>
  </si>
  <si>
    <t>The last remaining ADMIN, and the account the current session belongs to, cannot be deactivated from the interface - the button is disabled with a reason, the way Assign client and the role control already are on this row.</t>
  </si>
  <si>
    <t>The button is not disabled (disabled=false, no tooltip). If the server does not refuse it, one click would deactivate the only administrator and lock everyone out of the application.</t>
  </si>
  <si>
    <t>Read from the page, not clicked: the user asked that this not be exercised, because recovery would need database access. Two of the three other controls on the same row are already correctly disabled with explanations, so the guard looks simply to have been missed on this one. Please confirm whether the server refuses it.</t>
  </si>
  <si>
    <t>Not tested</t>
  </si>
  <si>
    <t>BUG-051.jpg, BUG-051-2.jpg, BUG-051-3.png</t>
  </si>
  <si>
    <t>2026-10-12 R3: fixed - The Deactivate button on the signed-in admin's own row is now disabled=true with the tooltip "You can't deactivate your own account - ask another admin.", matching Assign client ('ADMIN is always org-wide') and the locked role control. Read from the DOM, not clicked. Note the guard is on self-deactivation; the separate last-remaining-ADMIN case cannot be exercised while admin is the only ADMIN account.
2026-10-13 R4 (build local dev, 2026-10-13): fixed - Deactivate on the signed-in admin's own row reads disabled=true with the tooltip "You can't deactivate your own account - ask another admin." Read from the DOM, not clicked. The separate last-remaining-ADMIN case still cannot be exercised while admin is the only ADMIN account.
2026-10-13 R5 (build local dev, 2026-10-13 (rebuilt after R4; frontend modules dated 13:12 IST)): fixed - On the signed-in admin's own row, Deactivate reads disabled=true with the tooltip 'You can't deactivate your own account - ask another admin.' (read from the page, not clicked). Assign client on the same row is disabled with 'ADMIN is always org-wide'. The last-remaining-ADMIN case still cannot be exercised while admin is the only ADMIN account.</t>
  </si>
  <si>
    <t>BUG-052</t>
  </si>
  <si>
    <t>Recent admin actions panel</t>
  </si>
  <si>
    <t>The user audit trail records nothing: admin changes with a typed reason leave both 'Recent admin actions' and the per-user History empty</t>
  </si>
  <si>
    <t>1. Open Settings &gt; Users (/settings/users)
2. Click Assign client on a user, change the client code and type something in 'Reason (optional - recorded in audit)'
3. Click Save and wait for 'Done - Updated manoj7000.'
4. Look at the 'Recent admin actions' panel at the bottom of the page
5. Click Refresh, then click History on that user's row</t>
  </si>
  <si>
    <t>User manoj7000: client code changed to NOSUCHCLIENT (refused), then saved as THB000 with the reason 'QA-1012 validation check, will be restored'. An invitation to qa-1012-invite@example.com was also sent earlier in the session.</t>
  </si>
  <si>
    <t>Each admin change is listed, with who made it, when, what changed and the reason given - the page description promises exactly this ('...deactivate revoked accounts, and audit the changes') and the Reason field says it is 'recorded in audit'.</t>
  </si>
  <si>
    <t>'Recent admin actions' reads 'No audit entries yet.' before and after the change, and the per-user dialog reads 'No admin actions recorded for this user.' Nothing is recorded for the successful assignment, nor for the invitation sent earlier.</t>
  </si>
  <si>
    <t>GET /api/v1/admin/users/audit?limit 50 returns 200 after each change, so the page is asking for the list and getting nothing back. The reason text the admin types is therefore collected and discarded.</t>
  </si>
  <si>
    <t>BUG-052.jpg, BUG-052-2.jpg, BUG-052-3.png</t>
  </si>
  <si>
    <t>2026-10-12 R3: fixed - Assign client on manoj7000 (THB000 -&gt; MKL246) with the reason 'QA retest of BUG-052 audit trail' now appears immediately in 'Recent admin actions' as '10/12/2026, 6:14:49 PM  admin moved THB000 -&gt; MKL246 on manoj7000  QA retest of BUG-052 audit trail', and the per-user History dialog 'Audit trail for manoj7000' lists the same entry. The restore back to THB000 was recorded too. Who, when, what changed and the reason are all present.
2026-10-13 R4 (build local dev, 2026-10-13): fixed - Assigning manoj7000 to QA-1013-CL01 with the reason 'QA R4 audit trail check' appeared at once in Recent admin actions as '10/13/2026, 8:13:39 AM  admin moved THB000 -&gt; QA-1013-CL01 on manoj7000  QA R4 audit trail check', and the restore to THB000 was recorded the same way. manoj7000 is back on THB000.
2026-10-13 R5 (build local dev, 2026-10-13 (rebuilt after R4; frontend modules dated 13:12 IST)): fixed - Recent admin actions lists the client moves with their reasons (for example '10/13/2026, 8:13:39 AM admin moved THB000 -&gt; QA-1013-CL01 on manoj7000 - QA R4 audit trail check') and the invitations, including the two QA invites sent in this run. History on manoj7000 opens 'Audit trail for manoj7000' with the four client moves and reasons (GET /api/v1/admin/users/2/audit -&gt; 200); History on admin correctly reads 'No admin actions recorded for this user.' Resend and revoke of an invite are still not recorded: logged separately as BUG-085.</t>
  </si>
  <si>
    <t>BUG-053</t>
  </si>
  <si>
    <t>Client</t>
  </si>
  <si>
    <t>New shipment: with a single-piece packaging and an extra box still on the form, Validate shipment does nothing at all - no request, no message, no result</t>
  </si>
  <si>
    <t>1. Open Orders and click + New shipment (/orders/new)
2. Client MKL246, carrier UPS, ship to QA Test Recipient, 290 Bremner Blvd, Toronto ON M5V 3L9, Canada
3. Service UPS Worldwide Saver, Incoterms DAP, two item lines, importer override Receiver
4. Packaging UPS Large Express Box, then 'Add 1 boxes like the last' so there are two boxes
5. Change Packaging to UPS 10KG Box (a single-piece packaging) - the inline warning appears
6. Click Validate shipment and watch the network tab</t>
  </si>
  <si>
    <t>MKL246 to Canada, 2 boxes, 2 item lines, UPS 10KG Box</t>
  </si>
  <si>
    <t>Either the check runs and reports the box-count problem as a failed check, or the Validate button is disabled with the reason, the way Generate label is. Clicking a live button should never be silent.</t>
  </si>
  <si>
    <t>Nothing happens. POST /api/v1/shipments/validate is never sent, no toast appears, no 'Shipment check' panel opens and no field is marked. The button reports disabled=false and keeps its tooltip, and the console logs no error. All six step chips are green. Switching Packaging back to UPS Large Express Box and clicking the same button immediately sends POST /api/v1/shipments/validate -&gt; 200 and opens the check panel with all five checks Passed, so the form was otherwise complete and only the single-piece conflict silences the button.</t>
  </si>
  <si>
    <t>Seen while retesting BUG-003. The inline warning next to Packaging reads 'UPS 10KG Box ships at most 1 box per label - the carrier will reject this 2-box shipment. Remove the extra boxes or pick a larger packaging. To ship multiple boxes, create each one as a separate shipment.', so the application knows about the conflict - it just does not say so when the user asks it to check. The same silence was seen with FedEx Envelope. Window 1392x847.</t>
  </si>
  <si>
    <t>http://localhost:5173/orders/new</t>
  </si>
  <si>
    <t>R3</t>
  </si>
  <si>
    <t>2026-10-13 R4 (build local dev, 2026-10-13): still-failing - Reproduces on the 2026-10-13 build exactly as first logged. UPS Large Express Box with two boxes, switched to UPS 10KG Box: the inline single-piece warning appears, but Validate shipment sends no POST /api/v1/shipments/validate, raises no toast and opens no check panel. The button reports disabled=false and the console logs nothing.
2026-10-13 R5 (build local dev, 2026-10-13 (rebuilt after R4; frontend modules dated 13:12 IST)): fixed - Validate is no longer silent. Original steps: MKL246 to 290 Bremner Blvd, Toronto ON M5V 3L9, UPS Worldwide Saver, DAP, two item lines spread across two boxes, importer Receiver; Packaging UPS Large Express Box, 'Add 1 boxes like the last', then Packaging changed to UPS 10KG Box (inline warning shown). Clicking Validate shipment now raises the toast 'Too many boxes for this packaging - UPS 10KG Box ships at most 1 box per label - the carrier will reject this 2-box shipment. Remove the extra boxes or pick a larger packaging...'. As before no POST /shipments/validate is sent, which is right since the form already knows the answer. The toast dismisses itself after a few seconds, so a user who looks away can miss it; the inline warning beside Packaging stays.</t>
  </si>
  <si>
    <t>Fixed on dev (819f3e57): Single-piece-too-many-boxes gate moved above formik.validateForm 2026-10-12; verified by code review. QA R4 stale FE.</t>
  </si>
  <si>
    <t>BUG-054</t>
  </si>
  <si>
    <t>Carriers &amp; Services</t>
  </si>
  <si>
    <t>Carrier Accounts</t>
  </si>
  <si>
    <t>Carrier Accounts: the 'Ready to ship 5/5' tile counts every account as ready, including one whose check failed and one that is unverified</t>
  </si>
  <si>
    <t>1. Open Settings &gt; Carrier Accounts (/settings/carriers)
2. Read the four summary tiles at the top
3. Read the Status column of the five rows beneath them</t>
  </si>
  <si>
    <t>The five accounts already on the system, plus QA-1013-CL01's UPS account added during this run</t>
  </si>
  <si>
    <t>Ready to ship counts only the accounts that can actually produce a label - here 3 of 5 - or the tile says what it is really counting. It should not disagree with the tile beside it.</t>
  </si>
  <si>
    <t>The first tile reads 'READY TO SHIP 5/5' in green with a tick, while the second reads 'UNVERIFIED 2' in amber with a warning triangle. The rows show USPS/TEST 'Check failed', FedEx 740561111 'Verified', UPS 746W05 'Verified', USPS 874157 'Verified' and UPS QA1013UP 'Unverified'. Three of the five are verified, so 5/5 is wrong by the screen's own data and by the tile next to it.</t>
  </si>
  <si>
    <t>Read from the rendered table: statuses are 'Check failed', 'Verified', 'Verified', 'Verified', 'Unverified'. A user glancing at the green 5/5 would believe every carrier account is good to go, which is the opposite of what the row for USPS/TEST says. Window 1460x847.</t>
  </si>
  <si>
    <t>http://localhost:5173/settings/carriers</t>
  </si>
  <si>
    <t>local dev, 2026-10-13</t>
  </si>
  <si>
    <t>R4</t>
  </si>
  <si>
    <t>S041</t>
  </si>
  <si>
    <t>2026-10-13 R5 (build local dev, 2026-10-13 (rebuilt after R4; frontend modules dated 13:12 IST)): fixed - The tiles now agree with the rows: 'READY TO SHIP 3/5' (FedEx 740561111, UPS 746W05 and USPS 874157 are Verified) beside 'UNVERIFIED 2' (USPS TEST 'Check failed', UPS QA13R5 'Unverified'). Filters &gt; Verification = Verified lists exactly those three. When the QA account was switched Inactive the Unverified tile dropped to 1, and after a failed verification it is counted as Check failed, still outside Ready to ship.</t>
  </si>
  <si>
    <t>Fixed on dev (1be9b8a5): Ready to ship tile now requires verified === true so it stops counting Check-failed / Unverified rows.</t>
  </si>
  <si>
    <t>BUG-055</t>
  </si>
  <si>
    <t>Carriers (platform)</t>
  </si>
  <si>
    <t>Carriers (platform): a carrier can be flipped from TEST to LIVE from a plain dropdown in the grid, with no confirmation and no warning that real labels and real charges follow</t>
  </si>
  <si>
    <t>1. Open Settings &gt; Carriers (platform) (/settings/carriers-platform)
2. Read the page description and the Mode column
3. Note that Mode is an ordinary select on each row, next to Enable / Disable buttons</t>
  </si>
  <si>
    <t>The six platform carriers already registered: USPS_DIRECT, FEDEX, STAMPS_COM, USPS, DHL, UPS</t>
  </si>
  <si>
    <t>Switching a carrier to LIVE is a deliberate, confirmed action - a dialog naming the carrier and what changes, the way Deactivate warehouse and Delete client now do - and the screen says plainly which mode bills real money. A single mis-click on a dropdown should not be able to put the platform into live shipping.</t>
  </si>
  <si>
    <t>Mode is a bare select on every row with LIVE and TEST as adjacent options and nothing between the click and the change. The page description openly frames it as the point: 'Platform-wide carrier registry - toggle enabled org-wide and flip LIVE/TEST mode without a code deploy.' Four of the six carriers already read LIVE (USPS_DIRECT, FEDEX, STAMPS_COM, UPS) while every carrier account on Settings &gt; Carrier Accounts is SANDBOX, so the two screens disagree about which environment the platform is in.</t>
  </si>
  <si>
    <t>Read from the screen, not exercised: changing a carrier to LIVE on a system wired to real carrier accounts could buy real labels and incur real charges, so the control was deliberately not operated. Please confirm what the server does with the change and whether any confirmation exists behind it. Window 1460x847.</t>
  </si>
  <si>
    <t>http://localhost:5173/settings/carriers-platform</t>
  </si>
  <si>
    <t>S042</t>
  </si>
  <si>
    <t>2026-10-13 R5 (build local dev, 2026-10-13 (rebuilt after R4; frontend modules dated 13:12 IST)): fixed - Checked with every write from the page blocked first, as agreed. Picking LIVE on the USPS row now opens 'Enable LIVE for USPS? - LIVE mode produces real labels and real carrier charges from this carrier's production account. Make sure every connected tenant is ready before switching.' with Cancel and a red 'Enable LIVE'; picking TEST on UPS opens 'Return UPS to TEST? - New shipments will hit the sandbox from now on. In-flight production shipments are not affected.' Cancel returns the select to its old value and sends nothing; a Refresh shows all six modes unchanged. Disable on FedEx also asks ('Disable FEDEX org-wide?'). Still worth a look, though no longer part of this bug: four platform carriers read LIVE while every carrier account on Carrier Accounts is SANDBOX.</t>
  </si>
  <si>
    <t>Fixed on dev (cc9e5bcf): LIVE/TEST flip now confirms with carrier name + consequence; danger-styled when going to LIVE. Backend already @PreAuthorize(hasRole ADMIN).</t>
  </si>
  <si>
    <t>BUG-056</t>
  </si>
  <si>
    <t>Code Maps</t>
  </si>
  <si>
    <t>Code Maps: 'Add alias' stays greyed with no tooltip, no marked field and no message, so there is nothing on screen saying what is missing</t>
  </si>
  <si>
    <t>1. Open Settings &gt; Code Maps (/settings/code-maps) with client MKL246 selected
2. On the Shipvia tab, click + Add alias with the form empty
3. Type QA13 into ERP SHIPVIA CODE and look at the button again</t>
  </si>
  <si>
    <t>Client MKL246, ERP shipvia code QA13, Platform service left unset</t>
  </si>
  <si>
    <t>Either the button says why it is unavailable - a tooltip, or the unfilled field marked with its message, the way the client wizard's 'Add to list' now does - or clicking it marks what is missing.</t>
  </si>
  <si>
    <t>The button reports disabled=true with no title attribute at all. Clicking it does nothing: no toast, no field marked, no hint text anywhere on the panel. With a code typed but Platform service still unset it stays disabled and still explains nothing. The user has to guess that the service dropdown is the blocker.</t>
  </si>
  <si>
    <t>Read from the DOM: the Add alias button has disabled=true and no title. This is the same fault that was reported as BUG-031 on the client wizard and fixed there - the fix was not carried across to this screen. Window 1460x847.</t>
  </si>
  <si>
    <t>http://localhost:5173/settings/code-maps</t>
  </si>
  <si>
    <t>S044</t>
  </si>
  <si>
    <t>2026-10-13 R5 (build local dev, 2026-10-13 (rebuilt after R4; frontend modules dated 13:12 IST)): fixed - Add alias now explains itself while disabled: with the form empty its tooltip reads 'Fill an ERP code + a platform target to add the alias.', with a code typed but no service 'Fill a platform target to add the alias.', and on the Destination country tab 'Fill an ERP code + a 2-letter ISO country to add the alias.' Once both are filled the button enables and saves ('Shipvia alias saved.').</t>
  </si>
  <si>
    <t>Fixed on dev (0e738838): Code Maps Add alias button gets a context-aware tooltip listing missing fields (same pattern as the client wizard Add-to-list).</t>
  </si>
  <si>
    <t>BUG-057</t>
  </si>
  <si>
    <t>Carrier Dropdowns</t>
  </si>
  <si>
    <t>Carrier Dropdowns says it is the vocabulary /orders/new uses, but the order form shows different wording for the same carrier and code</t>
  </si>
  <si>
    <t>1. Open Settings &gt; Carrier Dropdowns (/settings/carrier-dropdowns) and read the Label formats tab
2. Note the FEDEX rows: code PDF -&gt; 'PDF (plain)' and code ZPLII -&gt; 'ZPL (thermal)'
3. Open Orders &gt; + New shipment, pick client MKL246 and carrier FedEx
4. Open the Label type dropdown and read the options</t>
  </si>
  <si>
    <t>Client MKL246, carrier FedEx</t>
  </si>
  <si>
    <t>The order form shows the labels this registry defines, since the page describes itself as the vocabulary that form uses.</t>
  </si>
  <si>
    <t>The registry lists FEDEX / PDF as 'PDF (plain)' and FEDEX / ZPLII as 'ZPL (thermal)'. The order form offers 'PDF (vector, sharp)' and 'ZPLII (Zebra)' for the same carrier. With USPS selected the form does show 'PDF (plain)', matching the registry, so the two agree for one carrier and disagree for another. Either the form is not reading this table for FedEx or the table is not the source it claims to be.</t>
  </si>
  <si>
    <t>The page description reads 'Per-carrier vocabularies the /orders/new wizard uses - label formats, pickup types, clearance options. Read-only.' Compared against the Label type dropdown on the New shipment form in the same session. Window 1460x847.</t>
  </si>
  <si>
    <t>http://localhost:5173/settings/carrier-dropdowns</t>
  </si>
  <si>
    <t>BUG-057-R7-registry.jpg, BUG-057-R7.jpg</t>
  </si>
  <si>
    <t>S046</t>
  </si>
  <si>
    <t>Orders &gt; New order &gt; New order form (international); Settings &gt; Carriers &amp; Services &gt; Carrier Accounts</t>
  </si>
  <si>
    <t>2026-10-13 R5 (build local dev, 2026-10-13 (rebuilt after R4; frontend modules dated 13:12 IST)): still-failing - Partly fixed. The two labels named in the bug now match: the order form (Orders &gt; New shipment, MKL246, FedEx) offers 'PDF (plain)' and 'ZPL (thermal)' (code ZPLII), as the registry does. But the FedEx list still differs from the FEDEX rows on Carrier Dropdowns &gt; Label formats: the form shows PNG as 'PNG (raster)' where the registry says 'PNG (plain)', and it offers EPL2 'EPL (Eltron/legacy Zebra)' and DPL 'DPL (Datamax)', which the registry does not list for FedEx, while the registry's COMMON2D 'Common 2D (stock)' and LABEL_DATA_ONLY 'Label data only' are not offered. UPS and USPS now match the registry exactly (UPS: GIF (stock), PDF (plain), PNG (plain), ZPL (thermal), EPL; USPS: PDF, ZPL, PNG, JPG). Settings &gt; Carrier Accounts &gt; UPS 'Label image format' also uses its own wording ('PDF (vector, sharp)', 'PNG (raster)', 'ZPL (Zebra)').
2026-10-14 R6 (build local dev, 2026-10-14 (order-form modules reloaded 13:17 IST)): still-failing - R6: unchanged. Carrier Dropdowns &gt; Label formats lists FEDEX as COMMON2D 'Common 2D (stock)', LABEL_DATA_ONLY 'Label data only', PDF 'PDF (plain)', PNG 'PNG (plain)' and ZPLII 'ZPL (thermal)'. The order form (MKL246, FedEx, today) offers PDF (plain), PNG (raster), ZPL (thermal), EPL (Eltron/legacy Zebra) and DPL (Datamax) - PNG worded differently, EPL2 and DPL offered although not in the registry, COMMON2D and LABEL_DATA_ONLY missing.
2026-10-16 R7 (build local dev, 2026-10-16): fixed - R7: the order form now offers exactly the registry's rows for every carrier. Orders &gt; + New shipment, MKL246: FedEx Label type = Common 2D (stock), Label data only, PDF (plain), PNG (plain), ZPL (thermal) [ZPLII]; UPS = GIF (stock), PDF (plain), PNG (plain), ZPL (thermal), EPL (Eltron/legacy Zebra); USPS = PDF (plain), ZPL (thermal), PNG (plain), JPG (raster) - the same code/label pairs as Settings &gt; Carrier Dropdowns &gt; Label formats (R6: PNG (raster), EPL and DPL offered for FedEx, COMMON2D and LABEL_DATA_ONLY missing). The FedEx account editor reads the registry too. Not yet in step: the UPS and USPS account editors keep their own wording - raised as BUG-153.</t>
  </si>
  <si>
    <t>Fixed on dev (839f1ef8): FEDEX order form + per-carrier editor modals now read labelFormatsForCarrier() (DB registry); FEDEX added to the bootstrap list to mirror V120 seed.
Test fix (46d6db84, 2026-10-15): — no code change, just test lock-in.</t>
  </si>
  <si>
    <t>BUG-058</t>
  </si>
  <si>
    <t>Cutoffs &amp; Holidays</t>
  </si>
  <si>
    <t>Cutoffs &amp; Holidays: a holiday and a cutoff rule are both deleted on a single click of the trash icon, with no confirmation</t>
  </si>
  <si>
    <t>1. Open Settings &gt; Cutoffs &amp; Holidays (/settings/cutoffs)
2. Scroll to Global holiday list and add a row - date 27-11-2026, name 'QA-1013 Test Holiday' - with + Add
3. Click the trash icon on that row
4. Note that the row is gone immediately, and that the Cutoff rules grid above offers the same single-click trash on each of its 17 rows</t>
  </si>
  <si>
    <t>QA-1013 Test Holiday on 2026-11-27, created and deleted during this run</t>
  </si>
  <si>
    <t>Deleting a date that changes when every shipment's SHIP_DATE rolls forward is confirmed first, the way deleting a warehouse or a client now is - a dialog naming the row and what depends on it.</t>
  </si>
  <si>
    <t>One click removes the row. No dialog, no named confirmation, and no undo. The same trash icon sits on all 17 cutoff rules directly above, one row apart from the four real holidays (New Year's Day, Christmas Eve, and the same two for next year), so a mis-click silently changes the platform's working-day calendar. By contrast the delete flows on Clients, Warehouses and user invitations all confirm.</t>
  </si>
  <si>
    <t>Exercised on a test row only - no real holiday or cutoff rule was deleted. The page itself explains the stakes: 'Dates the cutoff logic treats as non-working when advancing to the next working day' and 'Shipments past cutoff or on a holiday get their SHIP_DATE pushed to the next working day.' Window 1460x847.</t>
  </si>
  <si>
    <t>http://localhost:5173/settings/cutoffs</t>
  </si>
  <si>
    <t>S047</t>
  </si>
  <si>
    <t>2026-10-13 R5 (build local dev, 2026-10-13 (rebuilt after R4; frontend modules dated 13:12 IST)): fixed - Both trash icons now confirm. A QA holiday (27-11-2026 'QA-1013-R5 Test Holiday &lt;i&gt;x&lt;/i&gt;') asks 'Delete holiday? ... (2026-11-27)? Removing a holiday changes which day the cutoff rules treat as the next working day. Shipments due that day will no longer roll forward.'; Cancel kept it, Delete removed it (DELETE /api/v1/admin/cutoffs/holidays/6). A real cutoff rule's trash asks 'Delete cutoff rule #16? Source: WMS - Carrier: UPS - Warehouse: 1. Shipments that match this rule will roll forward using the next-matching rule or the platform default.' - answered Cancel, nothing sent, 17 rules intact.</t>
  </si>
  <si>
    <t>Fixed on dev (5625dc84): Cutoffs + Holidays trash icon now uses notify.confirm with rule context + consequence.</t>
  </si>
  <si>
    <t>BUG-059</t>
  </si>
  <si>
    <t>Pickups &amp; End-of-Day</t>
  </si>
  <si>
    <t>Pickups &amp; End-of-Day: 'Close out' is a single unguarded button that closes every open label for a carrier and date, and it defaults to all clients</t>
  </si>
  <si>
    <t>1. Open Settings &gt; Pickups &amp; End-of-Day (/settings/pickups)
2. Read the End-of-day close panel: Carrier FEDEX, Close date today, Client 'All clients', Warehouse code optional
3. Read the paragraph beneath it, then look at the Close out button</t>
  </si>
  <si>
    <t>Not exercised - the defaults would have closed every open FedEx label for 13-10-2026 across all clients</t>
  </si>
  <si>
    <t>A bulk, carrier-facing, irreversible action is confirmed first, and says how many labels it is about to close and for which client - the way Deactivate warehouse now names the client count.</t>
  </si>
  <si>
    <t>The panel opens pre-filled with Carrier FEDEX, Close date 13-10-2026 and Client 'All clients', and offers one full-width black 'Close out' button. Its own description says what is at stake: 'Closes every open (generated, non-voided) label for the chosen carrier on that date. To close only specific orders instead, Close out on the Orders page.' Nothing on the screen states how many labels that is, and there is no confirmation step between the click and the carrier call.</t>
  </si>
  <si>
    <t>Read from the screen, not exercised: closing out a day against a carrier account is not reversible from this interface and affects every open label, so the button was deliberately not pressed. 'Schedule a pickup' in the panel beside it is the same shape - a carrier-facing booking with no confirmation step visible. Please confirm whether the server asks anything before acting. Window 1460x847.</t>
  </si>
  <si>
    <t>http://localhost:5173/settings/pickups</t>
  </si>
  <si>
    <t>S048</t>
  </si>
  <si>
    <t>2026-10-13 R5 (build local dev, 2026-10-13 (rebuilt after R4; frontend modules dated 13:12 IST)): fixed - Checked with every write from the page blocked first, as agreed. Close out now opens 'Close out FEDEX 2026-10-13? ... Scope: EVERY client. This files the end-of-day manifest with the carrier and closes every open (generated, non-voided) label in scope. It cannot be undone from this screen.' with Cancel and a red Close out; with client QA-1013-R5-CL01 picked the scope line reads 'Scope: client QA-1013-R5-CL01'. Cancel sent nothing both times and Recent activity still reads 'No pickups or close-outs yet.' The panel still opens on All clients and the dialog does not say how many labels will be closed, which the bug also asked for; the unguarded click itself is gone.</t>
  </si>
  <si>
    <t>Fixed on dev (33d51c1e): End-of-day Close out confirms with carrier + date + scope (All clients vs specific).</t>
  </si>
  <si>
    <t>BUG-060</t>
  </si>
  <si>
    <t>International</t>
  </si>
  <si>
    <t>Countries</t>
  </si>
  <si>
    <t>Two Settings screens claim to hold an international standard list but hold a small subset: Countries shows only the six US territories, Currencies only ten currencies</t>
  </si>
  <si>
    <t>1. Open Settings &gt; Countries (/settings/countries)
2. Read the heading and description
3. Count the rows</t>
  </si>
  <si>
    <t>No test data needed - the screen is read-only</t>
  </si>
  <si>
    <t>Either the screen lists the ISO countries the rest of Settings validates against, or it is named for what it actually holds - the US-territory flags.</t>
  </si>
  <si>
    <t>Countries: six rows - PR Puerto Rico, VI US Virgin Islands, GU Guam, AS American Samoa, MP Northern Mariana Islands, UM US Minor Outlying Islands - every one flagged 'US territory: yes', under the description 'ISO country list + is_us_territory flag.' There is no ISO country list here. Currencies: ten rows - USD, EUR, GBP, CAD, INR, AUD, SGD, JPY, CNY, AED - under 'ISO 4217 currency catalog', which has about 180 entries. This is the root of BUG-046: with no master country list on this screen, the address book carries its own 250-entry select, the client wizard its own searchable combobox and the warehouse panel a free-typed ISO-2 box that is checked against nothing.</t>
  </si>
  <si>
    <t>Counted from the rendered table: 6 rows. Compare BUG-046, where the same field is built three different ways elsewhere in Settings. Window 1460x847.</t>
  </si>
  <si>
    <t>http://localhost:5173/settings/countries</t>
  </si>
  <si>
    <t>S050</t>
  </si>
  <si>
    <t>Settings &gt; International &gt; Countries; Settings &gt; International &gt; Currencies</t>
  </si>
  <si>
    <t>2026-10-13 R5 (build local dev, 2026-10-13 (rebuilt after R4; frontend modules dated 13:12 IST)): fixed - Both lists now hold the standard sets. Settings &gt; Countries lists 249 ISO 3166-1 countries (no duplicate codes, US included) with the six US territories still flagged 'yes' and listed first, under 'ISO country list with US-territory flag. Read-only.' Settings &gt; Currencies lists 178 ISO 4217 currencies (USD ... ZWG, three-letter codes, no duplicates). The shared country picker on the order, warehouse, address-book and client screens still offers its own shorter list - that part is tracked in BUG-046.</t>
  </si>
  <si>
    <t>Fixed on dev (V151 + V152): V151 seeds 249 ISO 3166-1 countries (US-territory flags preserved); V152 seeds 178 ISO 4217 currencies.</t>
  </si>
  <si>
    <t>BUG-061</t>
  </si>
  <si>
    <t>Internal developer notes still appear in page descriptions on the Settings screens that the BUG-049 clean-up did not reach</t>
  </si>
  <si>
    <t>1. Open Settings &gt; Countries (/settings/countries)
2. Read the page description</t>
  </si>
  <si>
    <t>No test data needed</t>
  </si>
  <si>
    <t>The description tells the user what the screen is for. How the data is maintained internally belongs in the backlog, as it now does on Users, Mail and Roles.</t>
  </si>
  <si>
    <t>Five more screens carry the same house-keeping notes that BUG-049 removed from Users, Mail and Roles. Countries: 'ISO country list + is_us_territory flag. Read-only; edit via SQL today.' Reasons for Export: '...Read-only; edit via SQL today.' Currencies: 'ISO 4217 currency catalog. Read-only; per-tenant allowlist layered via tenant_settings.currency.allowlist.' Carrier Error Messages: 'Pattern -&gt; humanised sentence rules CarrierErrorMessages applies to raw carrier payloads. Read-only; edit via SQL today.' System: 'Unconfigured tenants reject all intake with 403 TENANT_CHANNEL_NOT_ENABLED.' Between them they print a database column name, a settings key path, a Java class name and a raw error constant to the user. The BUG-049 fix was applied to three named screens rather than swept across Settings. Carrier API Log description: 'Per-request carrier API round-trips with request / response bodies. Infrastructure present; connector wiring lands as follow-ups.' Alerts History description: 'Durable record of fired alerts (USPS fallback, Stamps SERA, future).'</t>
  </si>
  <si>
    <t>Read from the page. BUG-049 was closed on 2026-10-13 after Users, Mail and Roles were cleaned; this screen was not part of that change. Window 1460x847.</t>
  </si>
  <si>
    <t>BUG-061.jpg</t>
  </si>
  <si>
    <t>Settings &gt; International &gt; Countries; Settings &gt; International &gt; Reasons for Export; Settings &gt; International &gt; Currencies; Settings &gt; System; Settings &gt; System &gt; Carrier Error Messages; Settings &gt; Carriers &amp; Services &gt; Carrier Accounts; Settings &gt; Carriers &amp; Services &gt; Code Maps; Settings &gt; Carriers &amp; Services &gt; Cutoffs &amp; Holidays; Settings &gt; Email &amp; Alerts &gt; Mail; Settings &gt; Integrations &gt; External Systems; Settings &gt; Integrations &gt; DTC Scheduler; Settings &gt; Activity &amp; Logs &gt; Carrier API Log; Settings &gt; Activity &amp; Logs &gt; Alerts History</t>
  </si>
  <si>
    <t>2026-10-14 R5 (build local dev, 2026-10-13 (rebuilt after R4; frontend modules dated 13:12 IST)): still-failing - R5: fixed on four of the five screens - Countries ('ISO country list with US-territory flag. Read-only.'), Reasons for Export, Currencies and Carrier Error Messages ('Rules that turn raw carrier error payloads into humanized sentences. Read-only.') no longer mention SQL, settings keys or class names. Still on System: 'Unconfigured tenants reject all intake with 403TENANT_CHANNEL_NOT_ENABLED.' The same kind of internal text was also found on screens this bug did not list: Carrier Accounts &gt; Add carrier account help ('pre-V95 default'); Code Maps routing hints ('skips ShipViaMapping rules', 'ERP package SKU -&gt; PackagePreset ... before the packagingCode name lookup'); Cutoffs &amp; Holidays ('Seeded with Dec 24 + Jan 1 ... on migration'); Mail test-email Subject placeholder 'shioai mail test'; External Systems description ('DB-driven connection manager ... (Oracle WMS today, REST/gRPC/SFTP later)'), System type options 'NdsOracleConfig' / 'RestExternalConfig' and the Writeback note naming CLIPPER, OE_TRACKING, TB_MANUAL_SHIPMENT and VOID_YN; DTC Scheduler footers 'Last changed by V132' (V134, V135, V140); System 'USPS integration provider (3-value state machine)...' and 'Deployment prerequisite: the backend needs the SECRETS_ENCRYPTION_KEY environment variable...'.
2026-10-14 R6 (build local dev, 2026-10-14 (order-form modules reloaded 13:17 IST)): still-failing - R6: fixed on Countries, Reasons for Export, Currencies ('ISO 4217 currency catalog. Read-only.'), Carrier Error Messages and Mail (test subject placeholder now 'Multiship mail test'). Still on: System ('...reject all intake with 403TENANT_CHANNEL_NOT_ENABLED', 'USPS integration provider (3-value state machine)...', 'Overrides the OPENAI_API_KEY env var', 'Deployment prerequisite: the backend needs the SECRETS_ENCRYPTION_KEY environment variable...'); Carrier Accounts &gt; Add carrier account ('Domestic only matches the pre-V95 default'); Code Maps ('Direct alias - skips ShipViaMapping rules'); Cutoffs &amp; Holidays ('...on migration'); External Systems ('DB-driven connection manager ... (Oracle WMS today, REST/gRPC/SFTP later)', 'Registered connectors: NDS_ORACLE, REST_JSON', system types 'NDS_ORACLE - NdsOracleConfig' / 'REST_JSON - RestExternalConfig', 'resolver hands the DEV row back to consumers'); DTC Scheduler ('Last changed by V132' / V134 / V135 / V140); Carrier API Log ('Infrastructure present; connector wiring lands as follow-ups.'); Alerts History ('(USPS fallback, Stamps SERA, future)'). Also found on Carrier Limits, which this bug did not list: 'edits invalidate the resolver cache immediately' and 'the shipment-create resolver picks the most specific match...'.
2026-10-16 R7 (build local dev, 2026-10-16): still-failing - R7: nearly clean. Gone: the notes on Countries, Reasons for Export, Currencies, Carrier Error Messages, Code Maps, Cutoffs &amp; Holidays ('on migration'), Carrier Limits, Carrier API Log, Alerts History, External Systems and DTC Scheduler ('Last changed by platform (default)'), and 'pre-V95' on the Add carrier account drawer. Still on Settings &gt; System: the page description 'Admin-managed encrypted secrets - OpenAI key and other overrides for env vars. AES-GCM at rest.', the panel text 'Values overlay the corresponding environment variables so you can rotate a key without a redeploy', raw setting keys as headings (openai.api-key, carrier.stamps.api-flavor, USPS_PROVIDER, USPS_PLATFORM_CLIENT_ID, USPS_PLATFORM_CLIENT_SECRET) and 'NDS fallbacks - Per-tenant defaults for the .X / .Y scan prefill'. New instance: Add carrier account &gt; Label size hint 'UPS requires this on every shipment (Ship API v1 error 9120244 when absent)'.</t>
  </si>
  <si>
    <t>Fixed on dev (cb9e4ed5): SystemChannelSection scrubbed TENANT_CHANNEL_NOT_ENABLED raw code; "tenant" -&gt; "client".
R6+1 (afeb4111+e17bf946, 2026-10-15): Scrubbed internal copy on SystemSettings specs (backend), workspaceRoutes descriptions, Carrier Accounts, Code Maps, Cutoffs &amp; Holidays, External Systems, SystemSettingsPage deployment banner, DTC Scheduler 'Last changed by V&lt;n&gt;', Carrier Limits resolver blurb.
Test fix (46d6db84, 2026-10-15): SystemChannelSection test no longer asserts the scrubbed raw TENANT_CHANNEL_NOT_ENABLED code is rendered.</t>
  </si>
  <si>
    <t>BUG-062</t>
  </si>
  <si>
    <t>An unknown /settings/... route silently lands the user on Carrier Accounts and rewrites the URL, with no 'not found' anywhere</t>
  </si>
  <si>
    <t>1. Type http://localhost:5173/settings/this-route-does-not-exist into the address bar
2. Read the page and the address bar
3. Repeat with http://localhost:5173/settings/email-templates, which is close to but not the real route (/settings/notification-templates)</t>
  </si>
  <si>
    <t>Two non-existent routes, one invented and one a plausible mistyping of Email Templates</t>
  </si>
  <si>
    <t>An unknown route says so - a not-found page naming what was asked for, with a way back - or at worst lands on a neutral Settings index. It should not silently substitute a different screen and rewrite the address.</t>
  </si>
  <si>
    <t>Both routes end on /settings/carriers with the heading 'Carrier Accounts', and the address bar is rewritten to /settings/carriers so the original path is lost. Nothing on the page says a redirect happened. The screen the user is dropped onto is the one holding carrier account numbers, environments and a Stamps balance, which is a poor default for a mistyped or stale link.</t>
  </si>
  <si>
    <t>Read from the page after navigation: location.pathname is '/settings/carriers' and the h1 is 'Carrier Accounts'. Found while checking the Email Templates route, whose real path is /settings/notification-templates. Window 1460x847.</t>
  </si>
  <si>
    <t>http://localhost:5173/settings/this-route-does-not-exist</t>
  </si>
  <si>
    <t>2026-10-13 R5 (build local dev, 2026-10-13 (rebuilt after R4; frontend modules dated 13:12 IST)): fixed - Both routes from the bug now stay where they were typed: /settings/this-route-does-not-exist and /settings/email-templates keep their address and show the All settings overview instead of Carrier Accounts. That is the 'neutral Settings index' the bug allowed; no 'not found' wording is shown. Testing around the fix found the same silent redirect outside /settings - logged as a new bug.</t>
  </si>
  <si>
    <t>Fixed on dev (4e33595f): Unknown /settings/* now renders Settings overview via explicit path="*" catch-all instead of falling through to Carriers.</t>
  </si>
  <si>
    <t>BUG-063</t>
  </si>
  <si>
    <t>Order API: a non-numeric order id returns 500 Internal Error instead of 400 Bad Request, so malformed input reaches the server as an unhandled fault</t>
  </si>
  <si>
    <t>1. With the admin session open, request GET /api/v1/orders/abc
2. Compare with GET /api/v1/orders/1 and GET /api/v1/orders/999999999</t>
  </si>
  <si>
    <t>Order ids: abc (non-numeric), 1 and 999999999 (numeric, non-existent)</t>
  </si>
  <si>
    <t>A path segment that is not a number is rejected as a bad request - 400, with a message naming the parameter - before any lookup is attempted. A 500 means an exception escaped rather than the input being validated.</t>
  </si>
  <si>
    <t>GET /api/v1/orders/abc returns 500 with code INTERNAL_ERROR and 'Something went wrong on the server. Please try again in a moment... contact support with reference 3fed1b86.' The two numeric ids behave correctly: both return a clean 404 with 'Order not found'. So the route handles a missing order properly but not a malformed one.</t>
  </si>
  <si>
    <t>The error body itself is well built and leaks nothing - no stack trace, no SQL, no internal paths, just a correlation reference and 'details in server logs'. The finding is the status code and the unhandled path, not the message. Read-only requests made with the signed-in admin session; nothing was written.</t>
  </si>
  <si>
    <t>http://localhost:5173/api/v1/orders/abc</t>
  </si>
  <si>
    <t>2026-10-13 R5 (build local dev, 2026-10-13 (rebuilt after R4; frontend modules dated 13:12 IST)): fixed - GET /api/v1/orders/abc now returns 400 with errorCode MALFORMED_REQUEST and the message "Parameter 'orderNo' must be Integer." - no exception reaches the server's 500 path. The numeric ids still behave as before: /orders/1 and /orders/999999999 return 404 ORDER_NOT_FOUND. Side note logged separately: the new 400 body uses a different envelope from every other error (status 'error' in lower case and timestamp null, against status 'ERROR' and a timestamp on the 404s).</t>
  </si>
  <si>
    <t>Fixed on dev (f0ff7d96): MethodArgumentTypeMismatchException mapped to 400 MALFORMED_REQUEST with parameter name + expected type.</t>
  </si>
  <si>
    <t>BUG-064</t>
  </si>
  <si>
    <t>API responses carry no Content-Security-Policy and no Referrer-Policy header</t>
  </si>
  <si>
    <t>1. With the admin session open, request GET /api/v1/clients/THB000
2. Read the response headers</t>
  </si>
  <si>
    <t>Any authenticated API response</t>
  </si>
  <si>
    <t>The usual browser-side defences are all present on an application that renders user-supplied text: a Content-Security-Policy restricting script sources, and a Referrer-Policy so URLs are not leaked to third parties.</t>
  </si>
  <si>
    <t>Present and correct: X-Frame-Options DENY, X-Content-Type-Options nosniff, Cache-Control 'no-cache, no-store, max-age=0, must-revalidate'. Absent: Content-Security-Policy and Referrer-Policy. Strict-Transport-Security is also absent, which is expected over plain http on localhost but should be checked on the deployed environment.</t>
  </si>
  <si>
    <t>Read from the response headers of a read-only GET made with the signed-in admin session. Output encoding itself held everywhere it was tested - a stored '&lt;script&gt;alert(1)&lt;/script&gt;' in an address-book name rendered as escaped text in the grid and in the delete confirmation, with zero injected elements, and the Handlebars email preview escaped the same payload - so CSP would be defence in depth rather than the only line.</t>
  </si>
  <si>
    <t>http://localhost:5173/api/v1/clients/THB000</t>
  </si>
  <si>
    <t>2026-10-13 R5 (build local dev, 2026-10-13 (rebuilt after R4; frontend modules dated 13:12 IST)): fixed - Every API response read in this run (GET /api/v1/orders/abc, /orders/1, /orders/999999999, /clients/THB000) now carries Content-Security-Policy "default-src 'self'; frame-ancestors 'none'" and Referrer-Policy strict-origin-when-cross-origin, alongside the existing X-Frame-Options DENY, X-Content-Type-Options nosniff and no-store Cache-Control. These headers are on the API responses; the HTML page itself is served by the Vite dev server here, so the deployed web server still needs the same CSP on the page - worth checking on the first non-local environment, together with Strict-Transport-Security.</t>
  </si>
  <si>
    <t>Fixed on dev (2e78e68d): SecurityConfig.headers adds CSP default-src self + frame-ancestors none + Referrer-Policy strict-origin-when-cross-origin.</t>
  </si>
  <si>
    <t>BUG-065</t>
  </si>
  <si>
    <t>Activity &amp; Logs</t>
  </si>
  <si>
    <t>Carrier API Log</t>
  </si>
  <si>
    <t>Carrier API Log redacts tokens and secrets but stores the OAuth client_id in clear text in the saved request body</t>
  </si>
  <si>
    <t>1. Open Settings &gt; Carrier API Log (/settings/carrier-api-log)
2. Find a POST to https://signin.testing.stampsendicia.com/oauth/token
3. Click the row to expand the stored Request body and Response body</t>
  </si>
  <si>
    <t>An existing logged token exchange from 10/13/2026, 3:20:56 AM</t>
  </si>
  <si>
    <t>The redaction covers every part of a credential exchange, not only the fields named secret or token. A client_id is half of an OAuth client credential and belongs behind the same mask, or the log should keep no body for auth endpoints at all.</t>
  </si>
  <si>
    <t>Most of it is handled well - the stored request body shows "refresh_token":"***" and "client_secret":"***", and the response shows "access_token":"***". But the same request body carries "client_id":"247Fvwi95XbnKjXCN7hE4PkwPpQdhow5" in full. Anyone who can open Settings can read it, and the page says it keeps request and response bodies for every carrier round-trip - 1,947 of them so far. The redaction looks to be a list of field names rather than a rule applied to auth endpoints, so a field the list does not know about is stored as-is.</t>
  </si>
  <si>
    <t>Read from the expanded row in the interface. The full client_id is reproduced above only because this is a SANDBOX account on Manoj's local machine; it should be treated as a live value on any deployed environment. Window 1460x847.</t>
  </si>
  <si>
    <t>http://localhost:5173/settings/carrier-api-log</t>
  </si>
  <si>
    <t>S065</t>
  </si>
  <si>
    <t>2026-10-14 R5 (build local dev, 2026-10-13 (rebuilt after R4; frontend modules dated 13:12 IST)): fixed - R5: every token request logged after the rebuild is masked - Stamps #1725 (14 Oct) and #1711, #1692, #1669, #1648 (13 Oct) show "client_id":"***" next to the masked client_secret, refresh_token and access_token, and FedEx #1672 shows client_id=*** in its form body. UPS sends its credentials in a header that is not stored. Rows written before the fix still show the full client_id - logged separately as BUG-130.</t>
  </si>
  <si>
    <t>Fixed on dev (d0486536): CarrierApiLog SECRET_KEYS gains client_id + clientId so OAuth client ids are masked alongside secret / token values.</t>
  </si>
  <si>
    <t>BUG-066</t>
  </si>
  <si>
    <t>Alerts History</t>
  </si>
  <si>
    <t>Alerts History prints the carrier's raw JSON in the Reason column, so the human-readable rules on Carrier Error Messages are bypassed here</t>
  </si>
  <si>
    <t>1. Open Settings &gt; Alerts History (/settings/alerts-history)
2. Read the Reason column on any STAMPS_SERA_MPS_ROLLBACK_VOID_FAILED row</t>
  </si>
  <si>
    <t>Existing alert rows from 10/10/2026 and 10/11/2026</t>
  </si>
  <si>
    <t>The reason reads as a sentence, the way Settings &gt; Carrier Error Messages already defines - that screen exists to turn raw carrier payloads into humanised messages.</t>
  </si>
  <si>
    <t>The Reason cell holds the carrier payload verbatim: 'SERA rollback void failed for label_id 4553edf5-961c-4db1-94db-945b1ea97ec3: 400 Bad Request: "{"error_reference_id":"53dfa7aa-c51f-4954-bb5c-1bbb05bb7823","errors":[{"error_code":"4522505","error_message":"Label could not be found. This can happen if the label was never requested or if you are attempting to refund a sample label."}]}". Manual void required.' The useful sentence is in there, buried in JSON, an error_reference_id and a label_id. Settings &gt; Carrier Error Messages already holds five pattern rules for exactly this job, and the alert path does not use them.</t>
  </si>
  <si>
    <t>Six rows visible, every STAMPS_SERA_MPS_ROLLBACK_VOID_FAILED one shaped the same way. Window 1460x847.</t>
  </si>
  <si>
    <t>http://localhost:5173/settings/alerts-history</t>
  </si>
  <si>
    <t>S068</t>
  </si>
  <si>
    <t>2026-10-14 R5 (build local dev, 2026-10-13 (rebuilt after R4; frontend modules dated 13:12 IST)): fixed - R5: the Reason column now shows plain sentences - 'Label could not be found. This can happen if the label was never requested or if you are attempting to refund a sample label.', 'SERA MPS partial failure - rolling back 1 successful piece(s).', 'USPS carrier endpoint was temporarily unreachable. Please retry in a moment.' The raw carrier text, label_id and error_reference_id moved to the cell's tooltip. Side effect: the operator instruction 'Manual void required.' is now only in the tooltip (noted under BUG-135).</t>
  </si>
  <si>
    <t>Fixed on dev (0f167f93): Alerts History reason column now runs through summarizeCarrierError (same humanizer as /orders/new).</t>
  </si>
  <si>
    <t>BUG-067</t>
  </si>
  <si>
    <t>Returns Analytics</t>
  </si>
  <si>
    <t>Returns Analytics: every one of the 11 returns is counted as 'Unknown', so the screen's whole purpose - the reason breakdown - shows nothing</t>
  </si>
  <si>
    <t>1. Open Settings &gt; Returns Analytics (/settings/returns-analytics)
2. Leave the lookback window at Last 12 weeks and read the table</t>
  </si>
  <si>
    <t>The 11 returns already in the system since 2026-07-21</t>
  </si>
  <si>
    <t>Returns are spread across the reasons the page names - Wrong item, Defective, No longer needed, Size, Other - or, if the reason is genuinely never captured, the screen says so rather than presenting an empty breakdown as data.</t>
  </si>
  <si>
    <t>One week row, 2026-09-07: Wrong item 0, Defective 0, No longer needed 0, Size 0, Other 0, Unknown 11, Total 11. The Totals row repeats it. Every return in the window has no reason recorded, so the only number on the page is the one that carries no information. Either the return flow never asks for a reason or it never stores one - worth checking which before the screen is relied on.</t>
  </si>
  <si>
    <t>Read from the rendered table at the default Last 12 weeks window; the header reads 'Since 2026-07-21  11 returns'. Window 1460x847.</t>
  </si>
  <si>
    <t>http://localhost:5173/settings/returns-analytics</t>
  </si>
  <si>
    <t>BUG-067.jpg, BUG-067-2.jpg</t>
  </si>
  <si>
    <t>S069</t>
  </si>
  <si>
    <t>2026-10-14 R5 (build local dev, 2026-10-13 (rebuilt after R4; frontend modules dated 13:12 IST)): fixed - R5: the Return tab now marks Reason with a red asterisk, and Generate return label with no reason is stopped with 'Return reason required - Pick a return reason - it drives the Returns Analytics breakdown. Options: Wrong item, Defective, No longer needed, Size, Other.' (no request sent). With Defective picked, sandbox return #934194 was bought and Returns Analytics now shows week 2026-10-12: Defective 1, Total 1; Totals 0 / 1 / 0 / 0 / 0 / Unknown 11 / 12. The 11 old returns stay Unknown, as the developer note says.</t>
  </si>
  <si>
    <t>Fixed on dev (092bda2c): Return reason now required at submit — picker options unchanged; submit toast + red-asterisk when blank. Historical rows stay Unknown; new returns roll up.</t>
  </si>
  <si>
    <t>BUG-068</t>
  </si>
  <si>
    <t>Unknown routes outside /settings (e.g. /this-does-not-exist, /orders/not-a-real-page/xyz) still land silently on Carrier Accounts and rewrite the address</t>
  </si>
  <si>
    <t>1. Type http://localhost:5173/this-does-not-exist into the address bar and press Enter
2. Read the page heading and the address bar
3. Repeat with http://localhost:5173/orders/not-a-real-page/xyz and http://localhost:5173/settingsx/foo</t>
  </si>
  <si>
    <t>Three unknown routes: /this-does-not-exist, /orders/not-a-real-page/xyz, /settingsx/foo</t>
  </si>
  <si>
    <t>The same behaviour BUG-062's fix now gives inside /settings: the address the user typed is kept and a not-found message or a neutral page is shown, not a different screen.</t>
  </si>
  <si>
    <t>All three end on /settings/carriers with the heading 'Carrier Accounts'; the address bar is rewritten so the path that was asked for is lost, and nothing says a redirect happened. Inside /settings the fix holds (BUG-062 retest), so only the application-level catch-all still points at Carrier Accounts.</t>
  </si>
  <si>
    <t>Read after navigation: location.pathname '/settings/carriers', header 'SETTINGS | Carrier Accounts' for each of the three routes. Found while testing around the BUG-062 fix. Window 1442x847.</t>
  </si>
  <si>
    <t>http://localhost:5173/this-does-not-exist</t>
  </si>
  <si>
    <t>Always (3 of 3 routes)</t>
  </si>
  <si>
    <t>BUG-068-R7.jpg</t>
  </si>
  <si>
    <t>local dev, 2026-10-13 (rebuilt after R4; frontend modules dated 13:12 IST)</t>
  </si>
  <si>
    <t>R5</t>
  </si>
  <si>
    <t>2026-10-14 R6 (build local dev, 2026-10-14 (order-form modules reloaded 13:17 IST)): still-failing - R6: improved but the address is still lost. /this-does-not-exist, /orders/not-a-real-page/xyz and /settingsx/foo now all end on /dashboard ('Good afternoon, admin') instead of Carrier Accounts, so the user lands somewhere neutral. But the address bar is still rewritten to /dashboard and nothing says the page asked for does not exist - the bug's expected 'address kept, not-found message or neutral page' (as BUG-062's fix does inside /settings) is only half met.
2026-10-16 R7 (build local dev, 2026-10-16): fixed - R7: all three unknown routes keep the address typed and show a not-found page instead of redirecting: /this-does-not-exist, /orders/not-a-real-page/xyz and /settingsx/foo each stay on their own path and read '404 - Page not found - Nothing lives at &lt;path&gt;. Check the link, or jump back to the dashboard.' with Go to Dashboard and Back buttons; inside /settings an unknown path still lands on the settings hub (BUG-062's fix). New defect on that page: the 'Go to Dashboard' label is unreadable (BUG-152).</t>
  </si>
  <si>
    <t>Deferred to next round: Unknown-route catchall lands on /dashboard but preserves nothing. Needs a NotFound page.
R6+1 (2026-10-15): Already on HEAD — in-shell NotFoundPage mounted at Route path='*' preserves the attempted URL.</t>
  </si>
  <si>
    <t>BUG-069</t>
  </si>
  <si>
    <t>Label documents: a non-numeric order number in the address shows the heading 'Order #NaN'</t>
  </si>
  <si>
    <t>1. Type http://localhost:5173/label/abc into the address bar and press Enter
2. Read the page heading under LABEL DOCUMENTS</t>
  </si>
  <si>
    <t>Order number 'abc' in the /label/{orderNo} route</t>
  </si>
  <si>
    <t>The heading shows what was asked for (for example 'Order abc') or a neutral title, next to the existing 'Invalid order number' message. A JavaScript NaN should never reach the screen.</t>
  </si>
  <si>
    <t>The heading reads 'Order #NaN'. The rest of the page handles the case well: the red panel says 'Invalid order number. - back to orders' with a working link, and Download PDF, Download .zpl, Copy ZPL and Print Label are all disabled.</t>
  </si>
  <si>
    <t>No request is sent for the label; the page parses the route segment as a number and prints the result. Window 1442x847.</t>
  </si>
  <si>
    <t>http://localhost:5173/label/abc</t>
  </si>
  <si>
    <t>BUG-069.jpg</t>
  </si>
  <si>
    <t>2026-10-14 R6 (build local dev, 2026-10-14 (order-form modules reloaded 13:17 IST)): fixed - R6: /label/abc now heads the page 'Order - invalid order number' (no NaN) above 'Invalid order number. - back to orders', with the download, copy and print buttons disabled. /label/12abc behaves the same; /label/-1 and /label/999999999 read 'Order #-1' / 'Order #999999999' with 'not found - back to orders'.</t>
  </si>
  <si>
    <t>BUG-070</t>
  </si>
  <si>
    <t>API error responses come in three different envelopes: the new 400 MALFORMED_REQUEST body (status 'error', timestamp null), the app's normal one (status 'ERROR'), and Spring's default for unknown routes</t>
  </si>
  <si>
    <t>1. With the admin session open, request GET /api/v1/orders/abc
2. Request GET /api/v1/orders/1
3. Compare the two JSON bodies field by field
4. Request GET /api/v1/admin/mail (a route that does not exist) and compare its body with the other two</t>
  </si>
  <si>
    <t>Order ids abc (malformed) and 1 (numeric, non-existent)</t>
  </si>
  <si>
    <t>Every error response shares one envelope, so a client can test status == 'ERROR' and read the timestamp and errors the same way for a 400 as for a 404.</t>
  </si>
  <si>
    <t>The 404 for /orders/1 reads {"status":"ERROR","code":404,"message":"Order not found","timestamp":"2026-10-13T13:50:46.65","errors":{"field":"orderNo",...},"errorCode":"ORDER_NOT_FOUND"}. The 400 for /orders/abc reads {"status":"error","code":400,"message":"Parameter 'orderNo' must be Integer.","timestamp":null,"errors":null,"errorCode":"MALFORMED_REQUEST"} - lower-case status, no timestamp and no errors object naming the field, although the message does. A third shape appears for an unknown API route: GET /api/v1/admin/mail returns Spring Boot's default error body {"timestamp":"2026-10-13 10:13:49","status":404,"error":"Not Found","message":"No static resource api/v1/admin/mail.","path":"/api/v1/admin/mail"} - numeric status, no code/errorCode/data, and a message that reveals the request fell through to the static-resource handler. Successful responses vary the same way: POST /api/v1/recipients and POST /api/v1/addresses/validate/carrier answer {"status":"success",...,"timestamp":null}, while POST /api/v1/warehouses answers {"status":"SUCCESS",...,"timestamp":"2026-10-13T15:24:41.34"}.</t>
  </si>
  <si>
    <t>GET /api/v1/orders/abc -&gt; 400 {status:'error', timestamp:null, errors:null, errorCode:'MALFORMED_REQUEST'}; GET /api/v1/orders/1 -&gt; 404 {status:'ERROR', timestamp:'2026-10-13T13:50:46.6499701', errors:{field:'orderNo',code:'NOT_FOUND',...}}. Read-only requests with the signed-in admin session. Found while retesting BUG-063, whose fix introduced this handler.</t>
  </si>
  <si>
    <t>2026-10-14 R6 (build local dev, 2026-10-14 (order-form modules reloaded 13:17 IST)): still-failing - R6: unchanged. GET /api/v1/orders/abc -&gt; 400 {status 'error', timestamp null, errors null, errorCode MALFORMED_REQUEST}; GET /api/v1/orders/1 -&gt; 404 {status 'ERROR', timestamp set, errors object, errorCode ORDER_NOT_FOUND}; GET /api/v1/admin/mail -&gt; 404 Spring default {timestamp, status 404, error 'Not Found', message 'No static resource api/v1/admin/mail.', path}.
2026-10-16 R7 (build local dev, 2026-10-16): still-failing - R7: unchanged (deferred by the developers: needs an API-wide response contract). GET /api/v1/orders/abc -&gt; 400 {status 'error', timestamp null, errors null, errorCode MALFORMED_REQUEST}; GET /api/v1/orders/1 -&gt; 404 {status 'ERROR', timestamp set, errors object, errorCode ORDER_NOT_FOUND}; GET /api/v1/admin/mail -&gt; 404 in Spring's default shape (keys timestamp, status 404, error, message 'No static resource api/v1/admin/mail.', path); an out-of-range id 999999999999 gives the lower-case 400 shape again. New detail: the two timestamps are in different zones - the app's envelope carries local time (10:40 IST) and Spring's default body carries UTC (05:10) - the same mixed-zone family as BUG-145 and BUG-160.</t>
  </si>
  <si>
    <t>Deferred to next round: Three error envelope shapes still vary; needs API-wide response contract.</t>
  </si>
  <si>
    <t>BUG-071</t>
  </si>
  <si>
    <t>New shipment &gt; Items: the HS code lookup list is squeezed to the 123 px width of the HS code cell, so its descriptions break into unreadable fragments</t>
  </si>
  <si>
    <t>1. Open Orders and click + New shipment (/orders/new)
2. Client MKL246, carrier FedEx, ship to Canada (290 Bremner Blvd, Toronto ON M5V 3L9)
3. In Items, type Cotton T-shirt in Description
4. Type t-shirt in HS code and read the suggestion list</t>
  </si>
  <si>
    <t>HS lookup search 't-shirt' on a Canada shipment</t>
  </si>
  <si>
    <t>The suggestion list is wide enough to read each code's description (it can overflow the cell, as dropdowns usually do), so the user can tell 610910 (cotton) from 610990 (other textiles) before picking one.</t>
  </si>
  <si>
    <t>The list opens at exactly the input's width (123 px) and wraps each description a few letters per line - 'T-s / sing / and / ves / cot / knit / cro' - with the rest cut off at the right edge, so the two t-shirt codes look the same. The full texts are 'T-shirts, singlets and other vests - cotton, knitted or crocheted' and '... - other textile materials'. While the words are being typed, the field also shows the inline error 'HS code should be 6-10 digits (e.g. 6104.62.20). Dots/spaces are OK; letters are not.', which contradicts the lookup it is offering. Picking 610910 works and fills 61091000.</t>
  </si>
  <si>
    <t>Measured in the DOM: suggestion container width 123 px = HS code input width 123 px, overflow auto. Found while retesting BUG-011 (the lookup's padding fix holds). Window 1442x847.</t>
  </si>
  <si>
    <t>BUG-071.png</t>
  </si>
  <si>
    <t>2026-10-14 R6 (build local dev, 2026-10-14 (order-form modules reloaded 13:17 IST)): fixed - R6: the HS code lookup list now opens 560 px wide over the 118 px field (position absolute), and both t-shirt codes read in full: '610910 T-shirts, singlets and other vests - cotton, knitted or crocheted' and '610990 ... - other textile materials', each tagged APPAREL. Picking 610910 fills 61091000. Still seen around the fix and logged separately: while the word is typed, the 'HS code should be 6-10 digits ... letters are not' error shows under the field (BUG-144), and ArrowDown / Enter do not move through or pick from the list (added to BUG-123). MKL246 to Toronto, FedEx, window 1401x847.</t>
  </si>
  <si>
    <t>BUG-072</t>
  </si>
  <si>
    <t>New shipment (FedEx to Canada): FTR exemption defaults to 'None (using AES)', the customs check passes it with no AES ITN, and FedEx then rejects the shipment</t>
  </si>
  <si>
    <t>1. Open Orders and click + New shipment (/orders/new)
2. Client MKL246, carrier FedEx; Ship to QA Test Recipient, QA Test Co, 290 Bremner Blvd, Toronto ON M5V 3L9, Canada, phone 4165550100
3. Reason of export Sale; leave FTR exemption at its default '-- None (using AES) --' and AES ITN and Export declaration ref empty; Label type PDF (plain); Incoterms DAP
4. Service FedEx International Economy, Packaging FedEx Pak, Weight 2
5. Importer override Receiver - DAP; item Cotton T-shirt, 61091000, US, 2 x 20.00, 0.5 lb
6. Click Validate shipment
7. Change FTR exemption to 'NOEEI 30.36 - export to Canada' and validate again</t>
  </si>
  <si>
    <t>MKL246 to Toronto, FedEx IE, FedEx Pak 2 lb, declared value USD 40; validated only, nothing saved</t>
  </si>
  <si>
    <t>When no exemption is chosen the form needs an AES ITN, so the customs check should flag the empty ITN itself (or Canada should default to NOEEI 30.36, the usual exemption for low-value exports there) instead of passing and leaving the carrier to refuse it.</t>
  </si>
  <si>
    <t>Customs &amp; dangerous goods: Passed. Carrier check: '1 to fix - FedEx rejected the shipment: The FTR Exemption or AES Citation you provided is not valid for EEI.' The user provided neither, so the carrier's wording points at nothing on the form. Generate label stays disabled, so nothing is bought. With NOEEI 30.36 picked, the same shipment returns 'Local + FEDEX checks passed. Ready to generate the label.'</t>
  </si>
  <si>
    <t>POST /api/v1/shipments/validate -&gt; 200 {overall:'FAIL', localErrors:[{field:'carrier', message:'FedEx rejected the shipment: The FTR Exemption or AES Citation you provided is not valid for EEI.'}], carrier:{valid:false}}; the request carries no ftrExemption key with None selected and ftrExemption 'NO_EEI_30_36' after the change. R4 had seen None pass on 2026-10-13, so this may depend on the FedEx sandbox; it reproduced on both validations today. Found while retesting BUG-005.</t>
  </si>
  <si>
    <t>Always (2 of 2: IE/FedEx Pak and IP/FedEx 10kg Box)</t>
  </si>
  <si>
    <t>BUG-072.jpg, BUG-072-2.jpg, BUG-072-R7.jpg</t>
  </si>
  <si>
    <t>2026-10-14 R6 (build local dev, 2026-10-14 (order-form modules reloaded 13:17 IST)): still-failing - R6: unchanged. MKL246 to QA-1014-R6 Recipient, 290 Bremner Blvd, Toronto ON M5V 3L9, FedEx International Economy, FedEx Pak 2 lb, Reason Sale, FTR exemption left on '-- None (using AES) --', AES ITN and Export declaration ref empty. The validate request carries no ftrExemption or aesItn; the check shows Customs &amp; dangerous goods: Passed and Carrier check: '1 to fix - FedEx rejected the shipment: The FTR Exemption or AES Citation you provided is not valid for EEI.' (overall FAIL). The Customs step chip now reads 'Customs - needs attention', but nothing on the form says what is missing. With NOEEI 30.36 picked the same shipment passes ('Local + FEDEX checks passed. Ready to generate the label.').
2026-10-16 R7 (build local dev, 2026-10-16): fixed - MKL246 to QA-1016 Recipient, 290 Bremner Blvd, Toronto ON M5V 3L9, FedEx International Economy, FedEx Pak 2 lb, Reason Sale, FTR exemption left on '-- None (using AES) --' with AES ITN and Export declaration ref empty: Validate shipment now stops before any carrier call with the toast '1 field needs attention - Pick FTR exemption (pick NOEEI 30.36 for Canada) or AES ITN before validating - the selected account has no saved default.' With NOEEI 30.36 picked the same shipment passes ('All checks passed - ready to generate the label') and the AES ITN box greys out. Small gap: the Customs step chip stays green and neither the FTR exemption box nor the AES ITN box is marked, so the toast is the only signal.</t>
  </si>
  <si>
    <t>Deferred to next round: FTR exemption passes without ITN on FedEx-to-Canada. Needs validation when exemption=None (using AES).
R6+1 (2026-10-15): Already on HEAD — NewShipmentPage requires FTR exemption or AES ITN for US → CA shipments.</t>
  </si>
  <si>
    <t>BUG-073</t>
  </si>
  <si>
    <t>Shipment check: a FedEx rate failure is printed with the raw status ('HTTP 503 ...', 'HTTP 500 GENERIC.ERROR') and a doubled 'No price' prefix, twice in one panel</t>
  </si>
  <si>
    <t>1. Open Orders and click + New shipment (/orders/new)
2. Client MKL246, carrier FedEx, ship to Toronto ON M5V 3L9 Canada, FedEx International Economy, FedEx Pak 2 lb, complete customs, importer and items
3. Click Validate shipment while the FedEx sandbox rate service is failing
4. Open Account, service &amp; price in the Shipment check</t>
  </si>
  <si>
    <t>Any FedEx validation made while the sandbox rate API answers 503 or 500 (about half of the FedEx validations in this run)</t>
  </si>
  <si>
    <t>A plain sentence that the carrier did not return a price and the check can be repeated, as BUG-016's fix does for toasts (cleanServerMessage) - no HTTP status codes or carrier error constants, and the message once.</t>
  </si>
  <si>
    <t>The row reads 'No price from the carrier: No price: FEDEX rate call failed - HTTP 503 The service is currently unavailable and we are working to resolve the issue. We apologize for any inconvenience. Please check back at a later time.' and the price box beneath repeats 'No price: FEDEX rate call failed - HTTP 503 ...'. On another validation the same places read '... HTTP 500 GENERIC.ERROR'. The status is classed as '1 to review' and does not block the label, which is reasonable; only the wording is at fault.</t>
  </si>
  <si>
    <t>POST /api/v1/shipments/validate -&gt; 200 with quote.status 'WEIGHT_ONLY' and quote.message 'No price: FEDEX rate call failed - HTTP 503 The service is currently unavailable...'; the page prints quote.message as it comes and prefixes it with 'No price from the carrier: '. Related to BUG-016 (same raw-status habit in the 502 toast, whose fix covers toasts only). R4 noted the same text in BUG-016's retest notes.</t>
  </si>
  <si>
    <t>Always while the FedEx rate call fails (3 of 3 failed calls seen)</t>
  </si>
  <si>
    <t>BUG-073.jpg, BUG-073-2.jpg, BUG-073-3.jpg, BUG-073-R7.png</t>
  </si>
  <si>
    <t>2026-10-14 R6 (build local dev, 2026-10-14 (order-form modules reloaded 13:17 IST)): still-failing - R6: half fixed. With the FedEx sandbox rate call failing (quote.status WEIGHT_ONLY, quote.message 'No price: FEDEX rate call failed - HTTP 503 The service is currently unavailable...'), the bullet under Account, service &amp; price now reads plainly 'No price from the carrier: FEDEX rate call failed - the carrier returned a server error - try again shortly.' But the Price &amp; delivery box under it still prints the raw message: 'No price: FEDEX rate call failed - HTTP 503 The service is currently unavailable and we are working to resolve the issue. We apologize for any inconvenience. Please check back at a later time.' Seen on two validations at 13:42 and 13:43.
2026-10-16 R7 (build local dev, 2026-10-16): fixed - with the FedEx sandbox rate call failing again (validate response quote.status WEIGHT_ONLY, quote.message 'No price: FEDEX rate call failed - HTTP 503 The service is currently unavailable...'), both places now read plainly - the bullet 'No price from the carrier: FEDEX rate call failed - the carrier returned a server error - try again shortly.' and the Price &amp; delivery box 'FEDEX rate call failed - the carrier returned a server error - try again shortly.' No HTTP status and no doubled 'No price' prefix. Seen on two validations (08:54 and 09:00 IST, Toronto and a FedEx Ground return); the other validations priced normally (USD 132.85).</t>
  </si>
  <si>
    <t>Deferred to next round: Price-&amp;-delivery box renders raw q.message; needs cleaner pass similar to validationChecklist.
R6+1 (2026-10-15): Already on HEAD — ValidationQuote strips 'No price:' prefix and HTTP 5xx tail from quote.message.</t>
  </si>
  <si>
    <t>BUG-074</t>
  </si>
  <si>
    <t>Clients &gt; Columns &gt; Reset layout unpins the row-actions column, so the row menu is off-screen again until the page is reloaded</t>
  </si>
  <si>
    <t>1. Use a window about 1442 px wide with the Settings menu expanded
2. Open Settings &gt; Clients (/settings/clients); the row menu (⋮) is pinned at the right edge
3. Click Columns, then Reset layout, and press Esc
4. Look for the ⋮ menu at the end of each row
5. Reload the page and look again</t>
  </si>
  <si>
    <t>Default column layout; clients MKL246 and THB000</t>
  </si>
  <si>
    <t>Reset layout returns the grid to its defaults, and the default includes the row-actions column pinned to the right (the BUG-025 fix), so the ⋮ menu stays visible.</t>
  </si>
  <si>
    <t>After Reset layout the actions column is an ordinary scrolling column again: both ⋮ buttons sit at x 1587 in a 1442 px window (position static), past the right edge, and the Status column is cut off at 'Activ'. The browser stores columnPinning {start:[], end:[]} for the clients table. Reloading the page puts the pin back (end:['actions'], position sticky, x 1347), so the fault lasts until the next load.</t>
  </si>
  <si>
    <t>localStorage advanced-data-table:clients:v2 after Reset layout: columnPinning {start:[],end:[]}; after reload: {start:[],end:['actions']}. The BUG-025 fix ('pinnedByDefault honoured when persisted pinning is empty') runs on load only, while Reset layout writes the empty state during the session. Found while testing around BUG-023 and BUG-025. Window 1442x847.</t>
  </si>
  <si>
    <t>BUG-074.jpg</t>
  </si>
  <si>
    <t>2026-10-14 R6 (build local dev, 2026-10-14 (order-form modules reloaded 13:17 IST)): fixed - R6: Columns &gt; Reset layout now keeps the row-actions column pinned - the stored layout keeps end ['actions'] and both row menus stay sticky at x 1306 in the 1401 px window, without a reload.</t>
  </si>
  <si>
    <t>BUG-075</t>
  </si>
  <si>
    <t>Importer / Broker dialog (Clients row menu): 'Discard this draft and close?' is asked with the browser's native confirm box, unlike the app's own Stay / Leave dialogs</t>
  </si>
  <si>
    <t>1. Open Settings &gt; Clients and open the row menu (⋮) on MKL246
2. Click Importer / Broker
3. Type QA-1013-R5 Importer Draft in Importer name
4. Press Esc (or click the dimmed background)</t>
  </si>
  <si>
    <t>Client MKL246; draft importer name QA-1013-R5 Importer Draft (nothing saved)</t>
  </si>
  <si>
    <t>The discard question uses the same in-app dialog as the rest of Multiship - the order form's 'Leave this shipment?' and the client editor's 'Leave client editor?' both offer Stay / Leave inside the page.</t>
  </si>
  <si>
    <t>The browser's own confirm box appears with 'Discard this draft and close?' and OK / Cancel. It blocks the whole tab until it is answered - in this run it froze the test session's browser tools until a second tab was opened - cannot be styled or worded like the other dialogs, and Chrome lets a user tick 'prevent this page from creating additional dialogs', after which Esc and background clicks silently do nothing. Settings &gt; Carrier Accounts uses the same native box for row menu &gt; Delete: 'Delete account QA13R5 (UPS)? This can't be undone.' (caught in the page and answered Cancel; nothing was sent). Settings &gt; Custom Fields row Delete uses the native box as well: 'Delete definition "QA-1013-R5 &lt;i&gt;Note&lt;/i&gt;"? Historic values remain on orders but no new values can be captured.'</t>
  </si>
  <si>
    <t>Captured in the page: window.confirm('Discard this draft and close?') called once per Esc or background click. Found while retesting BUG-024, whose fix this is.</t>
  </si>
  <si>
    <t>BUG-075-R7-customfields.jpg, BUG-075-R7.jpg</t>
  </si>
  <si>
    <t>Settings &gt; Carriers &amp; Services &gt; Carrier Accounts; Settings &gt; Labels &amp; Documents &gt; Custom Fields</t>
  </si>
  <si>
    <t>2026-10-14 R6 (build local dev, 2026-10-14 (order-form modules reloaded 13:17 IST)): still-failing - R6: fixed on the bug's own screen - the Importer / Broker dialog from the Clients row menu now asks in the app ('Discard draft?' with Keep editing / Discard). Still native on Custom Fields: row Delete raises the browser's confirm 'Delete definition "QA-1014-R6 &lt;i&gt;Note&lt;/i&gt;"? Historic values remain on orders but no new values can be captured.' (caught in the page). Carrier Accounts &gt; Delete could not be re-checked: it needs a QA carrier account, and no QA client could be created in this run.
2026-10-16 R7 (build local dev, 2026-10-16): still-failing - R7: two of the three places are fixed, one is not. Custom Fields row Delete now opens the app's own 'Delete custom field' dialog (Cancel / Delete; text 'Delete definition ... Historic values remain on orders but no new values can be captured.') - no browser confirm was raised and Delete sent DELETE /api/v1/custom-fields/9 -&gt; 200. The Importer / Broker discard question was already in-app in R6. Settings &gt; Carrier Accounts row menu &gt; Delete for the QA account QA16R7 still raises the browser's native confirm: 'Delete account QA16R7 (UPS)? This can't be undone.' (caught in the page and answered Cancel; nothing was sent). The note for this row's fix lists only CustomFieldsPage.</t>
  </si>
  <si>
    <t>Fix landed earlier this session: Importer/Broker in-app confirm shipped as 15ab13b8 earlier.
R6+1 (e17bf946, 2026-10-15): CustomFieldsPage.del() swapped window.confirm for notify.confirm (title + danger + confirmLabel). Matches Importer/Broker in-app pattern.</t>
  </si>
  <si>
    <t>BUG-076</t>
  </si>
  <si>
    <t>Clients Export: a value beginning with '=' is written to the CSV unescaped, so spreadsheet programs treat it as a formula (CSV formula injection)</t>
  </si>
  <si>
    <t>1. Open Settings &gt; Clients and click + Add Client
2. Create client QA-1013-R5-CL01 with Client name '=1+1 QA-1013-R5 O'Brien &amp; Sons "quoted" 100% #1 éè 中文' (the name field accepts a leading '=')
3. Back on Settings &gt; Clients, click Export
4. Read the CSV the server returns</t>
  </si>
  <si>
    <t>Client QA-1013-R5-CL01, name beginning '=1+1'; created for this test and deleted afterwards</t>
  </si>
  <si>
    <t>Cells that begin with =, +, - or @ (and tab or carriage return) are neutralised on export - usually by prefixing a single quote - so opening the file in Excel, LibreOffice or Google Sheets shows the text instead of evaluating it.</t>
  </si>
  <si>
    <t>The row is written as QA-1013-R5-CL01,"=1+1 QA-1013-R5 O'Brien &amp; Sons ""quoted"" 100% #1 éè 中文",US,UPS:QA13R5*,ACTIVE. The quotes are CSV syntax only, so a spreadsheet reads the cell as the formula =1+1 QA-1013-R5... A name such as =HYPERLINK("https://example.com","Click") or a DDE payload would be executed or offered as a live link to whoever opens the export. Quoting and doubling of embedded quotes are otherwise correct, and the accented and Chinese characters survive. Settings &gt; Carrier Accounts &gt; Export has the same gap: with the QA account named '=1+1 QA-1013-R5' the exported row reads 'UPS — QA13R5,=1+1 QA-1013-R5,Client: QA-1013-R5-CL01,...' with the leading '=' left as is. Settings &gt; Importer / Broker &gt; Export too: the Client name column is written as "=1+1 QA-1013-R5 O'Brien &amp; Sons ..." with the leading '=' left as is.</t>
  </si>
  <si>
    <t>GET /api/v1/clients/export.csv?sortBy=code&amp;sortDirection=ASC&amp;columns=... -&gt; 200; response line 3 as quoted above, read in the page (download permitted by Manoj). R4 left this unverified for want of a download. The client screens refuse &lt; and &gt; in names but accept a leading =, + , - and @. Window 1442x847. The exports built in the page (Settings &gt; Warehouses, and any list using src/utils/csv.ts) have the same gap: csvCell() only quotes values containing a quote, comma, CR or LF and doubles embedded quotes - there is no handling of a leading =, +, - or @ (read from the module the page loads).</t>
  </si>
  <si>
    <t>BUG-076-R7.jpg</t>
  </si>
  <si>
    <t>Settings &gt; Organization &gt; Warehouses &gt; Warehouses list; Settings &gt; Carriers &amp; Services &gt; Carrier Accounts; Settings &gt; International &gt; Importer / Broker</t>
  </si>
  <si>
    <t>2026-10-14 R6 (build local dev, 2026-10-14 (order-form modules reloaded 13:17 IST)): still-failing - R6: still failing on Warehouses, which this bug lists. The QA warehouse renamed '=1+1 QA-1014-R6 Retest Warehouse' is written by Export (built in the page) as 'QA-1014-R6-WH01,=1+1 QA-1014-R6 Retest Warehouse,US,PLATFORM,0,ACTIVE' - the cell still starts with '='. The name was put back afterwards. The Clients export itself could not be re-walked: it needs a client whose name starts with '=', and no QA client could be created in this run (client editor did not compile).
2026-10-16 R7 (build local dev, 2026-10-16): still-failing - R7: fixed on three of the four exports, still failing on Importer / Broker. With the QA client named '=1+1 QA-1016 O'Brien &amp; Sons' the Clients export now writes the cell as '=1+1 QA-1016 O'Brien &amp; Sons (leading apostrophe) and phone numbers as '+1 555 123 6789; the Warehouses export writes QA-1016-WH01,'=1+1 QA-1016 Retest Warehouse,US,PLATFORM,1,ACTIVE; the Carrier Accounts export writes 'UPS - QA16R7,'=1+1 QA-1016,Client: QA-1016-CL01,...'. Settings &gt; Importer / Broker &gt; Export is still unguarded: for a profile of QA-1016-CL01 (importer QA-1016 Importer &amp; Sons, Toronto, CA) the server's CSV reads 'QA-1016-CL01,=1+1 QA-1016 O'Brien &amp; Sons,CA,BUSINESS,QA-1016 Importer &amp; Sons,Toronto,...' - the Client name cell starts with '=' with no apostrophe, so a spreadsheet evaluates it. The QA profile was deleted afterwards.</t>
  </si>
  <si>
    <t>Fix landed earlier this session: CSV formula-injection guard shipped as 45c6b922 earlier.
R6+1 (0b501583, 2026-10-15): FE csv.ts csvCell now prefixes '=/+/-/@/TAB' with a single quote (mirrors backend).</t>
  </si>
  <si>
    <t>BUG-077</t>
  </si>
  <si>
    <t>Billing markup: saving a very large percentage (999999999999) returns 500 Internal Error instead of a validation message; the form sets no upper limit</t>
  </si>
  <si>
    <t>1. Open Settings &gt; Clients and open client QA-1013-R5-CL01 (row menu &gt; Edit)
2. Go to step 6 Markup, keep 'Percent of rate'
3. Type 999999999999 in Value (%) - the preview shows $250,000,000,024.75
4. Click Save markup</t>
  </si>
  <si>
    <t>QA-1013-R5-CL01; markup 999999999999 %</t>
  </si>
  <si>
    <t>An out-of-range markup is refused with a field message (as negative values are), or the field states a maximum. A value the form accepts should never reach the server as an unhandled fault.</t>
  </si>
  <si>
    <t>PUT /api/v1/clients/QA-1013-R5-CL01/markup -&gt; 500 with 'Something went wrong on the server. Please try again in a moment... contact support with reference 3e0a8978.' The field shows no error and the preview happily computes the amount. A markup of 10 saves normally ('Markup saved for QA-1013-R5-CL01.'). The value looks to overflow the stored number's precision.</t>
  </si>
  <si>
    <t>PUT /api/v1/clients/QA-1013-R5-CL01/markup -&gt; 500 {"status":"error","code":500,"message":"Something went wrong on the server...reference 3e0a8978"}. Error body leaks nothing; the finding is the unvalidated input and the 500. Found while retesting BUG-035.</t>
  </si>
  <si>
    <t>http://localhost:5173/settings/clients/QA-1013-R5-CL01</t>
  </si>
  <si>
    <t>BUG-077.jpg</t>
  </si>
  <si>
    <t>2026-10-14 R6 (build local dev, 2026-10-14 (order-form modules reloaded 13:17 IST)): cannot-retest - R6: not re-walked - the client editor did not compile during this run (ClientEditorPage.tsx:1515 parse error, 14:00-15:38 IST).
2026-10-16 R7 (build local dev, 2026-10-16): fixed - R7: on new client QA-1016-CL01, Markup 999999999999 % -&gt; PUT /api/v1/clients/QA-1016-CL01/markup 400 and the toast 'Check the form for errors - A number is too large for its field.' - no more 500. Minor leftover: the field itself is not marked and no maximum is stated, so the user must guess the limit; 10 % then saves normally.</t>
  </si>
  <si>
    <t>Fix landed earlier this session: Markup overflow now 400 via GlobalExceptionHandler (48d5c34f).</t>
  </si>
  <si>
    <t>BUG-078</t>
  </si>
  <si>
    <t>Edit client: after a markup is saved, the Markup step chip keeps its 'No billing markup saved' warning until the page is reloaded</t>
  </si>
  <si>
    <t>1. Open Settings &gt; Clients and edit a client that has no billing markup (QA-1013-R5-CL01) - the Markup chip shows a warning
2. Go to step 6 Markup, type 10 and click Save markup - 'Done - Markup saved for QA-1013-R5-CL01.'
3. Look at the Markup chip, then click another step and look again
4. Reload the page</t>
  </si>
  <si>
    <t>QA-1013-R5-CL01; markup 10 %</t>
  </si>
  <si>
    <t>Once the markup is saved the chip drops its warning, as it does after a reload.</t>
  </si>
  <si>
    <t>The chip keeps the warning icon and the title 'No billing markup saved - labels for this client will be refused until you Save one on this tab.' after the successful save and after moving to Identity. Only a reload turns it into the plain 'Billing markup' chip. A user may think the save did not take.</t>
  </si>
  <si>
    <t>PUT /api/v1/clients/QA-1013-R5-CL01/markup -&gt; 200, then the chip's title attribute still reads the warning; after reload it reads 'Billing markup'.</t>
  </si>
  <si>
    <t>BUG-078.png</t>
  </si>
  <si>
    <t>2026-10-14 R6 (build local dev, 2026-10-14 (order-form modules reloaded 13:17 IST)): cannot-retest - R6: not re-walked - the client editor did not compile during this run (ClientEditorPage.tsx:1515 parse error, 14:00-15:38 IST).
2026-10-16 R7 (build local dev, 2026-10-16): fixed - R7: on QA-1016-CL01 the Markup chip carried 'No billing markup saved - labels for this client will be refused...' before saving; right after 'Done - Markup saved for QA-1016-CL01.' it reads plain 'Billing markup' with no warning icon, without a reload, and stays so after moving to Identity.</t>
  </si>
  <si>
    <t>Fixed on dev (d266e348): ClientEditorPage JSX comment moved out of ternary; unblocks client wizard retests.</t>
  </si>
  <si>
    <t>BUG-079</t>
  </si>
  <si>
    <t>Return address and warehouse address: State is saved exactly as typed ('il'), without upper-casing or a check against the country's states</t>
  </si>
  <si>
    <t>1. Open Settings &gt; Clients and click + Add Client; fill steps 1 and 2
2. On step 3 Return address untick 'Same as Ship From'
3. Fill Attention QA-1013-R5 Returns, Street 100 Return Way, City Chicago, State il, ZIP 60601-1234, Country United States, Phone +1 312-555-0100
4. Finish the wizard, then open the client again and read the State
5. Also: Settings &gt; Warehouses &gt; + Add Warehouse with State / region typed 'il' - read the grid and GET /api/v1/warehouses after saving</t>
  </si>
  <si>
    <t>Client QA-1013-R5-CL01, return state typed 'il'</t>
  </si>
  <si>
    <t>The state is stored as the carriers expect it - the upper-case code IL - either upper-cased as typed (as the client code is) or picked from a state list (as on the order form's Ship from and Ship to).</t>
  </si>
  <si>
    <t>'il' is accepted with no message and saved as 'il': the Summary shows 'Chicago, il, 60601-1234 - US', GET /api/v1/clients/QA-1013-R5-CL01 returns returnAddress.state 'il', and the edit form shows 'il'. Any two letters are accepted (the field caps at 2 on a new client and at 5 on a saved UPS client), so a misspelt or lower-case code goes to the carrier on every return label. The warehouse panel behaves the same: Settings &gt; Warehouses &gt; Add warehouse with State / region 'il' saves QA-1013-R5-WH01 with address.state 'il' (GET /api/v1/warehouses), and the grid shows 'Springfield, il' - this is the ship-from address printed on labels. Only the length is checked there ('State / region must be 2 characters or fewer.' for ILLINOIS).</t>
  </si>
  <si>
    <t>GET /api/v1/clients/QA-1013-R5-CL01 -&gt; returnAddress {name 'QA-1013-R5 Returns', line1 '100 Return Way', city 'Chicago', state 'il', zip '60601-1234', country 'US', ...}. Compare BUG-040, where the warehouse panel accepted 'ILLINOIS'.</t>
  </si>
  <si>
    <t>Settings &gt; Organization &gt; Warehouses &gt; Warehouses list</t>
  </si>
  <si>
    <t>2026-10-14 R6 (build local dev, 2026-10-14 (order-form modules reloaded 13:17 IST)): still-failing - R6: the warehouse part is unchanged - QA-1014-R6-WH01 was saved with State 'il' and the grid shows 'Springfield, il'. The client wizard's return address could not be re-walked (client editor down).
2026-10-16 R7 (build local dev, 2026-10-16): fixed - R7: client wizard Return address State typed 'il' becomes 'IL' as typed; Summary shows 'Chicago, IL, 60601-1234 - US' and GET /api/v1/clients/QA-1016-CL01 returns returnAddress.state 'IL'. Warehouses &gt; Add warehouse: 'il' becomes 'IL', QA-1016-WH01 saved with address.state 'IL' and the grid shows 'Springfield, IL'.</t>
  </si>
  <si>
    <t>Fixed on dev (6754690c): Warehouse State input forces uppercase on change.
R6+1 (2207535b, 2026-10-15): Warehouses grid upper-cases state at render too; legacy 'il' rows now display 'IL' without a resave.</t>
  </si>
  <si>
    <t>BUG-080</t>
  </si>
  <si>
    <t>Grid columns and values (Code, Name + city, Country, Owner, Attached, Status)</t>
  </si>
  <si>
    <t>Deleting a client leaves its warehouse attachment behind: 3PL-EAST counts 7 attached clients, 4 of them deleted, although the delete dialog says the attachment is deleted</t>
  </si>
  <si>
    <t>1. Open Settings &gt; Clients and create a client attached to 3PL-EAST (QA-1013-R5-CL02 in this run)
2. Delete it from the row menu - the dialog says 'This will also delete: ... 1 warehouse attachment(s)' - and confirm
3. Open Settings &gt; Warehouses and read the Attached column for 3PL-EAST
4. Open the row menu &gt; Attach clients on 3PL-EAST</t>
  </si>
  <si>
    <t>Warehouse 3PL-EAST; clients on file MKL246, THB000, QA-1013-R5-CL01; deleted test clients QA-1012-CL01, QA-1012-RT01, QA-1013-CL01, QA-1013-R5-CL02</t>
  </si>
  <si>
    <t>Deleting a client removes its warehouse attachments, as its dialog promises, so the warehouse's Attached count matches the clients the Attach dialog lists.</t>
  </si>
  <si>
    <t>The grid reads Attached 7 while the Attach clients dialog lists exactly three attached clients (MKL246, QA-1013-R5-CL01, THB000). GET /api/v1/warehouses/3PL-EAST/clients returns seven codes: MKL246, QA-1012-CL01, QA-1012-RT01, QA-1013-CL01, QA-1013-R5-CL01, QA-1013-R5-CL02, THB000 - four of them belong to clients that no longer exist, including QA-1013-R5-CL02, deleted minutes earlier with the promise that its 1 warehouse attachment would be deleted. Anyone judging whether a warehouse is safe to deactivate or delete from the Attached count is misled, and a client later re-created with one of those codes may inherit a stale attachment.</t>
  </si>
  <si>
    <t>GET /api/v1/warehouses?page=0&amp;size=25 -&gt; attachedClientCount 7 for 3PL-EAST; GET /api/v1/warehouses/3PL-EAST/clients -&gt; 7 codes as above; GET /api/v1/clients/QA-1013-R5-CL02 -&gt; 404 after the delete. Window 1442x847.</t>
  </si>
  <si>
    <t>Always (4 of 4 deleted clients left their row)</t>
  </si>
  <si>
    <t>BUG-080.jpg, BUG-080-R7-warehouses.jpg</t>
  </si>
  <si>
    <t>Settings &gt; Organization &gt; Clients &gt; Clients list</t>
  </si>
  <si>
    <t>2026-10-14 R6 (build local dev, 2026-10-14 (order-form modules reloaded 13:17 IST)): still-failing - R6: the stale attachments are still there and still counted - 3PL-EAST shows Attached 7, and GET /api/v1/warehouses/3PL-EAST/clients returns MKL246, QA-1012-CL01, QA-1012-RT01, QA-1013-CL01, QA-1013-R5-CL01, QA-1013-R5-CL02 and THB000, although only MKL246 and THB000 exist. Whether deleting a client now removes its attachment could not be re-walked: no QA client could be created (client editor down).
2026-10-16 R7 (build local dev, 2026-10-16): fixed - R7: both halves fixed. The old orphans are gone - GET /api/v1/warehouses/3PL-EAST/clients now lists only MKL246, QA-1016-CL01 (the R7 test client) and THB000; QA-1012-CL01, QA-1012-RT01, QA-1013-CL01, QA-1013-R5-CL01 and QA-1013-R5-CL02 no longer appear. Then QA-1016-CL01 (attached to 3PL-EAST and to QA-1016-WH01) was deleted through the row menu: the dialog said 'This will also delete: 1 carrier account(s), 0 client-owned warehouse(s), 2 warehouse attachment(s)' and, after Delete permanently, Settings &gt; Warehouses shows Attached 2 for 3PL-EAST and 0 for QA-1016-WH01, GET .../3PL-EAST/clients returns MKL246 and THB000, GET .../QA-1016-WH01/clients returns [], and the client's UPS account (QA16R7) is gone from the carrier-account list.</t>
  </si>
  <si>
    <t>Fixed on dev (V157 f41ee5c7): V157 deletes orphan client_warehouse rows pointing at deleted clients.</t>
  </si>
  <si>
    <t>BUG-081</t>
  </si>
  <si>
    <t>Warehouse address Verify: a US address is reported as 'VERIFICATION NOT SUPPORTED FOR THIS COUNTRY' when the real reason is missing live carrier credentials</t>
  </si>
  <si>
    <t>1. Open Settings &gt; Warehouses and click + Add Warehouse (or edit a warehouse)
2. Fill a US address: 742 Evergreen Terrace, Springfield, IL, 62704-1234, United States
3. Leave carrier UPS next to ADDRESS and click Verify</t>
  </si>
  <si>
    <t>Warehouse QA-1013-R5-WH01 (test record, deleted afterwards); carrier UPS; country US</t>
  </si>
  <si>
    <t>The headline states the actual reason - that address verification is unavailable because the UPS account has no live credentials - and agrees with the explanation beneath it.</t>
  </si>
  <si>
    <t>The result reads 'UPS - VERIFICATION NOT SUPPORTED FOR THIS COUNTRY' and directly under it 'No live credentials for UPS - cannot call address validation.' The United States is the country UPS address validation covers best, so the headline sends the user looking for a country problem that does not exist. The server returns matchLevel NOT_SUPPORTED for both causes and the page maps that one value to the country wording.</t>
  </si>
  <si>
    <t>POST /api/v1/addresses/validate/carrier -&gt; 200 {status:'success', message:'No live credentials for UPS - cannot call address validation.', data:{carrierCode:'UPS', valid:false, matchLevel:'NOT_SUPPORTED', ...}}. Seen while retesting BUG-042 (whose raw-enum and tick-icon parts are fixed).</t>
  </si>
  <si>
    <t>BUG-081.jpg</t>
  </si>
  <si>
    <t>2026-10-14 R6 (build local dev, 2026-10-14 (order-form modules reloaded 13:17 IST)): still-failing - R6: unchanged. Verify on the US warehouse QA-1014-R6-WH01 (742 Evergreen Terrace, Springfield) still headlines 'UPS - VERIFICATION NOT SUPPORTED FOR THIS COUNTRY', with 'No live credentials for UPS - cannot call address validation.' underneath.
2026-10-16 R7 (build local dev, 2026-10-16): fixed - R7: Add warehouse, US address 742 Evergreen Terrace, Springfield IL 62704-1234, carrier UPS, Verify -&gt; 'UPS - CARRIER CREDENTIALS NOT CONFIGURED' with 'No live credentials for UPS - cannot call address validation.' beneath. Headline and explanation now agree.</t>
  </si>
  <si>
    <t>Deferred to next round: Warehouse verify "VERIFICATION NOT SUPPORTED FOR THIS COUNTRY" when real reason is missing credentials. Wording.
R6+1 (2026-10-15): Already on HEAD — WarehouseEditorModal branches on credsMissing so the status reads 'Carrier credentials not configured'.</t>
  </si>
  <si>
    <t>BUG-082</t>
  </si>
  <si>
    <t>Address book: phone, email, state and postal code are not validated at all - 'abc', 'x@', 'ILLINOIS' and a US ZIP of 'ABCDE' are saved</t>
  </si>
  <si>
    <t>1. Open Settings &gt; Address book and click + Add address
2. Belongs to Shared; Name QA-1013-R5 Retest Recipient; Phone abc; Email x@; Street 1 Retest Way; City Chicago; State / province ILLINOIS; Postal code ABCDE; Country United States
3. Click Save address</t>
  </si>
  <si>
    <t>Shared address created and removed again during this run (recipient id 4)</t>
  </si>
  <si>
    <t>The same checks the rest of Settings applies: a phone with digits, a valid email, a 2-letter US state code and a US ZIP format - as the client wizard, the warehouse panel and the order form do - so the saved addresses offered in Ship to are usable.</t>
  </si>
  <si>
    <t>No field is marked and the server accepts everything: POST /api/v1/recipients -&gt; 200 'Recipient saved.', and the grid shows 'Chicago, ILLINOIS, ABCDE - US' with contact 'abc / x@'. Only the required fields (Name, Street, City, Postal code, Country) are checked, and only for emptiness. Every one of these values would be refused later by the order form or the carrier, after the address has been picked for a shipment.</t>
  </si>
  <si>
    <t>POST /api/v1/recipients -&gt; 200 {status:'success', message:'Recipient saved.', data:{id:4, phone:'abc', ...}}; none of the inputs has a maxlength, pattern or type=email/tel.</t>
  </si>
  <si>
    <t>BUG-082.jpg</t>
  </si>
  <si>
    <t>2026-10-14 R6 (build local dev, 2026-10-14 (order-form modules reloaded 13:17 IST)): still-failing - R6: unchanged. + Add address, Shared, Name QA-1014-R6 Retest Recipient, Phone abc, Email x@, Street 1 Retest Way, City Chicago, State ILLINOIS, Postal code ABCDE, Country United States -&gt; 'Done - Saved QA-1014-R6 Retest Recipient.'; the grid shows 'Chicago, ILLINOIS, ABCDE - US' with contact 'abc / x@', and GET /api/v1/recipients returns phone 'abc', email 'x@', state ILLINOIS, zip ABCDE. No field was marked. The address was removed afterwards through the in-app 'Remove address' confirmation.
2026-10-16 R7 (build local dev, 2026-10-16): fixed - R7: Add address (Shared) with Phone 'abc', Email 'x@', State 'ILLINOIS', Postal code 'ABCDE', Country US -&gt; no request sent; each field is marked: 'Enter a valid phone (digits, spaces, +, -, (), . only).', 'Enter a valid email address (name@domain).', 'Use the 2-letter US code (e.g. AL, AK).', 'Postal code doesn't match the US format.' Dialog cancelled, nothing saved.</t>
  </si>
  <si>
    <t>Fixed on dev (9796ed31): Address book now runs the shared validatePhoneForCountry / validateEmail / validateZip / STATE_CODE_SETS checks before POST.</t>
  </si>
  <si>
    <t>BUG-083</t>
  </si>
  <si>
    <t>Address book: a 299-character name (no field has a length limit) makes Save fail with a server 500 instead of a length message</t>
  </si>
  <si>
    <t>1. Open Settings &gt; Address book and edit a saved address (or add one)
2. Replace Name with a 299-character text ('QA-1013-R5 LONG NAME AAAA...END')
3. Click Save address</t>
  </si>
  <si>
    <t>QA-1013-R5 test address (recipient id 4), removed afterwards</t>
  </si>
  <si>
    <t>The field limits its length (as the client and warehouse forms do with maxlength 255) or the server answers 400 with a field message.</t>
  </si>
  <si>
    <t>PUT /api/v1/recipients/4 -&gt; 500 and the toast 'Something went wrong - Something went wrong on the server. Please try again in a moment... contact support with reference 13d715a8.' The dialog stays open with no field marked, so the user cannot tell that the name is simply too long. None of the dialog's inputs has a maxlength. A normal name saves at once ('Updated QA-1013-R5 Retest Recipient.').</t>
  </si>
  <si>
    <t>PUT /api/v1/recipients/4 -&gt; 500 {status:'error', code:500, message:'Something went wrong on the server...reference 13d715a8', errors:{field:'request', ...}}. The error body leaks nothing; the finding is the unchecked length reaching the database. Same pattern as BUG-077 on the billing markup.</t>
  </si>
  <si>
    <t>2026-10-14 R6 (build local dev, 2026-10-14 (order-form modules reloaded 13:17 IST)): fixed - R6: a 300-character name on Edit no longer causes a 500. PUT /api/v1/recipients/5 -&gt; 400 'A value is too long for its field (limit 200 characters).' and the toast reads 'Check the form for errors - A value is too long for its field (limit 200 characters).' The dialog stays open with the text intact and the record is unchanged. Still rough around the fix: the message does not say which field is too long, no field is marked, and the inputs still have no maxlength, so the user only finds the limit by saving.</t>
  </si>
  <si>
    <t>BUG-084</t>
  </si>
  <si>
    <t>Invite user: inviting an address that already has a pending invite issues a second live invite and accept link instead of refusing or replacing the first</t>
  </si>
  <si>
    <t>1. Open Settings &gt; Users (/settings/users)
2. Click Invite user, enter "qa-1013-r5-&lt;i&gt;x&lt;/i&gt;"@example.com, pick client QA-1013-R5-CL01 and role USER, click Send invite, then Done
3. Click Invite user again and enter the same address in capitals, "QA-1013-R5-&lt;i&gt;x&lt;/i&gt;"@EXAMPLE.com, with the same client and role; click Send invite, then Done
4. Look at the Pending invites panel and at Recent admin actions</t>
  </si>
  <si>
    <t>QA invites to "qa-1013-r5-&lt;i&gt;x&lt;/i&gt;"@example.com for client QA-1013-R5-CL01, role USER (invite ids 5 and 6), both revoked afterwards. Mail provider: none active, so the emails were only logged.</t>
  </si>
  <si>
    <t>An address has at most one live invitation. A second invite for an address that is already pending is refused with a pointer to Resend, or it replaces the first and revokes its link - so a re-invite made to correct the client or role cannot leave the old link, with the old client and role, still usable.</t>
  </si>
  <si>
    <t>Both sends succeed. 'Pending invites (2)' lists the same address twice, each row with its own Copy link, its own accept token and its own expiry (10/20/2026 3:51:35 PM and 3:52:17 PM). The server lower-cases the address when it stores it (both rows read "qa-1013-r5-&lt;i&gt;x&lt;/i&gt;"@example.com), so it knows they are the same person, yet it still issues a second link. Recent admin actions records the second invite as typed, "QA-1013-R5-&lt;i&gt;x&lt;/i&gt;"@EXAMPLE.com, which no longer matches the stored invite.</t>
  </si>
  <si>
    <t>POST /api/v1/admin/user-invites -&gt; 201 (first invite)
POST /api/v1/admin/user-invites -&gt; 201 (same address in capitals, second accept link issued)
GET /api/v1/admin/user-invites -&gt; 200, both invites pending
The address is accepted with HTML in its quoted local part (valid under RFC 5321) and is shown escaped as text everywhere it appears: dialog, toast, pending list, audit list and the Revoke confirmation.</t>
  </si>
  <si>
    <t>BUG-084.jpg</t>
  </si>
  <si>
    <t>2026-10-14 R6 (build local dev, 2026-10-14 (order-form modules reloaded 13:17 IST)): fixed - R6: a second invite for an address that already has a pending invite is now refused. qa-1014-r6-invite at example.com (THB000, USER) -&gt; 201; the same address in capitals, QA-1014-R6-INVITE at EXAMPLE.COM, -&gt; POST /api/v1/admin/user-invites 409 'An invite for qa-1014-r6-invite at example.com is still pending (expires 2026-10-21T14:06:40.879515). Revoke it from Pending invites, or use Resend to extend its expiry.' Pending invites keeps one row for the address. The new message prints the raw server timestamp - logged as BUG-145.</t>
  </si>
  <si>
    <t>BUG-085</t>
  </si>
  <si>
    <t>Users: resending or revoking an invitation is not recorded in Recent admin actions, so a revoked invite still reads only 'admin invited ...'</t>
  </si>
  <si>
    <t>1. Open Settings &gt; Users (/settings/users)
2. Invite an address (QA invite "qa-1013-r5-&lt;i&gt;x&lt;/i&gt;"@example.com, client QA-1013-R5-CL01) and click Done
3. In Pending invites click Resend on it and wait for 'Done - Invite resent and expiry extended.'
4. Click Revoke, then Revoke in 'Please confirm', and wait for 'Done - Invite revoked.'
5. Read Recent admin actions</t>
  </si>
  <si>
    <t>QA invite id 5 to "qa-1013-r5-&lt;i&gt;x&lt;/i&gt;"@example.com (client QA-1013-R5-CL01, role USER), resent once and revoked</t>
  </si>
  <si>
    <t>Revoking an invitation is an admin change and is listed with who did it and when, like the invitation itself and the client moves on the same panel. Resending, which emails a fresh copy and extends the expiry, is listed too.</t>
  </si>
  <si>
    <t>Both actions succeed and the panel reloads, but the newest entry stays '3:50:57 PM admin invited "qa-1013-r5-&lt;i&gt;x&lt;/i&gt;"@example.com' (later the second invite). Nothing says the invite was resent or revoked. The two invitations from the earlier runs show the same gap: verify-bug050@example.com and qa-1012-retest@example.com still read only 'admin invited ...' although neither is pending any more.</t>
  </si>
  <si>
    <t>POST /api/v1/admin/user-invites/5/resend -&gt; 200, then GET /api/v1/admin/users/audit?limit=50 -&gt; 200 (no new entry)
DELETE /api/v1/admin/user-invites/5 -&gt; 200, then GET /api/v1/admin/users/audit?limit=50 -&gt; 200 (no new entry)
The Cancel path of the in-app confirmation sends nothing and keeps the invite.</t>
  </si>
  <si>
    <t>BUG-085.jpg</t>
  </si>
  <si>
    <t>2026-10-14 R6 (build local dev, 2026-10-14 (order-form modules reloaded 13:17 IST)): still-failing - R6: unchanged. On the QA invite (qa-1014-r6-invite at example.com) Resend -&gt; 'Done - Invite resent and expiry extended.' (expiry moved from 2:06:40 PM to 2:07:26 PM) and Revoke -&gt; 'Please confirm ... The accept link stops working immediately.' -&gt; Revoke, after which Pending invites drops to 1. Recent admin actions, refreshed, still ends at '10/14/2026, 2:06:40 PM admin invited qa-1014-r6-invite at example.com' - neither the resend nor the revoke is listed.
2026-10-16 R7 (build local dev, 2026-10-16): fixed - R7: invited qa-1016-r7-invite@example.com (client QA-1016-CL01), clicked Resend ('Done - Invite resent and expiry extended.') and Revoke ('Please confirm' in-app, then 'Done - Invite revoked.'). Recent admin actions now lists '10/16/2026, 8:11:31 AM admin resent the invite to ...' and '8:11:44 AM admin revoked the invite for ...' above the invite itself.</t>
  </si>
  <si>
    <t>Deferred to next round: Audit entry for invite resend/revoke; needs recordAction wiring.
R6+1 (2026-10-15): Already on HEAD — AdminUserInviteController calls adminUserService.recordInviteResent / recordInviteRevoked which writes INVITE_RESENT / INVITE_REVOKED rows to user_admin_audit so Recent admin actions picks them up.</t>
  </si>
  <si>
    <t>BUG-086</t>
  </si>
  <si>
    <t>Add Account (form, validation, save)</t>
  </si>
  <si>
    <t>Carrier credentials: the browser fills the saved Multiship sign-in (admin and its password) into Consumer Key and Consumer Secret on Add account and on Rotate credentials</t>
  </si>
  <si>
    <t>1. Sign in to Multiship once and let Chrome save the password (the normal 'Save password?' prompt)
2. Open Settings &gt; Carrier Accounts (/settings/carriers) and click + Add Account (UPS is preselected)
3. Look at Credentials: Consumer Key and Consumer Secret
4. Close the drawer, open Edit on an existing account (here the QA account QA13R5) and click Rotate credentials</t>
  </si>
  <si>
    <t>Chrome with the Multiship login saved for localhost:5173; QA UPS account QA13R5 of client QA-1013-R5-CL01 (nothing was saved with the filled values - both fields were cleared and the rotation cancelled)</t>
  </si>
  <si>
    <t>Credential fields for a carrier API never receive the app's own sign-in. The secret field is marked so password managers leave it alone (autocomplete="new-password" on the secret, a distinct field name or autocomplete="off" with a non-login name on the key), so the drawer opens with both fields empty.</t>
  </si>
  <si>
    <t>Both drawers open with Consumer Key = 'admin' and Consumer Secret filled with the saved Multiship password, highlighted as browser-filled. The inputs carry autocomplete="off", which Chrome ignores for a text + password pair, and have no name or id. The secret is masked, so a user has no way to see that it is their own login password; 'admin' in the key can pass for a default. Picking a carrier, typing an account number and clicking Save to Account Book would store the Multiship admin password as the carrier secret and send it to UPS/FedEx/USPS on the next verification. On Edit the risk is worse: one click on Rotate credentials pre-fills the replacement, and saving overwrites working carrier credentials with the admin login. Settings &gt; Mail has the same leak: Add mail provider opens (Kind POSTMARK) with from_address = 'admin' and serverToken holding the 9-character saved password, both flagged as browser-filled; switching Kind to SMTP moves them to host = 'admin' and password, and they survive picking a preset such as Gmail. Saving would store the Multiship admin password as the mail provider's secret. Reproduced on every open; the QA provider in this run was saved only after both values were replaced by test values. Not affected (checked in R5): the client wizard's Carriers step (Settings &gt; Clients &gt; + Add Client &gt; Carriers &gt; Add carrier account: Account number, Client ID, Client Secret open empty), and the secret boxes on Output Destinations (SFTP), External Systems &gt; Secrets and System, which carry autocomplete=new-password.</t>
  </si>
  <si>
    <t>Read from the page (values not read, only state): Consumer Key input type=text autocomplete=off :autofill=true value='admin'; Consumer Secret input type=password autocomplete=off :autofill=true value non-empty. Same on Rotate credentials in Update QA13R5. GET /api/v1/carrier-accounts/platform-credentials/UPS -&gt; 200 returns only a masked preview (clientSecretMasked, hasClientSecret:false), so the filled values come from the browser, not the server.</t>
  </si>
  <si>
    <t>BUG-086.jpg, BUG-086-2.jpg, BUG-086-3.jpg, BUG-086-4.jpg, BUG-086-5.jpg, BUG-086-R7-mail.jpg</t>
  </si>
  <si>
    <t>Settings &gt; Email &amp; Alerts &gt; Mail</t>
  </si>
  <si>
    <t>2026-10-14 R6 (build local dev, 2026-10-14 (order-form modules reloaded 13:17 IST)): still-failing - R6: fixed on Carrier Accounts, not on Mail. Carrier Accounts: + Add Account and Edit &gt; Rotate credentials now open with Consumer Key / Client ID and the secret empty; the inputs carry autocomplete new-password and the names carrier-credential-id and carrier-credential-secret, and nothing is browser-filled (checked on UPS Add and on the FedEx 740561111 rotation, closed without saving, writes blocked in the page). Settings &gt; Mail &gt; + Add provider still opens (Kind POSTMARK) with from_address 'admin' and serverToken holding the 9-character saved Multiship password, both flagged :autofill - one click on Add provider would store the admin password as the mail provider's secret. Cancelled at once.
2026-10-16 R7 (build local dev, 2026-10-16): fixed - R7: Settings &gt; Mail &gt; + Add provider now opens with every field empty: from_address and serverToken (POSTMARK), username, port, host and password (SMTP) carry autocomplete new-password and the names mail-provider-from_address, mail-provider-serverToken, mail-provider-username, mail-provider-host, mail-provider-password; none matches :autofill, and picking the Gmail preset fills only port 587 and host smtp.gmail.com. Carrier Accounts was fixed in R6, so both drawers named in the bug are now clean. Cancelled without saving.</t>
  </si>
  <si>
    <t>Deferred to next round: Mail form autofill unchanged; needs same new-password treatment as Carrier Accounts.
R6+1 (2026-10-15): Already on HEAD — MailProviderFormModal uses autoComplete='new-password' on every secret-typed field so Chrome stops dumping the Multiship sign-in into them.</t>
  </si>
  <si>
    <t>BUG-087</t>
  </si>
  <si>
    <t>Row actions reachable at 1442 px</t>
  </si>
  <si>
    <t>Carrier Accounts and Warehouses: the row menu is off-screen at 1442 px and only reachable by scrolling the grid sideways - the BUG-025 fix reached the Clients grid only</t>
  </si>
  <si>
    <t>1. Use a 1442 x 847 window with the Settings menu expanded
2. Open Settings &gt; Carrier Accounts (/settings/carriers) with the default layout (Columns &gt; Reset layout)
3. Look for the ⋮ menu at the end of each row
4. Repeat on Settings &gt; Warehouses (/settings/warehouses)</t>
  </si>
  <si>
    <t>Default column layout, Compact density; five carrier accounts, two warehouses (3PL-EAST, QA-1013-R5-WH01)</t>
  </si>
  <si>
    <t>As on Settings &gt; Clients since the BUG-025 fix, the row-actions column is pinned to the right edge, so Verify / Edit / Delete (and the warehouse actions) can be reached without scrolling the table.</t>
  </si>
  <si>
    <t>Carrier Accounts: the rows end at a Status column cut off at 'Ch' / 'Ve'; all five ⋮ buttons sit at x 1747-1775, past the right edge of the 1442 px window, in a scroller 1040 px wide over 1440 px of content. Hit-testing their centres finds other elements, and the browser stores columnPinning {start:[], end:[]} for this table ('advanced-data-table:carriers:v2'). Warehouses: the same - ⋮ at x 1427-1455, position static, scroller 1040 over 1120, columnPinning {start:[], end:[]}. Clients, for comparison, stores end:['actions'] and its ⋮ sits in a sticky cell at x 1347. Settings &gt; Carrier Limits has the same layout fault: Edit, Deactivate and Delete sit at x 1384-1566 in a 1442 px window, in a scroller 1080 px wide over 1253 px of content, so only part of Edit shows and the other two need a sideways scroll. Settings &gt; Templates has the same fault (seen in R6): with one template in the list, its row menu sits at x 1483 in a 1401 px window, in a 999 px scroller over 1176 px of content, and the table stores columnPinning {start:[], end:[]}; Edit, Preview and Delete are reachable only by scrolling the grid sideways.</t>
  </si>
  <si>
    <t>getBoundingClientRect of the five row-action buttons at scrollLeft 0: 1747-1775 (window 1442); last cell position: static. The BUG-025 fix note says 'pinnedByDefault now honoured when persisted pinning is empty', which suggests only the Clients table declares its actions column pinnedByDefault.</t>
  </si>
  <si>
    <t>BUG-087.jpg, BUG-087-R7-templates.jpg, BUG-087-R7.jpg</t>
  </si>
  <si>
    <t>Settings &gt; Organization &gt; Warehouses &gt; Warehouses list; Settings &gt; Carriers &amp; Services &gt; Carrier Limits; Settings &gt; Labels &amp; Documents &gt; Templates</t>
  </si>
  <si>
    <t>2026-10-14 R6 (build local dev, 2026-10-14 (order-form modules reloaded 13:17 IST)): still-failing - R6: fixed on Carrier Accounts and Warehouses, not on Carrier Limits. At 1401 px the Carrier Accounts and Warehouses row menus sit in a sticky cell at x 1306 and can be clicked, and both tables now store columnPinning {start:[], end:['actions']}. Settings &gt; Carrier Limits still puts Edit at x 1384-1442 and Deactivate at 1446-1530 in a 1039 px scroller over 1253 px of content - neither can be clicked without scrolling the grid sideways (Delete is further right still).
2026-10-16 R7 (build local dev, 2026-10-16): fixed - R7 at 1401 px: Settings &gt; Carrier Limits keeps Edit, Deactivate and Delete in a sticky Actions column (x 1170-1350) that can be clicked without scrolling the grid (scroller 1039 px over 1253 px of content, Status slides under the pinned cell). Settings &gt; Templates: with three QA rows the row menu sits at x 1318 and Edit / Preview / Delete open in view. Carrier Accounts and Warehouses were fixed in R6.</t>
  </si>
  <si>
    <t>Fixed on dev (5088d31d): Templates got pinnedByDefault:'end' on actions column (BUG-025 mechanism). Carrier Limits uses sticky right:0 on &lt;th&gt;/&lt;td&gt; since it's a plain &lt;table&gt;.
R6+1 (e17bf946, 2026-10-15): CarrierShippingLimitsPage table now uses border-separate + border-spacing-0 so Chrome's position:sticky on &lt;th&gt;/&lt;td&gt; actually sticks Actions at narrow viewports.</t>
  </si>
  <si>
    <t>BUG-088</t>
  </si>
  <si>
    <t>Usage column (labels, last used)</t>
  </si>
  <si>
    <t>Carrier Accounts: Usage reads 'never used' under every account, including FedEx 740561111 with 25,353 labels and a label made today</t>
  </si>
  <si>
    <t>1. Open Settings &gt; Carrier Accounts (/settings/carriers)
2. Scroll the grid to the Usage column
3. Read the second line under each label count</t>
  </si>
  <si>
    <t>FedEx 740561111 (MKL246) produced the SANDBOX label for order #934193 (QA-1013-R5-GB-FX-IP-TUBE-2B) earlier today</t>
  </si>
  <si>
    <t>The second line gives the last time the account produced a label (for example 'last used today'), and 'never used' only appears for an account with no labels.</t>
  </si>
  <si>
    <t>All five rows read 'never used': USPS TEST (0 labels), FedEx 740561111 (25353 labels), UPS 746W05 (7929 labels), USPS 874157 (98 labels) and UPS QA13R5 (0 labels). The list data has a lastUsedAt field, and it is empty on every account, so the line contradicts the count right above it. An admin looking for dormant accounts to retire cannot tell them apart from the busiest ones.</t>
  </si>
  <si>
    <t>GET /api/v1/carrier-accounts -&gt; 200: labelsGenerated 25353 / 7929 / 98 / 0 / 0 with lastUsedAt null on all five accounts.</t>
  </si>
  <si>
    <t>BUG-088-R7.jpg</t>
  </si>
  <si>
    <t>2026-10-14 R6 (build local dev, 2026-10-14 (order-form modules reloaded 13:17 IST)): still-failing - R6: unchanged. All four accounts read 'never used' - FedEx 740561111 now with 25,354 labels, UPS 746W05 7,929, USPS 874157 98, USPS TEST 0 - and GET /api/v1/carrier-accounts returns lastUsedAt null on every account.
2026-10-16 R7 (build local dev, 2026-10-16): still-failing - R7: unchanged (deferred by the developers: lastUsedAt wiring). Settings &gt; Carrier Accounts, Usage column: every row reads 'never used' under its label count - USPS TEST 0 labels, FedEx 740561111 25,356 labels, UPS 746W05 7,929, USPS 874157 98, QA UPS QA16R7 0 - and the Export writes the same ('25356 labels; last used never'). GET /api/v1/carrier-accounts returns lastUsedAt null on all five accounts, although labels were bought on FedEx 740561111 earlier in this run.</t>
  </si>
  <si>
    <t>Deferred to next round: lastUsedAt wiring on label-sent event; multi-connector change.</t>
  </si>
  <si>
    <t>BUG-089</t>
  </si>
  <si>
    <t>Shipping Catalog</t>
  </si>
  <si>
    <t>Linked packages chip &gt; Allowed packages dialog</t>
  </si>
  <si>
    <t>Shipping Catalog: UPS Ground is allowed UPS Express packaging, although the screen says ground-family services do not accept branded packaging - intended?</t>
  </si>
  <si>
    <t>1. Open Settings &gt; Shipping Catalog (/settings/shipping-catalog), tab Shipping services, origin United States
2. In the UPS panel click the linked-packages chip (7) on UPS Ground
3. Compare with the CUSTOM tag on FedEx Ground in the FedEx panel</t>
  </si>
  <si>
    <t>Existing catalog, origin US; nothing was changed (Cancel)</t>
  </si>
  <si>
    <t>Ground-family services follow the rule the dialog states - 'ground-family services don't accept branded packaging' - the way FedEx Ground and FedEx Home Delivery do ('marked CUSTOM-packaging-only - no branded packaging by design (Ground-family default)').</t>
  </si>
  <si>
    <t>UPS Ground has 'Allow branded packaging' ticked and seven packages linked: THB-PACKAGE plus UPS Express Pak, UPS Large / Medium / Small Express Box, UPS Letter and UPS Tube. UPS Express packaging is meant for UPS air services, so a Ground shipment auto-packed into one of these boxes may be surcharged or refused. Several of the boxes also have no max weight ('max - lb'), so the 'smallest box whose max weight fits' rule treats them as unlimited. Is UPS Ground deliberately exempt from the ground-family default?</t>
  </si>
  <si>
    <t>Allowed packages - UPS - UPS Ground: [x] Allow branded packaging; [x] THB-PACKAGE, UPS Express Pak, UPS Large Express Box, UPS Letter, UPS Medium Express Box, UPS Small Express Box, UPS Tube. FedEx Ground: [ ] Allow branded packaging, only THB-PACKAGE.</t>
  </si>
  <si>
    <t>http://localhost:5173/settings/shipping-catalog</t>
  </si>
  <si>
    <t>BUG-089.jpg, BUG-089-R7.jpg</t>
  </si>
  <si>
    <t>S043</t>
  </si>
  <si>
    <t>2026-10-14 R6 (build local dev, 2026-10-14 (order-form modules reloaded 13:17 IST)): still-failing - R6: partly answered. UPS Ground now links one package (THB-PACKAGE) instead of seven - the UPS Express Pak, Large / Medium / Small Express Box, Letter and Tube links are gone. But 'Allow branded packaging' is still ticked on UPS Ground, against the screen's own ground-family rule, so the Express packaging can be ticked again from the same dialog; and UPS Large and Medium Express Box still show 'max - lb'. The question whether Ground is meant to allow branded packaging stays open.
2026-10-16 R7 (build local dev, 2026-10-16): fixed - R7: UPS Ground is now custom-packaging-only like FedEx Ground. Settings &gt; Shipping Catalog &gt; Shipping services (origin US): UPS Ground carries the CUSTOM tag instead of a linked-packages count; its Allowed packages dialog shows the amber note 'Ground-family services don't accept branded packaging - only custom boxes are allowed.', lists only THB-PACKAGE and has no 'Allow branded packaging' tick (R6 still had it ticked; R5 linked seven Express packages). Cancelled, nothing changed. The other half of the bug text - UPS Express boxes without a max weight - is still blank and is raised separately as BUG-154.</t>
  </si>
  <si>
    <t>Fixed on dev (6754690c): Allow branded packaging toggle hidden entirely for Ground-family services + inline amber note.
R6+1 (V161 afeb4111, 2026-10-15): V161 re-applies V30's branded_packaging_allowed=false for UPS/FEDEX/USPS ground services. V30 fired against empty shipping_service on fresh deploys and the UPS Ground row later synced in with the default TRUE. Now flipped.</t>
  </si>
  <si>
    <t>BUG-090</t>
  </si>
  <si>
    <t>Packages tab: origin, carrier filter, paging</t>
  </si>
  <si>
    <t>Shipping Catalog: the description says the two sub-tabs share the origin filter, but each tab keeps its own origin</t>
  </si>
  <si>
    <t>1. Open Settings &gt; Shipping Catalog (/settings/shipping-catalog)
2. Open the Packages tab and set Ship from origin to Canada (CA): only THB-PACKAGE is listed
3. Open the Shipping services tab</t>
  </si>
  <si>
    <t>Origins United States and Canada; both set back to United States afterwards</t>
  </si>
  <si>
    <t>As the description says - 'Two sub-tabs share the origin filter and allowlist model' - Shipping services opens on Canada too, so the tiles and panels match the packages just viewed.</t>
  </si>
  <si>
    <t>Shipping services still reads 'Ship from origin: United States (US)' with 'SERVICES FROM US 20/21'. Setting Canada there gives 'No UPS services from Canada yet.' while the Packages tab keeps its own value. The 'PACKAGE LINKS 154' tile also stays at 154 for Canada, where no service exists.</t>
  </si>
  <si>
    <t>Packages tab origin select value CA; Shipping services tab origin select value US at the same time (two separate selects).</t>
  </si>
  <si>
    <t>BUG-090.jpg, BUG-090-2.jpg, BUG-090-R7.jpg</t>
  </si>
  <si>
    <t>2026-10-14 R6 (build local dev, 2026-10-14 (order-form modules reloaded 13:17 IST)): still-failing - R6: unchanged. With the Packages tab set to Ship from origin Canada (CA), the Shipping services tab still reads United States (US) and 'SERVICES FROM US 20/21'; the description still says 'Two sub-tabs share the origin filter and allowlist model.' The Packages origin was set back to US afterwards.
2026-10-16 R7 (build local dev, 2026-10-16): fixed - R7: the two sub-tabs share one origin filter. With Shipping services set to Canada (CA), the Packages tab opens on 'Ship from origin: Canada (CA)' and lists only THB-PACKAGE; setting Packages back to United States (US) and returning to Shipping services reads United States (US) with 'SERVICES FROM US 20/21' (R6: the tabs kept separate values).</t>
  </si>
  <si>
    <t>Deferred to next round: Shipping Catalog tabs don't share origin. Needs lifted-state origin filter.
R6+1 (2026-10-15): R6+1 (c96e743f, 2026-10-15): ShippingCatalogPage lifts origin + onOriginChange and passes to both ShippingServicesPage and PackagesPage, so the sub-tabs now share the filter the page description promised.</t>
  </si>
  <si>
    <t>BUG-091</t>
  </si>
  <si>
    <t>Allowed clients chip ('Assigned to')</t>
  </si>
  <si>
    <t>Shipping Catalog: every service and package reads 'No clients allowed yet', yet clients ship with them and nothing edits the allowlist - what does empty mean?</t>
  </si>
  <si>
    <t>1. Open Settings &gt; Shipping Catalog (/settings/shipping-catalog)
2. Hover the client chip (person icon, 0) on any service, for example UPS Ground, then on any package card
3. Look for a control that sets a service's or package's allowed clients</t>
  </si>
  <si>
    <t>Existing catalog; MKL246 ships UPS, FedEx and USPS services from these panels</t>
  </si>
  <si>
    <t>The description promises 'each item's allowed clients' and an 'allowlist model'. Either the chip opens an editor for the allowed clients, or, if an empty list means 'open to every client', the chip says so ('All clients').</t>
  </si>
  <si>
    <t>All 21 services and all package cards show 0 with the tooltip 'Assigned to: No clients allowed yet.' The chip is plain text (a span, no click action), the Package spec sheet has no client field, and the client wizard has no services or packages step. GET /api/v1/allowlist-usage/services and /packages both return an empty list, while MKL246 keeps shipping these services - so the tooltip reads as 'nobody may use this' when the system behaves as 'everybody may'. Is the allowlist meant to be editable here, and is empty meant to mean all clients?</t>
  </si>
  <si>
    <t>GET /api/v1/allowlist-usage/services -&gt; 200 data:[]; GET /api/v1/allowlist-usage/packages -&gt; 200 data:[]. Chip element: SPAN title='Assigned to: No clients allowed yet.'</t>
  </si>
  <si>
    <t>2026-10-14 R6 (build local dev, 2026-10-14 (order-form modules reloaded 13:17 IST)): fixed - R6: answered on screen. Every service and package now shows an 'all' client chip whose title reads 'All clients (no per-tenant restriction).', so an empty allowlist reads as 'everyone may' - which is how the system behaves. ('per-tenant' is the wording tracked in BUG-110.)</t>
  </si>
  <si>
    <t>BUG-092</t>
  </si>
  <si>
    <t>Add Package (spec sheet, validation, save)</t>
  </si>
  <si>
    <t>Add Package: a tare weight heavier than the box's max weight is accepted (25 lb empty box rated for 20 lb)</t>
  </si>
  <si>
    <t>1. Open Settings &gt; Shipping Catalog &gt; Packages and click + Add Package
2. Enter Name QA-1013-R5 Box, Type Custom box, 10 x 8 x 4 in
3. Enter Max weight 20 and Tare weight 25 (lb)
4. Click Register package</t>
  </si>
  <si>
    <t>QA package 'QA-1013-R5 Box &lt;i&gt;x&lt;/i&gt;' (preset id 23), corrected to tare 0.5 and then deleted</t>
  </si>
  <si>
    <t>The spec sheet refuses a tare (empty-box weight) that is not below the max weight, with a message on the field, since such a box can never hold anything and would break the 'smallest box whose max weight fits the order' pick.</t>
  </si>
  <si>
    <t>POST /api/v1/package-presets succeeds ('Package ... saved.') and the card shows MAX WEIGHT 20 lb next to TARE WEIGHT 25 lb. Negative and zero dimensions are refused, but only with the generic 'A custom box needs length, width and height.'</t>
  </si>
  <si>
    <t>POST /api/v1/package-presets -&gt; 200; card: DIMENSIONS 10 x 8 x 4 in, MAX WEIGHT 20 lb, TARE WEIGHT 25 lb, DIM WEIGHT 2.3 lb</t>
  </si>
  <si>
    <t>BUG-092.jpg, BUG-092-2.png, BUG-092-R7.jpg</t>
  </si>
  <si>
    <t>2026-10-14 R6 (build local dev, 2026-10-14 (order-form modules reloaded 13:17 IST)): still-failing - R6: unchanged. + Add Package, QA-1014-R6 Box, Custom box 10 x 8 x 4 in, Max weight 20 lb, Tare weight 25 lb: no warning in the spec sheet (header still 'WITHIN LIMITS'), Register package saves it, and GET /api/v1/package-presets returns id 24 with maxWeight 20 and tareWeight 25; the card reads MAX WEIGHT 20 lb / TARE WEIGHT 25 lb. Deleted afterwards through the in-app 'Delete package' confirmation.
2026-10-16 R7 (build local dev, 2026-10-16): fixed - R7: Packages &gt; + Add Package, QA-1016 Box, Custom box 10 x 8 x 4 in, Max weight 20 lb, Tare weight 25 lb, Register package: refused - red toast 'Check the form for errors - Tare weight (25) must be less than max weight (20). The max weight is for the LOADED box.' and nothing is saved (no package was created). Remaining nit: the message appears only in the toast - neither field is outlined and the sheet header still reads 'WITHIN LIMITS' while the sheet holds the impossible values.</t>
  </si>
  <si>
    <t>Deferred to next round: tare &gt; max weight guard; needs save validation on Add Package.
R6+1 (3508b210, 2026-10-15): ShippingConfigService.savePreset now refuses tareWeight &gt; maxWeight at 422.</t>
  </si>
  <si>
    <t>BUG-093</t>
  </si>
  <si>
    <t>Add alias form (ERP code, platform target, Add alias, destination scope)</t>
  </si>
  <si>
    <t>Code Maps: adding an alias whose ERP code already exists silently replaces the existing mapping, with the usual 'Shipvia alias saved.'</t>
  </si>
  <si>
    <t>1. Open Settings &gt; Code Maps (/settings/code-maps) and pick client QA-1013-R5-CL01, tab Shipvia
2. Add ERP code QA13 -&gt; UPS - 03 - UPS Ground ('Shipvia alias saved.')
3. Add ERP code QA13 again, this time -&gt; UPS - 02 - UPS 2nd Day Air, and click Add alias</t>
  </si>
  <si>
    <t>QA client QA-1013-R5-CL01; aliases QA13 (id 8) and &lt;B&gt;X&lt;/B&gt; (id 9) removed afterwards, QA80 -&gt; UPS Ground left as created in the client wizard</t>
  </si>
  <si>
    <t>The add form only adds. An ERP code that is already mapped is refused ('QA13 is already mapped to UPS Ground - edit that row instead'), or the user is asked before the existing mapping is replaced - every ERP order carrying QA13 changes service at once.</t>
  </si>
  <si>
    <t>The second Add alias is accepted with the same 'Done - Shipvia alias saved.' and the existing row now reads QA13 -&gt; UPS - 02 - UPS 2nd Day Air. Nothing says a mapping was overwritten, and the list still shows one QA13 row, so the earlier target is simply gone.</t>
  </si>
  <si>
    <t>POST /api/v1/clients/QA-1013-R5-CL01/code-maps/shipvia -&gt; 200 both times; GET .../shipvia afterwards lists QA13 once, with the second target.</t>
  </si>
  <si>
    <t>BUG-093.jpg, BUG-093-2.jpg, BUG-093-R7.jpg</t>
  </si>
  <si>
    <t>2026-10-14 R6 (build local dev, 2026-10-14 (order-form modules reloaded 13:17 IST)): still-failing - R6: unchanged. Client THB000, tab Shipvia: QA14R6 -&gt; UPS - 03 - UPS Ground ('Done - Shipvia alias saved.', alias id 10), then QA14R6 again -&gt; UPS - 02 - UPS 2nd Day Air: the same 'Shipvia alias saved.', no question, and the single row now reads QA14R6 -&gt; UPS - 02 - UPS 2nd Day Air (the server returns the same id 10 with the new target). The QA alias was removed afterwards through 'Remove alias'.
2026-10-16 R7 (build local dev, 2026-10-16): fixed - R7: Code Maps, client QA-1016-CL01, tab Shipvia: QA16A -&gt; UPS - 03 - UPS Ground saved ('Shipvia alias saved.'), then QA16A again -&gt; UPS - 02 - UPS 2nd Day Air: the toast now reads 'Done - Shipvia alias for QA16A updated - previous target replaced.' and the single row reads the new target. The overwrite is no longer silent. Residual (not a new bug): the user is told after the fact rather than asked first, and the message does not name the target that was lost. The QA alias was removed afterwards through the in-app 'Remove alias' confirmation (DELETE 200).</t>
  </si>
  <si>
    <t>Deferred to next round: Duplicate alias silent replace; needs "updated existing" message in service.
R6+1 (3508b210, 2026-10-15): upsertShipvia reports 'already existed — the existing mapping was updated' when the (clientCode, erpCode, dest*) row was pre-existing.</t>
  </si>
  <si>
    <t>BUG-094</t>
  </si>
  <si>
    <t>Code Maps: an ERP code over 40 characters is refused with the raw validator text 'Erp code size must be between 0 and 40.' and the field has no length limit</t>
  </si>
  <si>
    <t>1. Open Settings &gt; Code Maps (/settings/code-maps), client QA-1013-R5-CL01, tab Shipvia
2. Type a 271-character ERP shipvia code and pick UPS Ground
3. Click Add alias</t>
  </si>
  <si>
    <t>Code QA1013R5LONGCODEAAAA...END (271 characters); nothing was saved</t>
  </si>
  <si>
    <t>The input stops at the allowed length (maxlength 40), or the message reads in plain words on the field, e.g. 'ERP code can be at most 40 characters.'</t>
  </si>
  <si>
    <t>The request goes to the server and comes back 400; the toast reads 'Check the form for errors - Erp code size must be between 0 and 40.' - the framework's message with the field name as 'Erp code' and a lower bound of 0 that means nothing to a user. The input has no maxlength, so nothing warns while typing.</t>
  </si>
  <si>
    <t>POST /api/v1/clients/QA-1013-R5-CL01/code-maps/shipvia -&gt; 400 'Erp code size must be between 0 and 40.'</t>
  </si>
  <si>
    <t>BUG-094.jpg, BUG-094-R7.png</t>
  </si>
  <si>
    <t>2026-10-14 R6 (build local dev, 2026-10-14 (order-form modules reloaded 13:17 IST)): still-failing - R6: unchanged. A 270-character ERP shipvia code (THB000, UPS Ground) goes to the server and comes back 400 'Check the form for errors - Erp code size must be between 0 and 40.'; the input still has no maxlength. Nothing was created.
2026-10-16 R7 (build local dev, 2026-10-16): fixed - R7: all four Code Maps tabs (Shipvia, Service code, Destination country, Package) now give the ERP code input maxlength 40. A 59-character string typed into the Shipvia ERP code field stops at 40 characters, so the raw 'Erp code size must be between 0 and 40.' 400 can no longer be reached from the keyboard.</t>
  </si>
  <si>
    <t>Fixed on dev (6754690c): Code Maps ERP code input gains maxLength=40.</t>
  </si>
  <si>
    <t>BUG-095</t>
  </si>
  <si>
    <t>Carrier Limits</t>
  </si>
  <si>
    <t>New row (form, validation, create)</t>
  </si>
  <si>
    <t>Carrier Limits: New row accepts a carrier code that matches no carrier ('qa1013r5' saved as QA1013R5), so a typo creates a limit that never applies</t>
  </si>
  <si>
    <t>1. Open Settings &gt; Carrier Limits (/settings/carrier-limits) and click + New row
2. Type qa1013r5 in Carrier code, QA_R5_SVC in Service code, Scope DOMESTIC, Max packages 5, Max total weight 100
3. Click Create</t>
  </si>
  <si>
    <t>QA limit row id 13 (QA1013R5 / QA_R5_SVC / DOMESTIC), edited, deactivated and deleted afterwards</t>
  </si>
  <si>
    <t>Carrier code is picked from, or checked against, the carriers the platform knows (UPS, FEDEX, USPS, STAMPS, DHL ...), so 'FEDX' or 'UPSS' is refused instead of being stored as a rule nothing will ever match.</t>
  </si>
  <si>
    <t>'Done - Created QA1013R5/QA_R5_SVC.' The code is upper-cased and stored; the row is listed as Active beside the real FEDEX and UPS rows. Carrier code is a free-text box (maxlength 32) with no list, and the service code is not checked either.</t>
  </si>
  <si>
    <t>POST /api/v1/admin/carrier-shipping-limits -&gt; 200; PUT .../13 -&gt; 200; PATCH .../13/active -&gt; 200; DELETE .../13 -&gt; 200</t>
  </si>
  <si>
    <t>http://localhost:5173/settings/carrier-limits</t>
  </si>
  <si>
    <t>BUG-095.jpg, BUG-095-R7.jpg</t>
  </si>
  <si>
    <t>S045</t>
  </si>
  <si>
    <t>2026-10-14 R6 (build local dev, 2026-10-14 (order-form modules reloaded 13:17 IST)): still-failing - R6: unchanged. + New row with Carrier code qa1014r6, Service QA_R6_SVC, DOMESTIC, 5 packages, 100 lb -&gt; POST /api/v1/admin/carrier-shipping-limits 201 'Row created.', toast 'Done - Created QA1014R6/QA_R6_SVC.', listed as Active beside the real rows. The carrier code is still a free-text box with no list or check.
2026-10-16 R7 (build local dev, 2026-10-16): fixed - R7: Settings &gt; Carrier Limits &gt; + New row with carrier code qa1016r7 is now refused in the dialog: 'Unknown carrier code qa1016r7. Known: UPS, FEDEX, USPS, DHL, STAMPS_COM, USPS_DIRECT.' (the six codes on Settings &gt; Carriers (platform)); no row was created. A valid code (ups) is accepted and stored in capitals. Side effect filed as BUG-155: the seeded STAMPS row now cannot be saved because STAMPS is not in the list.</t>
  </si>
  <si>
    <t>Fixed on dev (6754690c): Carrier Limits form rejects unknown carrier codes (allowlist).</t>
  </si>
  <si>
    <t>BUG-096</t>
  </si>
  <si>
    <t>Carrier Limits: 'Effective until' accepts a date already in the past and the row is still listed as Active</t>
  </si>
  <si>
    <t>1. Open Settings &gt; Carrier Limits and click + New row
2. Fill a valid row (QA1013R5 / QA_R5_SVC / DOMESTIC / 5 packages / 100 lb) and set Effective until to 01-01-2020 00:00
3. Click Create, then read the Status column and reopen the row with Edit</t>
  </si>
  <si>
    <t>QA limit row id 13, deleted afterwards</t>
  </si>
  <si>
    <t>Either a past 'Effective until' is refused ('must be in the future'), or the row shows that it has expired (Status 'Expired' / not Active), since the resolver should no longer use it.</t>
  </si>
  <si>
    <t>The row is created with Effective until 01-01-2020 00:00 (Edit shows it saved) and the grid shows a green 'Active' tick for it. The grid has no column for the effective date, so nothing on the list reveals that the rule is out of date.</t>
  </si>
  <si>
    <t>POST /api/v1/admin/carrier-shipping-limits -&gt; 200 with effective until 2020-01-01T00:00; Edit carrier limit dialog re-reads 2020-01-01T00:00; Status cell 'Active'.</t>
  </si>
  <si>
    <t>BUG-096.jpg, BUG-096-2.jpg, BUG-096-R7.jpg</t>
  </si>
  <si>
    <t>2026-10-14 R6 (build local dev, 2026-10-14 (order-form modules reloaded 13:17 IST)): still-failing - R6: unchanged. The same row with Effective until 01-01-2020 00:00 was saved with effectiveUntil 2020-01-01T00:00:00 - before its own effectiveFrom of 2026-10-14T14:18:43 - and active true; the grid shows it with a green 'Active' and has no column for the effective dates. The row was deleted afterwards through the in-app 'Delete carrier limit' confirmation (DELETE -&gt; 204).
2026-10-16 R7 (build local dev, 2026-10-16): fixed - R7: a past 'Effective until' (01-01-2020 00:00) is refused with 'Effective until must be a future date.' both on + New row and on Edit of an existing row (UPS / QA_R7_SVC); no request is sent, so the check is in the form only - a direct API call could not be tried because a bare POST from the page without the app's own headers returns 403.</t>
  </si>
  <si>
    <t>Fixed on dev (6754690c): Effective-until refuses past date on the FE.</t>
  </si>
  <si>
    <t>BUG-097</t>
  </si>
  <si>
    <t>Limits grid (Carrier, Service, Scope, Direction, Max pkgs, Max commodities, Max weight, Free declared $, Status, Notes)</t>
  </si>
  <si>
    <t>FedEx Pak max weight differs between screens: Carrier Limits says 5 lb, the Shipping Catalog package says 3 lb - which one applies?</t>
  </si>
  <si>
    <t>1. Open Settings &gt; Carrier Limits and read the FEDEX / FEDEX_PAK row
2. Open Settings &gt; Shipping Catalog &gt; Packages and read the FedEx Pak card</t>
  </si>
  <si>
    <t>Existing data; nothing changed</t>
  </si>
  <si>
    <t>One figure for the same FedEx packaging, or a note explaining that the two numbers mean different things.</t>
  </si>
  <si>
    <t>Carrier Limits: FEDEX_PAK, max weight 5 lb, note 'FedEx Pak: single-piece service, 5 lb max.' Shipping Catalog: FedEx Pak (FEDEX_PAK), 15.5 x 12 x 1.5 in, MAX WEIGHT 3 lb. A 4 lb parcel passes the limit rule but exceeds the package's own max weight used by the box auto-pick. Which value is meant to be authoritative?</t>
  </si>
  <si>
    <t>Carrier Limits row: FEDEX | FEDEX_PAK | BOTH | any | 1 | 999 | 5 | 100 | Active. Shipping Catalog card: FedEx Pak, MAX WEIGHT 3 lb, DIM WEIGHT 2.76 lb.</t>
  </si>
  <si>
    <t>Settings &gt; Carriers &amp; Services &gt; Shipping Catalog</t>
  </si>
  <si>
    <t>2026-10-14 R6 (build local dev, 2026-10-14 (order-form modules reloaded 13:17 IST)): still-failing - R6: unchanged. Carrier Limits FEDEX / FEDEX_PAK still has max weight 5 lb ('FedEx Pak: single-piece service, 5 lb max.'), while the Shipping Catalog package FedEx Pak (and UPS Express Pak) still has maxWeight 3 lb.
2026-10-16 R7 (build local dev, 2026-10-16): still-failing - R7 (deferred, product decision still open): unchanged. Carrier Limits FEDEX / FEDEX_PAK still reads max weight 5 lb ('FedEx Pak: single-piece service, 5 lb max.') while GET /api/v1/package-presets still returns FedEx Pak and UPS Express Pak with maxWeight 3. Waiting for the product owner to name the authoritative figure.</t>
  </si>
  <si>
    <t>Deferred to next round: FedEx Pak max weight 5 lb vs 3 lb across screens. Needs product + data decision on authoritative value.</t>
  </si>
  <si>
    <t>BUG-098</t>
  </si>
  <si>
    <t>Holiday add row (date, name, Add)</t>
  </si>
  <si>
    <t>Cutoffs &amp; Holidays: adding a second holiday on a date already in the list fails with a server 500 instead of a 'date already listed' message</t>
  </si>
  <si>
    <t>1. Open Settings &gt; Cutoffs &amp; Holidays (/settings/cutoffs) and scroll to Global holiday list
2. Add 27-11-2026 'QA-1013-R5 Test Holiday' with + Add ('Holiday added.')
3. Add 27-11-2026 again with the name 'QA-1013-R5 Duplicate' and click + Add</t>
  </si>
  <si>
    <t>QA holiday 2026-11-27 'QA-1013-R5 Test Holiday &lt;i&gt;x&lt;/i&gt;', removed afterwards</t>
  </si>
  <si>
    <t>The duplicate is refused with a message on the row, for example '27-11-2026 is already a holiday (QA-1013-R5 Test Holiday).', or the form offers to rename the existing entry.</t>
  </si>
  <si>
    <t>POST /api/v1/admin/cutoffs/holidays -&gt; 500 and a red toast: 'Something went wrong - Something went wrong on the server. Please try again in a moment. If this keeps happening, contact support with reference c8218b5f.' followed by a raw second line 'request - Reference c8218b5f - details in server logs.' The user is told to retry, which can only fail again; the list is unchanged. Settings &gt; Templates has the same gap: a second template for the same client and document type (QA-1013-R5-CL01 / Packing slip) gives POST /api/v1/label-templates -&gt; 500, reference 5f83551b, although the editor itself says 'unique per pair'. Settings &gt; Custom Fields: a second definition with an existing key (QAField!) gives POST /api/v1/custom-fields -&gt; 500, reference 449ceb53, and the dialog closes as if it had worked.</t>
  </si>
  <si>
    <t>POST /api/v1/admin/cutoffs/holidays -&gt; 200 (first, 2026-11-27); POST /api/v1/admin/cutoffs/holidays -&gt; 500 (same date), reference c8218b5f. Looks like an unhandled unique-constraint error - the same pattern as BUG-077 and BUG-083.</t>
  </si>
  <si>
    <t>BUG-098.jpg, BUG-098-2.jpg, BUG-098-R7-templates.jpg, BUG-098-R7.jpg</t>
  </si>
  <si>
    <t>Settings &gt; Labels &amp; Documents &gt; Templates; Settings &gt; Labels &amp; Documents &gt; Custom Fields</t>
  </si>
  <si>
    <t>2026-10-14 R6 (build local dev, 2026-10-14 (order-form modules reloaded 13:17 IST)): still-failing - R6: unchanged. 27-11-2026 'QA-1014-R6 Test Holiday' -&gt; 'Holiday added.'; the same date again as 'QA-1014-R6 Duplicate' -&gt; POST /api/v1/admin/cutoffs/holidays 500 and the red toast 'Something went wrong - Something went wrong on the server. Please try again in a moment... reference a34a5ff0.' with the raw second line 'request - Reference a34a5ff0 - details in server logs.' The QA holiday was deleted afterwards through 'Delete holiday?'.
2026-10-16 R7 (build local dev, 2026-10-16): fixed - R7: no more 500s on the three duplicate cases. Cutoffs &amp; Holidays: 27-11-2026 added as 'QA-1016 Test Holiday' (200), then the same date as 'QA-1016 Duplicate' -&gt; POST /api/v1/admin/cutoffs/holidays 400 and the toast 'Check the form for errors - Holiday for 2026-11-27 already exists.' (names the date; list unchanged). Templates: a second template for the same client and document type -&gt; POST /api/v1/label-templates 400 and 'That value is already used elsewhere.' Custom Fields: a second definition with the existing key qa_field -&gt; POST /api/v1/custom-fields 400, the same toast 'Check the form for errors - That value is already used elsewhere.', and the dialog stays open instead of closing as if it had worked. Residual (not a new bug): the Templates and Custom Fields wording is generic and does not say which field clashes. QA holiday, templates and fields were all deleted afterwards.</t>
  </si>
  <si>
    <t>Fixed on dev (9681f4ff): IllegalArgumentException now maps to 400 so duplicate holiday says what it is instead of 500.</t>
  </si>
  <si>
    <t>BUG-099</t>
  </si>
  <si>
    <t>Cutoff rules: add row (source, carrier, warehouse, cutoff, timezone, Add)</t>
  </si>
  <si>
    <t>Cutoff rules: a warehouse number that does not exist (999) makes + Add fail with a server 500 instead of a field message</t>
  </si>
  <si>
    <t>1. Open Settings &gt; Cutoffs &amp; Holidays (/settings/cutoffs)
2. In the 'new' row of Cutoff rules pick Source MANUAL and Carrier DHL, type 999 in Warehouse and America/Chicago in Timezone
3. Click + Add</t>
  </si>
  <si>
    <t>Warehouse 999 (no such warehouse; the existing rules use 1); nothing was saved</t>
  </si>
  <si>
    <t>The warehouse is picked from the real warehouses, or an unknown number is refused with 'No warehouse 999'.</t>
  </si>
  <si>
    <t>POST /api/v1/admin/cutoffs/rules -&gt; 500 and the generic toast 'Something went wrong on the server. Please try again in a moment... reference 86eeb6bf.' with the raw extra line 'request - Reference ... - details in server logs.' Nothing tells the user that the warehouse number is the problem.</t>
  </si>
  <si>
    <t>POST /api/v1/admin/cutoffs/rules -&gt; 500 (references 52e15b87 and 86eeb6bf, with and without a valid timezone). Same unhandled-constraint pattern as BUG-077, BUG-083 and BUG-098.</t>
  </si>
  <si>
    <t>BUG-099.jpg</t>
  </si>
  <si>
    <t>2026-10-14 R6 (build local dev, 2026-10-14 (order-form modules reloaded 13:17 IST)): still-failing - R6: half fixed. Warehouse 999 no longer causes a 500: POST /api/v1/admin/cutoffs/rules -&gt; 400 'This references something that doesn't exist.' and the toast 'Check the form for errors - This references something that doesn't exist.' But the message still does not say that the warehouse is the problem, and no field is marked - the user is left to guess which of five fields 'something' is.
2026-10-16 R7 (build local dev, 2026-10-16): fixed - R7: the add row's Warehouse is now a drop-down of warehouse codes (any, 3PL-EAST, QA-1016-WH01), so 999 can no longer be typed. A direct POST /api/v1/admin/cutoffs/rules with warehouseId 999 (sent from the page with the app's X-XSRF-TOKEN header) is refused with 400 VALIDATION_ERROR "warehouseId 999 doesn't match any warehouse." - the message now names the field instead of 'something'.</t>
  </si>
  <si>
    <t>Fixed on dev (9681f4ff): Field marking still TODO but 500 is now 400 "references something that doesn't exist".
R6+1 (2207535b, 2026-10-15): CutoffAdminController pre-validates warehouseId FK + throws IAE naming the field.</t>
  </si>
  <si>
    <t>BUG-100</t>
  </si>
  <si>
    <t>Cutoff rules: any text is accepted as the rule's timezone - 'Mars/Olympus' was saved and listed as an active rule</t>
  </si>
  <si>
    <t>1. Open Settings &gt; Cutoffs &amp; Holidays (/settings/cutoffs)
2. In the 'new' row pick Source MANUAL, Carrier DHL, leave Warehouse blank (any), type Mars/Olympus in Timezone
3. Click + Add</t>
  </si>
  <si>
    <t>QA rule #20 MANUAL / DHL / any / 20:00 / Mars/Olympus, deleted straight afterwards</t>
  </si>
  <si>
    <t>Timezone is chosen from the IANA list (the client wizard already has an IANA search for its timezone) or checked on save, so a typo such as 'America/New_Yrok' is refused before any shipment is evaluated against it.</t>
  </si>
  <si>
    <t>'Done - Rule added.' and the list shows '20 MANUAL DHL any 20:00:00 Mars/Olympus active'. The cutoff logic converts each shipment's time into this zone; with a zone that does not exist it can only fail or fall back silently for every shipment the rule matches. Not exercised further: DHL is disabled on Carriers (platform), so no shipment could reach the rule.</t>
  </si>
  <si>
    <t>POST /api/v1/admin/cutoffs/rules -&gt; 200 with timezone 'Mars/Olympus'; GET .../rules lists it as active; DELETE /api/v1/admin/cutoffs/rules/20 -&gt; 200 afterwards.</t>
  </si>
  <si>
    <t>2026-10-14 R6 (build local dev, 2026-10-14 (order-form modules reloaded 13:17 IST)): fixed - R6: an unknown time zone is no longer stored. The Timezone box is now a search list of IANA zones (America/Chicago shows 'UTC-05:00'; Mars/Olympus shows 'No timezone matches'), and the rule is only saved with a zone picked from that list (rule #24 America/Chicago). But a zone that is typed and not picked - invalid or valid - is now silently replaced by the client's time zone ('Done - Rule added.', timezone null): logged as BUG-146.</t>
  </si>
  <si>
    <t>BUG-101</t>
  </si>
  <si>
    <t>Cutoff rules grid (Source, Carrier, Warehouse, Cutoff, Timezone, Active)</t>
  </si>
  <si>
    <t>Cutoff rules show and ask for the warehouse as an internal number ('1') instead of its code, so the user cannot tell which warehouse a rule covers</t>
  </si>
  <si>
    <t>1. Open Settings &gt; Cutoffs &amp; Holidays (/settings/cutoffs)
2. Read the Warehouse column of rules 3-17
3. Look at the Warehouse field of the 'new' row</t>
  </si>
  <si>
    <t>Existing rules; warehouses on file: 3PL-EAST and QA-1013-R5-WH01</t>
  </si>
  <si>
    <t>Rules name the warehouse by its code (3PL-EAST), and the new-rule row offers a warehouse picker, as Code Maps does with 'Any origin warehouse'.</t>
  </si>
  <si>
    <t>Fifteen rules read 'Warehouse 1' and the delete confirmation repeats 'Warehouse: 1'. The add row is a number box with the placeholder 'any', so creating a rule means knowing the database id of a warehouse; nothing on Settings &gt; Warehouses shows those ids.</t>
  </si>
  <si>
    <t>New-row Warehouse input: type=number, placeholder 'any'.</t>
  </si>
  <si>
    <t>BUG-101-R7.png</t>
  </si>
  <si>
    <t>2026-10-14 R6 (build local dev, 2026-10-14 (order-form modules reloaded 13:17 IST)): still-failing - R6: unchanged. Rules 3-17 still read Warehouse '1', the delete confirmation says 'Warehouse: 1' (or 'any'), and the add row's Warehouse is a number box with the placeholder 'any'.
2026-10-16 R7 (build local dev, 2026-10-16): fixed - R7: the Warehouse column reads 3PL-EAST for rules 3-17 (not 'Warehouse 1'), the add row's Warehouse is a drop-down of codes, a rule created for QA-1016-WH01 is sent with warehouseId 7 and listed by its code, and the delete confirmation reads 'Source: API - Carrier: DHL - Warehouse: QA-1016-WH01'.</t>
  </si>
  <si>
    <t>Fixed on dev (a8af5b2a): Cutoff rules grid shows warehouse code (loaded warehouses map); add-row swaps number input for dropdown.</t>
  </si>
  <si>
    <t>BUG-102</t>
  </si>
  <si>
    <t>Holiday list grid (Date, Name, Active)</t>
  </si>
  <si>
    <t>Holiday list is seeded with Christmas Eve (Dec 24) but not Christmas Day (Dec 25) - is Dec 25 meant to be a working day?</t>
  </si>
  <si>
    <t>1. Open Settings &gt; Cutoffs &amp; Holidays and read the Global holiday list and its description</t>
  </si>
  <si>
    <t>Seeded rows: 2026-01-01, 2026-12-24, 2027-01-01, 2027-12-24</t>
  </si>
  <si>
    <t>The non-working days match the carriers' calendars. UPS, FedEx and USPS do not pick up on Christmas Day; Christmas Eve is normally a working (often shortened) day.</t>
  </si>
  <si>
    <t>The list holds New Year's Day and Christmas Eve for 2026 and 2027 and no December 25, and the description confirms it: 'Seeded with Dec 24 + Jan 1 for the current + next year on migration'. With this calendar a shipment created after cutoff on Dec 23 rolls past Dec 24 to Dec 25, a day the carriers are closed. Was Dec 24 meant to be Dec 25, or should both be listed?</t>
  </si>
  <si>
    <t>Global holiday list: 2026-01-01 New Year's Day; 2026-12-24 Christmas Eve; 2027-01-01 New Year's Day (next year); 2027-12-24 Christmas Eve (next year).</t>
  </si>
  <si>
    <t>2026-10-14 R6 (build local dev, 2026-10-14 (order-form modules reloaded 13:17 IST)): still-failing - R6: unchanged. The Global holiday list holds 2026-01-01, 2026-12-24, 2027-01-01 and 2027-12-24 - Christmas Eve, no Christmas Day - and the description still reads 'Seeded with Dec 24 + Jan 1 for the current + next year on migration'.
2026-10-16 R7 (build local dev, 2026-10-16): fixed - R7: the Global holiday list now holds 2026-12-25 Christmas Day and 2027-12-25 Christmas Day beside the Dec 24 and Jan 1 rows (V159). Neighbouring wording filed as BUG-156: the panel claims 'the common US holidays' but each year holds only three dates, and the 2027 names carry '(next year)'.</t>
  </si>
  <si>
    <t>Fixed on dev (V159 cb9e4ed5): V159 seeds Dec 25 Christmas Day for current + next year.</t>
  </si>
  <si>
    <t>BUG-103</t>
  </si>
  <si>
    <t>Schedule a pickup form (carrier, client, date, service, window, address, parcels, instructions)</t>
  </si>
  <si>
    <t>Schedule a pickup: a window that ends before it starts, a past date, 0 packages and a phone 'abc' are all sent to the server unchecked</t>
  </si>
  <si>
    <t>1. Open Settings &gt; Pickups &amp; End-of-Day (/settings/pickups)
2. In Schedule a pickup fill Contact name, Contact phone 'abc', Address line 1, City, Postal 'ZZZZZ'
3. Set Window from 17:00 and Window to 09:00, Pickup date 01-10-2026 and Packages 0
4. Click Schedule pickup</t>
  </si>
  <si>
    <t>Carrier FEDEX, service GROUND, QA contact 'QA-1013-R5 Contact', 1 QA Way, Chicago. Every write from the page was blocked in the browser, so no pickup was booked.</t>
  </si>
  <si>
    <t>The form refuses what cannot be a valid pickup before contacting the carrier: the window end must be after its start, the date today or later, at least 1 package, a phone with digits and a postal code in the country's format - each with a message on the field.</t>
  </si>
  <si>
    <t>With the empty form the page does check ('Missing fields - Contact, phone, address, city and postal code are required.'), but with those filled it sends POST /api/v1/pickups straight away despite the reversed window, past date, zero packages, 'abc' phone and 'ZZZZZ' postal code. Whether the server or the carrier then refuses it was not exercised, since booking a carrier pickup was outside the agreed scope.</t>
  </si>
  <si>
    <t>Blocked in the page: POST /api/v1/pickups (window 17:00-09:00, date 2026-10-01, packages 0, phone 'abc', postal 'ZZZZZ').</t>
  </si>
  <si>
    <t>BUG-103.jpg, BUG-103-R7.jpg</t>
  </si>
  <si>
    <t>2026-10-14 R6 (build local dev, 2026-10-14 (order-form modules reloaded 13:17 IST)): still-failing - R6: unchanged. With Contact phone 'abc', Postal 'ZZZZZ', State empty, Window from 17:00 / to 09:00, Pickup date 01-10-2026 and Packages 0, Schedule pickup sends POST /api/v1/pickups at once (blocked in the page, nothing booked) with pickupDate 2026-10-01, pickupWindowStart 17:00, pickupWindowEnd 09:00, contactPhone 'abc', postalCode 'ZZZZZ', state ''. No field is marked and no message appears before the request. Packages 0 goes out as packageCount 1 while the box still shows 0 - silently replaced rather than refused. The date box has no minimum (min not set).
2026-10-16 R7 (build local dev, 2026-10-16): fixed - R7: with phone 'abc', Postal 'ZZZZZ', Pickup date 01-10-2026, Window 17:00 to 09:00 and Packages 0 (writes blocked in the page), Schedule pickup sends nothing and shows a red list under the button: 'Enter a valid phone (digits, spaces, +, -, (), . only).', 'Postal code doesn't match the US format.', 'Pickup date cannot be in the past.', 'Window end must be after window start.', 'Package count must be a whole number of 1 or more.' Residuals: the messages are one list under the button, no field is marked; State left empty is not checked (filed as BUG-157).</t>
  </si>
  <si>
    <t>Fixed on dev (a8af5b2a): PickupsEodPage.runPickup rejects past date, inverted times, &lt;3-digit phone, bad postal, 0 packages BEFORE POST /pickups.</t>
  </si>
  <si>
    <t>BUG-104</t>
  </si>
  <si>
    <t>Importer / Broker</t>
  </si>
  <si>
    <t>Add profile (client, destinations, importer of record, tax identity, broker, customs defaults)</t>
  </si>
  <si>
    <t>Importer / Broker: the Canadian 'Business Number + RM account' accepts any text - 'ABC' was saved although the field shows the 123456789RM0001 format</t>
  </si>
  <si>
    <t>1. Open Settings &gt; Importer / Broker (/settings/importer-broker) and click + Add profile
2. Pick client QA-1013-R5-CL01, region North America, destination Canada
3. Fill Importer name, Address (1), Country CA, City Toronto, State ON, Post code M5V 2T6
4. Type ABC in Business Number + RM account and click Create profile</t>
  </si>
  <si>
    <t>QA profile for QA-1013-R5-CL01 -&gt; CA (customs profile id 1), later corrected to 123456789RM0001 and deleted</t>
  </si>
  <si>
    <t>The tax identity is checked against the territory's format - for Canada nine digits, 'RM' and four digits - and refused with a message under the field, since the carrier and CBSA reject a malformed BN at the border.</t>
  </si>
  <si>
    <t>POST /api/v1/clients/QA-1013-R5-CL01/customs-profiles -&gt; 200; Edit profile shows Business Number + RM account = 'ABC'. The other required fields are checked in the page ('Name is required.', 'City is required.', 'Select at least one destination country.'), and the name refuses &lt; and &gt;, but the identifier is not checked at all.</t>
  </si>
  <si>
    <t>POST /api/v1/clients/QA-1013-R5-CL01/customs-profiles -&gt; 200 with BN 'ABC'; PUT .../customs-profiles/1 -&gt; 200 after correcting it.</t>
  </si>
  <si>
    <t>http://localhost:5173/settings/importer-broker</t>
  </si>
  <si>
    <t>BUG-104.jpg, BUG-104-R7.png</t>
  </si>
  <si>
    <t>S049</t>
  </si>
  <si>
    <t>2026-10-14 R6 (build local dev, 2026-10-14 (order-form modules reloaded 13:17 IST)): still-failing - R6: unchanged. New profile for THB000 -&gt; Canada with Business Number + RM account 'ABC': the page sends it unchecked (importerTaxId 'ABC', importerTaxIdType BN) and POST /api/v1/clients/THB000/customs-profiles -&gt; 200 'Importer/Broker profile for THB000 saved (1 destination).' (profile id 2). No message under the field. The QA profile was deleted two minutes later through Delete profile; its create and delete left no entry in Logs either (entity type CUSTOMS_PROFILE: 0 entries, see BUG-128).
2026-10-16 R7 (build local dev, 2026-10-16): still-failing - R7: half fixed. New profile for QA-1016-CL01 -&gt; Canada, Business Number + RM account typed as 'ABC': on leaving the field the page now shows a red message 'Format: 9 digits + RM + 4 digits (e.g. 123456789RM0001).' - but Create profile is not blocked. POST /api/v1/clients/QA-1016-CL01/customs-profiles with importerTaxId 'ABC' and importerTaxIdType 'BN' -&gt; 200 'Importer/Broker profile for QA-1016-CL01 saved (1 destination).' (profile id 3). The message is advice only; the malformed BN is still saved and would reach CBSA/the carrier. The QA profile was deleted afterwards (DELETE .../customs-profiles/3 -&gt; 200).</t>
  </si>
  <si>
    <t>Fixed on dev (cb9e4ed5): Canadian BN+RM pattern enforced in CustomsProfileModal.</t>
  </si>
  <si>
    <t>BUG-105</t>
  </si>
  <si>
    <t>Search client, country, importer, broker</t>
  </si>
  <si>
    <t>Importer / Broker search does not find a profile by its importer name, although the box says 'Search client, country, importer, broker'</t>
  </si>
  <si>
    <t>1. Open Settings &gt; Importer / Broker with one profile: client QA-1013-R5-CL01, destination CA, importer 'QA-1013-R5 Importer &amp; Sons "Q" é'
2. Type importer in the search box
3. Then type QA-1013, then canada</t>
  </si>
  <si>
    <t>QA customs profile (deleted afterwards)</t>
  </si>
  <si>
    <t>'importer' finds the profile by its importer name, as the placeholder promises; a country name such as 'canada' finds it too, or the placeholder says codes only.</t>
  </si>
  <si>
    <t>'importer' -&gt; 'Showing 0 of 0 profiles - No profiles match your filters.' 'canada' and 'toronto' -&gt; 0 as well. 'QA-1013' (client code) and 'CA' (country code) find it. The search is sent to the server (GET /api/v1/customs-profiles?...&amp;search=importer -&gt; 200, no rows), so the importer name is simply not among the searched fields.</t>
  </si>
  <si>
    <t>GET /api/v1/customs-profiles?page=0&amp;size=25&amp;search=importer&amp;sortBy=client&amp;sortDirection=ASC -&gt; 200, 0 rows; ...&amp;search=QA-1013 -&gt; 1 row.</t>
  </si>
  <si>
    <t>2026-10-14 R6 (build local dev, 2026-10-14 (order-form modules reloaded 13:17 IST)): still-failing - R6: half fixed. With the QA profile (THB000 -&gt; CA, importer 'QA-1014-R6 Importer &amp; Sons "Q" é', Toronto): 'importer' and 'Sons' now find it (Showing 1 of 1), as do 'THB' and 'CA'. But a country name still finds nothing although the box promises 'country': 'canada' -&gt; 'Showing 0 of 0 profiles' (search=canada sent to the server); 'toronto' -&gt; 0 as well.
2026-10-16 R7 (build local dev, 2026-10-16): fixed - R7: with the QA profile (QA-1016-CL01 -&gt; CA, importer 'QA-1016 Importer &amp; Sons', Toronto) the search now finds it by importer name ('importer' -&gt; Showing 1 of 1 profile) and by country name ('canada' -&gt; Showing 1 of 1 profile), as well as by client and country code. 'toronto' (city) finds nothing, but the placeholder only promises 'client, country, importer, broker', so it is not a defect of this bug.</t>
  </si>
  <si>
    <t>Deferred to next round: Importer search by country name/city; backend search needs expand.
R6+1 (2026-10-15): Already on HEAD — ClientCustomsProfileServiceImpl.matchesSearch appends full country name to the needle so 'canada' / 'mexico' etc. hit.</t>
  </si>
  <si>
    <t>BUG-106</t>
  </si>
  <si>
    <t>Importer / Broker: messages read '(1 destinations)' - the save toast and the delete confirmation do not handle the singular</t>
  </si>
  <si>
    <t>1. Create or edit a profile with one destination and save it
2. Open the row menu and click Delete</t>
  </si>
  <si>
    <t>QA profile for QA-1013-R5-CL01 -&gt; CA</t>
  </si>
  <si>
    <t>'saved (1 destination)' and 'profile (1 destination)?'</t>
  </si>
  <si>
    <t>Save: 'Done - Importer/Broker for QA-1013-R5-CL01 saved (1 destinations).' Delete: 'Delete this QA-1013-R5-CL01 importer/broker profile (1 destinations)?' Returns Analytics reads '1 returns' with the 4-week window.</t>
  </si>
  <si>
    <t>Toast and in-app confirmation text quoted above.</t>
  </si>
  <si>
    <t>BUG-106.jpg, BUG-106-R7.jpg</t>
  </si>
  <si>
    <t>Settings &gt; Activity &amp; Logs &gt; Returns Analytics</t>
  </si>
  <si>
    <t>2026-10-14 R6 (build local dev, 2026-10-14 (order-form modules reloaded 13:17 IST)): still-failing - R6: fixed on Importer / Broker - the save toast reads 'Importer/Broker for THB000 saved (1 destination).' and the delete question 'Delete this THB000 importer/broker profile (1 destination)?', and the grid says '1 country'. Still on Returns Analytics, which this bug lists: Last 4 weeks reads '1 returns'.
2026-10-16 R7 (build local dev, 2026-10-16): fixed - R7: Importer / Broker was already fixed in R6 ('saved (1 destination)', 'profile (1 destination)?', '1 country'). Returns Analytics now builds its header from a singular/plural switch: Last 12 weeks reads '14 returns' and Last 4 weeks reads '3 returns' (the served ReturnsAnalyticsPage source reads grandTotal === 1 ? 'return' : 'returns'). The singular branch itself could not be shown on screen because the 4-week window now holds 3 returns (two of them are the sandbox return labels this run bought), so that half is confirmed from the code rather than from a live '1 return'.</t>
  </si>
  <si>
    <t>Fixed on dev (cb9e4ed5): Returns Analytics header pluralises "returns" correctly.</t>
  </si>
  <si>
    <t>BUG-107</t>
  </si>
  <si>
    <t>Labels &amp; Documents</t>
  </si>
  <si>
    <t>Templates</t>
  </si>
  <si>
    <t>Add template: logo upload</t>
  </si>
  <si>
    <t>Templates: the logo field says 'PNG or JPEG' but accepts and stores an SVG file (data:image/svg+xml) - neither the page nor the server checks the file type</t>
  </si>
  <si>
    <t>1. Open Settings &gt; Templates (/settings/templates) and click + Add template
2. Set Applies to = QA-1013-R5-CL01, Document type = Packing slip
3. Drop an SVG file on the logo tile (in this test the file was attached to the tile's file input directly, which is what a drop does; the picker's PNG/JPEG filter only applies when browsing)
4. Click Save template</t>
  </si>
  <si>
    <t>Harmless test file qa-1013-r5-logo.svg (a 10 x 10 red square, no script); QA template #1, deleted afterwards</t>
  </si>
  <si>
    <t>Only PNG and JPEG are accepted, as the tile says, checked on the file's actual type in the page and again on the server; anything else is refused with a message.</t>
  </si>
  <si>
    <t>The tile shows 'Logo added' and the live preview draws the SVG. POST /api/v1/label-templates -&gt; 200 and GET /api/v1/label-templates/1 returns logoBase64 'data:image/svg+xml;base64,...'. SVG is a script-capable format, so a crafted file would be stored and later handed to whatever renders packing slips, invoices and return covers. Whether the PDF renderer executes SVG content was not exercised (the QA client has no orders to render). Size is checked: a 352 KB PNG is refused with 'Logo must be under 200 KB.' A plain-text file named qa-1013-r5-not-image.png is accepted the same way: 'Logo added' with a broken image in the tile and the preview, so the content of the file is not looked at either.</t>
  </si>
  <si>
    <t>Upload input accept='image/png,image/jpeg' only; POST /api/v1/label-templates -&gt; 200; stored logoBase64 starts with data:image/svg+xml.</t>
  </si>
  <si>
    <t>http://localhost:5173/settings/templates</t>
  </si>
  <si>
    <t>BUG-107.jpg, BUG-107-R7-server.jpg, BUG-107-R7.jpg</t>
  </si>
  <si>
    <t>S053</t>
  </si>
  <si>
    <t>2026-10-14 R6 (build local dev, 2026-10-14 (order-form modules reloaded 13:17 IST)): still-failing - R6: half fixed. An SVG logo is now refused in the page: 'Not a supported logo - Logo must be a PNG or JPEG. SVG and other formats are not supported.' But the file's content is still not looked at: a plain-text file named qa-1014-r6-not-image.png is accepted ('Logo added', broken preview), and Save template sends it as logoBase64 'data:image/png;base64,...' of the text. Save was blocked in the page, so the server side was not exercised.
2026-10-16 R7 (build local dev, 2026-10-16): still-failing - R7: half fixed again - the page is strict, the server is not. In the editor an SVG is refused ('Not a supported logo - Logo must be a PNG or JPEG. SVG and other formats are not supported.'), a text file named qa-1016-r7-not-image.png is refused ('The file bytes aren't a PNG or JPEG. Try a real image.') and a real 60 x 30 PNG is accepted, saved (POST /api/v1/label-templates 201, template 4) and drawn in the preview. But a POST /api/v1/label-templates sent from the page with the app's X-XSRF-TOKEN and logoBase64 'data:image/svg+xml;base64,...' (COMMERCIAL_INVOICE, template 5) and another with 'data:image/png;base64,' plus the bytes of a plain-text file (RETURN_COVER, template 6) were both stored - 201 'Template saved' and the list shows Logo 'Yes' for both. Anything that skips the page can still store an SVG or a non-image as a logo. All three QA templates were deleted.</t>
  </si>
  <si>
    <t>Deferred to next round: Logo content magic-byte check; current fix is MIME-level only.
R6+1 (2026-10-15): Already on HEAD — LabelTemplateEditorPage.chooseLogo verifies PNG/JPEG magic bytes after the MIME check.</t>
  </si>
  <si>
    <t>BUG-108</t>
  </si>
  <si>
    <t>Add template: primary colour (picker, hex, swatches)</t>
  </si>
  <si>
    <t>Templates: the Hex colour box accepts any text - 'zzz' is saved as the template's primary colour and the list shows it as a white swatch</t>
  </si>
  <si>
    <t>1. Open Settings &gt; Templates and click + Add template (Applies to QA-1013-R5-CL01, Packing slip)
2. Replace HEX #1F150C with zzz
3. Click Save template and look at the Color column of the list</t>
  </si>
  <si>
    <t>QA template #1, deleted afterwards</t>
  </si>
  <si>
    <t>The hex box accepts only #RGB / #RRGGBB (the colour picker and swatches already produce those) and refuses anything else with a message, keeping the last valid colour.</t>
  </si>
  <si>
    <t>The box upper-cases it to ZZZ, the swatch stays dark, and Save succeeds; GET /api/v1/label-templates/1 returns primaryColor 'zzz' and the list shows 'zzz' beside an empty white swatch. Documents rendered from this template would get an undefined colour.</t>
  </si>
  <si>
    <t>POST /api/v1/label-templates -&gt; 200; stored primaryColor 'zzz'.</t>
  </si>
  <si>
    <t>BUG-108.jpg</t>
  </si>
  <si>
    <t>2026-10-14 R6 (build local dev, 2026-10-14 (order-form modules reloaded 13:17 IST)): fixed - R6: typing zzz in HEX and leaving the box now raises 'Not a hex colour - Use #RRGGBB (e.g. #112233) or the colour picker on the left.' and puts the box back to #1F150C; Save template then sends primaryColor #1f150c. The box also has maxlength 7 and a #RGB / #RRGGBB pattern. (Checked with the save blocked in the page.)</t>
  </si>
  <si>
    <t>BUG-109</t>
  </si>
  <si>
    <t>Row menu &gt; Preview (render an order's packing slip)</t>
  </si>
  <si>
    <t>Templates &gt; Preview renders the order's own packing slip, not the template being previewed, so a client's template cannot be checked before it has orders</t>
  </si>
  <si>
    <t>1. Open Settings &gt; Templates with a saved template for QA-1013-R5-CL01 (Packing slip, header 'QA-1013-R5 &lt;b&gt;bold&lt;/b&gt; &amp; "slip"', a logo)
2. Row menu &gt; Preview
3. Enter order 934193 and click Preview</t>
  </si>
  <si>
    <t>QA template #1 (deleted afterwards); order #934193 (MKL246, SANDBOX label from this run)</t>
  </si>
  <si>
    <t>Preview shows the selected template - its header, footer and logo - applied to the chosen order or to sample data, as the dialog title 'QA-1013-R5-CL01 - PACKING_SLIP' implies.</t>
  </si>
  <si>
    <t>The PDF shows the header 'PACKING SLIP' with no logo: GET /api/v1/orders/934193/packing-slip renders the order's own client's template (MKL246's, or the platform default), and nothing tells the user the previewed template was not used. The only way to see a client's template is with one of that client's orders, so a new client cannot preview at all; meanwhile any client's order can be opened from any template.</t>
  </si>
  <si>
    <t>Preview request: GET /api/v1/orders/934193/packing-slip -&gt; 200 (no template id sent).</t>
  </si>
  <si>
    <t>BUG-109.jpg, BUG-109-2.jpg, BUG-109-R7.jpg</t>
  </si>
  <si>
    <t>2026-10-14 R6 (build local dev, 2026-10-14 (order-form modules reloaded 13:17 IST)): still-failing - R6: the dialog now explains what it does - 'THB000 - PACKING_SLIP - enter an order number to render its packing slip PDF with the tenant's saved template (falls back to platform default).' - but the template being previewed is still not used. With a QA template for THB000 (header 'QA-1014-R6 PREVIEW CHECK'), Preview with order 934193 (an MKL246 order) sends GET /api/v1/orders/934193/packing-slip with no template id and shows the plain 'PACKING SLIP' header. So a client's template still cannot be seen before that client has an order, and nothing tells the user that the order belongs to another client. The QA template was deleted afterwards.
2026-10-16 R7 (build local dev, 2026-10-16): fixed - R7: Preview now renders the template that was opened. Template for QA-1016-CL01 / PACKING_SLIP with header 'QA-1016 R7 PREVIEW CHECK' and a red logo, Preview with order 934193 (an MKL246 order) sends GET /api/v1/orders/934193/packing-slip with templateId 4 and the PDF shows that header and logo on the order's data. The dialog text still says 'with the tenant's saved template (falls back to platform default)' and shows the raw PACKING_SLIP - wording, covered by BUG-110.</t>
  </si>
  <si>
    <t>Fixed on dev (0fad4a45): Added renderWithTemplate(orderNo, templateId); controller ?templateId query param; FE passes previewContext.id so Preview renders THIS template.
Test fix (46d6db84, 2026-10-15): fetchPreviewObjectUrl now asserts the second-arg template id (previewContext.id) that landed with 0fad4a45.</t>
  </si>
  <si>
    <t>BUG-110</t>
  </si>
  <si>
    <t>Template grid (Tenant, Type, Header, Logo, Color, Items, Updated) and row menu</t>
  </si>
  <si>
    <t>Templates: the list speaks of 'Tenant' and 'tenant id' and shows the raw type code PACKING_SLIP, where the rest of Settings says 'Client' and 'Packing slip'</t>
  </si>
  <si>
    <t>1. Open Settings &gt; Templates (/settings/templates)
2. Read the search placeholder, the column headers and a row's Type</t>
  </si>
  <si>
    <t>QA template for QA-1013-R5-CL01 (deleted afterwards)</t>
  </si>
  <si>
    <t>The same words as the editor and the other Settings screens: 'Search client...', column 'Client', type 'Packing slip'.</t>
  </si>
  <si>
    <t>Search box 'Search tenant id...', first column 'Tenant', type chip 'PACKING_SLIP', and Applies to 'Platform default (all tenants without their own)'. The editor, by contrast, shows 'Packing slip', and Clients, Code Maps and Importer / Broker all say 'Client'. Settings &gt; Custom Fields uses the same wording: 'Per-tenant metadata on orders', 'Tenant scope', 'Platform-wide (all tenants)', and the order form heads the section 'Tenant-defined metadata'. Settings &gt; Printers uses it too: Scanners 'Tenant: Choose a tenant...' and 'Pick the tenant to enroll a LAN scanner for.', Copies 'Tenant-wide fallback per carrier' and 'Carriers come from the tenant's connected accounts'. Output Destinations shows the raw codes in its form: Doc type 'LABEL' / 'COMMERCIAL_INVOICE' and Destination type 'LOCAL_FS' / 'SFTP'. Settings &gt; Mail shows raw codes too: Kind POSTMARK / SENDGRID / SES / SMTP, configuration labels 'from_address' and 'serverToken', and the delete question 'Delete this provider and all its config rows?'. Settings &gt; Notifications, the page an ordinary user sees, lists the event as 'STAMPS.LOW_FUNDS_ALERT' with the template's developer description 'Stamps balance &lt;= threshold, plus TOPPED_UP / TOPUP_FAILED follow-ups. Vars: accountNumber, available, threshold, currency, action, amount, errorMessage.'</t>
  </si>
  <si>
    <t>Text as quoted.</t>
  </si>
  <si>
    <t>BUG-110.jpg, BUG-110-2.jpg, BUG-110-R7.jpg</t>
  </si>
  <si>
    <t>Settings &gt; Labels &amp; Documents &gt; Custom Fields; Settings &gt; Labels &amp; Documents &gt; Printers; Settings &gt; Labels &amp; Documents &gt; Output Destinations; Settings &gt; Email &amp; Alerts &gt; Mail; Settings &gt; Email &amp; Alerts &gt; Notifications</t>
  </si>
  <si>
    <t>2026-10-14 R6 (build local dev, 2026-10-14 (order-form modules reloaded 13:17 IST)): still-failing - R6: partly fixed. The Templates list now says 'Client' (column) and 'Search client code...', but its empty state still reads 'add the platform default or a tenant override', and the editor keeps 'Platform default (all tenants without their own)', 'A tenant's row overrides the platform default for the same type.' and 'Tenant-scoped - each client can override the platform default.' Unchanged elsewhere: Custom Fields ('Per-tenant metadata on orders', 'Tenant scope', 'Platform-wide (all tenants)'); Printers &gt; Scanners ('Tenant', 'Choose a tenant...', 'Pick the tenant to enroll a LAN scanner for.'); Output Destinations form (Doc type LABEL / COMMERCIAL_INVOICE, Destination type LOCAL_FS / SFTP); Notifications ('STAMPS.LOW_FUNDS_ALERT' with 'Stamps balance &lt;= threshold, plus TOPPED_UP / TOPUP_FAILED follow-ups. Vars: ...'), which Mail's Notification templates list shows the same way.
2026-10-16 R7 (build local dev, 2026-10-16): still-failing - R7: improved, not finished. Fixed: Templates list ('Client' column, 'Search client code...', empty state 'add the platform default or a client override'), editor 'Applies to' text, Custom Fields and External Systems page text, Output Destinations page text. Still on screen: Templates Type chips read RETURN_COVER / COMMERCIAL_INVOICE / PACKING_SLIP, the delete question reads 'Delete template for QA-1016-CL01 (PACKING_SLIP)? ... resolution order (tenant -&gt; platform default)' and the Preview dialog 'with the tenant's saved template'; Printers &gt; Scanners label 'Tenant' and 'add the first one for this tenant', Printers &gt; Copies 'tenant-wide default per carrier'; System 'TENANT', '- pick a tenant -', 'Per-tenant defaults', 'Tenant'; Alerts History column 'Tenant' and filter 'Tenant code'; DTC Scheduler 'every tenant', 'Tenants', 'All tenants'; Mail: kinds POSTMARK / SENDGRID / SES / SMTP, configuration labels from_address, serverToken, username, host, port, password, and the Notification templates list shows AUTH.VERIFY_EMAIL, AUTH.PASSWORD_RESET, AUTH.USER_INVITE, STAMPS.LOW_FUNDS_ALERT with developer descriptions ('Vars: verifyLink, ttlHours.'); Settings &gt; Notifications shows the same list.</t>
  </si>
  <si>
    <t>Fixed on dev (a601e4aa): Custom Fields page says "Client scope" / "Platform-wide (all clients)"; description scrubbed.
R6+1 (e17bf946, 2026-10-15): Tenant→client wording on CustomFieldsSection, PrintersPage scanner enroll, InvoiceCopiesMatrix, LabelTemplateEditorPage, LabelTemplatesListPage, OutputDestinationsPage doc / dest type dropdowns (humanised codes).</t>
  </si>
  <si>
    <t>BUG-111</t>
  </si>
  <si>
    <t>Custom Fields</t>
  </si>
  <si>
    <t>Row Edit (pencil)</t>
  </si>
  <si>
    <t>Custom Fields: a saved definition can never be changed - Edit and the Move up / Move down arrows send a create request and fail with a server 500</t>
  </si>
  <si>
    <t>1. Open Settings &gt; Custom Fields, set Tenant scope to QA-1013-R5-CL01 and create a Text field (key qa_r5_a, label QA-1013-R5 A)
2. Click the row's pencil (Edit), change Position to 120 and click Save
3. Create a second field (qa_r5_b), then click Move down on the first row</t>
  </si>
  <si>
    <t>QA fields QAField!, qa_r5_a and qa_r5_b for client QA-1013-R5-CL01 (all deleted afterwards)</t>
  </si>
  <si>
    <t>Edit and the arrows update the existing definition (an update on its id) and the grid shows the new values or order.</t>
  </si>
  <si>
    <t>Edit sends POST /api/v1/custom-fields - the create endpoint - and gets 500; the dialog stays open under the red toast 'Something went wrong on the server... reference a6ebe214' (and 3d12f9fb on a second, minimal change). Move down sends the same POST, gets 500, reports to /api/v1/client-errors and shows nothing at all; the order stays 110 / 120. The only way to change a label, type, options, position or the Required / Active flags is to delete the definition and create it again.</t>
  </si>
  <si>
    <t>Edit: POST /api/v1/custom-fields -&gt; 500 (references a6ebe214, 3d12f9fb). Move down: POST /api/v1/custom-fields -&gt; 500, then POST /api/v1/client-errors -&gt; 202, no message on screen.</t>
  </si>
  <si>
    <t>http://localhost:5173/settings/custom-fields</t>
  </si>
  <si>
    <t>BUG-111.jpg, BUG-111-2.jpg, BUG-111-3.jpg, BUG-111-R7-tie.jpg</t>
  </si>
  <si>
    <t>S054</t>
  </si>
  <si>
    <t>2026-10-14 R6 (build local dev, 2026-10-14 (order-form modules reloaded 13:17 IST)): still-failing - R6: still cannot change a saved definition, though the 500 is now a 400. Edit on QA field QAField! (THB000, inactive), Position 110 -&gt; 120, Save: the page again sends POST /api/v1/custom-fields - the create endpoint - with id 7, and gets 400 'This value can't be saved - check the form and try again.' under the heading 'Check the form for errors'; the dialog stays open and nothing is marked. Move down on the same row sends the same POST, gets 400, reports to /api/v1/client-errors (202) and shows nothing; the order stays 110 / 120.
2026-10-16 R7 (build local dev, 2026-10-16): still-failing - R7: half fixed. Edit now works: QA field qa_field (id 9), Position 110 -&gt; 120, Save -&gt; POST /api/v1/custom-fields with id 9 returns 200 'Definition saved' and the grid shows 120. The Move up / Move down arrows no longer fail but still do not reorder reliably: with qa_field at 120 and a second field qa_sel at 130, Move down on the first row sends ONE request (id 9, position 130, 200) and leaves both rows at 130 - the order on screen does not change, exactly the 'shows nothing' symptom of the original report. Only a second click on the other row (Move up on qa_sel, which sends position 120) produced the swap. The page sets only the moved row's position to the neighbour's value instead of swapping the two, so a tie is created and the list falls back to id order. Both QA fields were deleted afterwards.</t>
  </si>
  <si>
    <t>Fixed on dev (9681f4ff): Preserve existing createdAt on edit so Custom Fields upsert stops violating NOT NULL.</t>
  </si>
  <si>
    <t>BUG-112</t>
  </si>
  <si>
    <t>New field: Key</t>
  </si>
  <si>
    <t>Custom Fields: the key ignores its own 'snake_case' rule ('QA Field!' is saved as 'QAField!') and Select options are stored with duplicates and a blank</t>
  </si>
  <si>
    <t>1. Open Settings &gt; Custom Fields, Tenant scope QA-1013-R5-CL01, and click + New field
2. Key 'QA Field!', Label 'QA-1013-R5 &lt;i&gt;Note&lt;/i&gt;', click Save and read the Key column
3. + New field: key qa_r5_req, Type Select, Options 'Alpha, &lt;b&gt;Beta&lt;/b&gt;, Alpha, ', Save; then open Orders &gt; New for the same client and open the field's list</t>
  </si>
  <si>
    <t>QA fields QAField! and qa_r5_req for client QA-1013-R5-CL01 (deleted afterwards)</t>
  </si>
  <si>
    <t>The key is checked against the rule printed under it (lower-case letters, digits and underscores) with a message, and Select options are trimmed and de-duplicated, or a duplicate is refused.</t>
  </si>
  <si>
    <t>Only the space is removed: the key is stored as 'QAField!', capitals and '!' included, although the hint under the box reads 'snake_case. Immutable once orders reference it.' The options are stored exactly as typed ('Alpha, &lt;b&gt;Beta&lt;/b&gt;, Alpha, ') and the order form lists Alpha twice. The HTML in the label and options is shown as plain text everywhere, so escaping is fine.</t>
  </si>
  <si>
    <t>GET /api/v1/custom-fields?tenantId=QA-1013-R5-CL01 -&gt; fieldKey 'QAField!'; selectOptions 'Alpha, &lt;b&gt;Beta&lt;/b&gt;, Alpha, '. Order form list: '- select -', Alpha, &lt;b&gt;Beta&lt;/b&gt;, Alpha.</t>
  </si>
  <si>
    <t>BUG-112.jpg, BUG-112-2.jpg, BUG-112-R7-options.jpg, BUG-112-R7-orderform.jpg, BUG-112-R7.png</t>
  </si>
  <si>
    <t>2026-10-14 R6 (build local dev, 2026-10-14 (order-form modules reloaded 13:17 IST)): still-failing - R6: unchanged. Key 'QA Field!' becomes 'QAField!' in the box and is saved that way (POST /api/v1/custom-fields -&gt; 201, id 7), capitals and '!' included, under the hint 'snake_case'. A Select field with options 'Alpha, &lt;b&gt;Beta&lt;/b&gt;, Alpha, ' is stored exactly as typed (selectOptions 'Alpha, &lt;b&gt;Beta&lt;/b&gt;, Alpha, ', id 8). Both QA fields were created inactive for THB000 and deleted within three minutes.
2026-10-16 R7 (build local dev, 2026-10-16): still-failing - R7: key half fixed, options half not. Key 'QA Field!' is now forced to qa_field in the box and saved as qa_field (POST /api/v1/custom-fields 201); the label '&lt;i&gt;Note&lt;/i&gt;' is shown as plain text. A Select field with options 'Alpha, &lt;b&gt;Beta&lt;/b&gt;, Alpha, ' is still stored exactly as typed (request body and GET /api/v1/custom-fields both show selectOptions 'Alpha, &lt;b&gt;Beta&lt;/b&gt;, Alpha, ', id 10), the grid's Options column repeats Alpha and the trailing comma, and Orders &gt; New for QA-1016-CL01 lists '- select -', 'Alpha', '&lt;b&gt;Beta&lt;/b&gt;', 'Alpha' (the empty option is dropped by the form, the duplicate is not). The server does not trim or de-duplicate either. Both QA fields were deleted afterwards.</t>
  </si>
  <si>
    <t>Fixed on dev (6754690c): Custom Field key input forces snake_case + 60-char cap on change.</t>
  </si>
  <si>
    <t>BUG-113</t>
  </si>
  <si>
    <t>New field: Label</t>
  </si>
  <si>
    <t>Custom Fields: a 255-character label makes Save fail with a server 500; the Label box has no length limit and no message</t>
  </si>
  <si>
    <t>1. Open Settings &gt; Custom Fields, Tenant scope QA-1013-R5-CL01, and click + New field
2. Key qa_r5_pos, Label 'QA-1013-R5 ' followed by 244 L's (255 characters), click Save
3. Shorten the label to 'QA-1013-R5 pos' and click Save again</t>
  </si>
  <si>
    <t>QA field qa_r5_pos for client QA-1013-R5-CL01 (deleted afterwards)</t>
  </si>
  <si>
    <t>The box stops at the stored length, or Save is refused with a message such as 'Label can be at most N characters'.</t>
  </si>
  <si>
    <t>POST /api/v1/custom-fields -&gt; 500 and the generic toast 'Something went wrong on the server. Please try again in a moment... reference 48c940e3' (a 296-character label: reference a61a9d15). The same key saves at once with the 14-character label, so only the length is at fault. The input has no maxlength and nothing warns while typing.</t>
  </si>
  <si>
    <t>255 characters: POST /api/v1/custom-fields -&gt; 500 (48c940e3); 296 characters: 500 (a61a9d15); 14 characters: 201.</t>
  </si>
  <si>
    <t>BUG-113.jpg</t>
  </si>
  <si>
    <t>2026-10-14 R6 (build local dev, 2026-10-14 (order-form modules reloaded 13:17 IST)): fixed - R6: a 255-character label is now refused without a server error: POST /api/v1/custom-fields -&gt; 400 'A value is too long for its field (limit 120 characters).' shown as 'Check the form for errors - ...'. The Label box still has no maxlength and the message does not name the field, but the user is told what to do.</t>
  </si>
  <si>
    <t>BUG-114</t>
  </si>
  <si>
    <t>Printers</t>
  </si>
  <si>
    <t>Add / Edit printer: IP address or hostname</t>
  </si>
  <si>
    <t>Add printer: the 'Enter the printer's IP address or hostname' error is printed under Name, which turns red, while the address box with the bad value stays plain</t>
  </si>
  <si>
    <t>1. Open Settings &gt; Printers and click + Add printer
2. Name 'QA-1013-R5-PR01 &lt;b&gt;x&lt;/b&gt;', IP address or hostname 'not a host!', Port 9100
3. Click Save printer</t>
  </si>
  <si>
    <t>QA printer QA-1013-R5-PR01 (saved later with a documentation-range address and deleted)</t>
  </si>
  <si>
    <t>The message appears under IP address or hostname and that box is outlined, as the empty-form check already does ('Enter the printer's IP address or hostname.' under the address box).</t>
  </si>
  <si>
    <t>POST /api/v1/printers -&gt; 400 and the form shows 'Enter the printer's IP address or hostname, e.g. 192.168.1.50.' under NAME, with the Name box outlined red; the address box holding 'not a host!' has no mark. A user is sent to fix a name that is fine.</t>
  </si>
  <si>
    <t>POST /api/v1/printers -&gt; 400; message placed under Name.</t>
  </si>
  <si>
    <t>http://localhost:5173/settings/printers</t>
  </si>
  <si>
    <t>BUG-114.png, BUG-114-2.jpg, BUG-114-3.jpg, BUG-114-R7.jpg</t>
  </si>
  <si>
    <t>S055</t>
  </si>
  <si>
    <t>2026-10-14 R6 (build local dev, 2026-10-14 (order-form modules reloaded 13:17 IST)): still-failing - R6: unchanged. Name QA-1014-R6-PR01 &lt;b&gt;x&lt;/b&gt;, address 'not a host!', port 9100, Save printer -&gt; POST /api/v1/printers 400 'Enter the printer's IP address or hostname, e.g. 192.168.1.50.' and the message is printed under NAME, which turns red, while the address box holding 'not a host!' stays plain. The page itself sends the bad address without checking it.
2026-10-16 R7 (build local dev, 2026-10-16): fixed - R7: Add printer with Name 'QA-1016-PR01 &lt;b&gt;x&lt;/b&gt;' and IP address or hostname 'not a host!' -&gt; Save printer: POST /api/v1/printers 400 "Enter the printer's IP address or hostname, e.g. 192.168.1.50." and the message is now printed under IP ADDRESS OR HOSTNAME, which is outlined red; the Name box stays plain. (The page itself still sends the bad address and relies on the server's 400.) The QA printer was saved with 192.0.2.10 afterwards and deleted at the end of the check.</t>
  </si>
  <si>
    <t>Fixed on dev (6754690c): Printer save-error routing checks host/IP before "name" substring so address error shows under Address.</t>
  </si>
  <si>
    <t>BUG-115</t>
  </si>
  <si>
    <t>Row Edit</t>
  </si>
  <si>
    <t>Printers: after the address is changed the Status column keeps the previous test result, so a printer moved to a new IP can still read 'Test OK' for the old one</t>
  </si>
  <si>
    <t>1. Add printer QA-1013-R5-PR01 at 192.0.2.10:9100 and click Test print (result 'Test failed')
2. Click the row's pencil, change the address to 192.0.2.11 and the port to 80, Save printer
3. Read the Status column and its tooltip</t>
  </si>
  <si>
    <t>QA printer QA-1013-R5-PR01 (deleted afterwards)</t>
  </si>
  <si>
    <t>Changing the host or port clears the last test result (back to 'Not tested') until a new test is run.</t>
  </si>
  <si>
    <t>The row shows Address 192.0.2.11:80 but Status 'Test failed' with the tooltip 'Could not reach 192.0.2.10:9100 - Connect timed out' - the old address. Because the result is simply carried over, a printer that once tested OK would keep its green 'Test OK' after being pointed at a wrong address (not tried here - only test addresses were used), which is exactly what the column is meant to warn about.</t>
  </si>
  <si>
    <t>GET /api/v1/printers after the edit: host 192.0.2.11, port 80, lastTestOk false, lastTestMessage 'Could not reach 192.0.2.10:9100 - Connect timed out'.</t>
  </si>
  <si>
    <t>BUG-115.png, BUG-115-2.jpg, BUG-115-R7.jpg</t>
  </si>
  <si>
    <t>2026-10-14 R6 (build local dev, 2026-10-14 (order-form modules reloaded 13:17 IST)): still-failing - R6: unchanged. QA printer QA-1014-R6-PR01 at 192.0.2.10:9100 -&gt; Test print 'Could not reach 192.0.2.10:9100 - Connect timed out' (Test failed). Edited to 192.0.2.11 port 80 and saved: the row shows 192.0.2.11:80 with Status 'Test failed' and the tooltip 'Could not reach 192.0.2.10:9100 - Connect timed out'; GET /api/v1/printers returns lastTestOk false with that message. The QA printer was deleted afterwards.
2026-10-16 R7 (build local dev, 2026-10-16): fixed - R7: QA printer QA-1016-PR01 at 192.0.2.10:9100 -&gt; Test print 'Could not reach 192.0.2.10:9100 - Connect timed out' (Status 'Test failed'). Edit, address 192.0.2.11, port 80, Save printer -&gt; PUT /api/v1/printers/4 200 with lastTestOk, lastTestMessage and lastTestAt all null; the row reads 192.0.2.11:80 with Status 'Not tested'. The QA printer was deleted afterwards (in-app 'Delete printer' dialog, DELETE /api/v1/printers/4 200).</t>
  </si>
  <si>
    <t>Fixed on dev (6754690c): PrinterService.update clears stale lastTestOk/Message/At when host or port changed.</t>
  </si>
  <si>
    <t>BUG-116</t>
  </si>
  <si>
    <t>Labels routing grid (Add a client, cell pop-over)</t>
  </si>
  <si>
    <t>Printers &gt; Labels and Invoices: the routing pop-over opens inside the grid's own scroll box and is cut off - its tick box and Save stay hidden until you scroll inside the grid</t>
  </si>
  <si>
    <t>1. Open Settings &gt; Printers &gt; Labels, Add a client QA-1013-R5-CL01
2. Click the cell for that client under a printer column
3. Look for the pop-over's Labels tick box and Save button; repeat on the Invoices tab</t>
  </si>
  <si>
    <t>QA client QA-1013-R5-CL01; QA printer QA-1013-R5-PR01 (routing saved, then removed; printer deleted)</t>
  </si>
  <si>
    <t>The pop-over is drawn above the grid (or the grid grows) so its question, tick box, Cancel and Save are all visible where the user clicked.</t>
  </si>
  <si>
    <t>Only the first line 'Route which docs from QA-1013-R5-CL01 to QA-1013-R5-PR01 edited?' shows; the rest is clipped by the bottom edge of the three-row grid. Scrolling inside the grid reveals the tick box and Save, but scrolls the Default row out of view. The Invoices tab behaves the same. Escape does not close the pop-over.</t>
  </si>
  <si>
    <t>Seen at 1920 x 855 with three client rows.</t>
  </si>
  <si>
    <t>BUG-116.jpg, BUG-116-2.jpg, BUG-116-3.jpg, BUG-116-4.jpg, BUG-116-R7-invoices.jpg, BUG-116-R7.jpg</t>
  </si>
  <si>
    <t>2026-10-14 R6 (build local dev, 2026-10-14 (order-form modules reloaded 13:17 IST)): still-failing - R6: worse with two rows. Labels tab with rows Default and THB000: clicking the THB000 cell under the QA printer opens the pop-over entirely below the grid's visible area (the grid's own box, 150 px high, gains a scroll bar) - nothing of it shows. Scrolling inside the grid brings 'Route which docs from THB000 to QA-1014-R6-PR01?', the Labels tick box, Cancel and Save into view, but scrolls both rows out. Cancelled; nothing saved.
2026-10-16 R7 (build local dev, 2026-10-16): fixed - R7: Settings &gt; Printers &gt; Labels, THB000 row, cell under the QA printer: the pop-over 'Route which docs from THB000 to QA-1016-PR01 &lt;b&gt;x&lt;/b&gt;?' now opens above the grid with its Labels tick box, Cancel and Save all visible; on Invoices, Default row under Samsung, the 'Commercial invoices' tick box, Cancel and Save are visible too. Nothing saved (Cancel). Remaining: Esc still does not close the pop-over (it stays open) - the focus/Esc handling is the subject of BUG-123.</t>
  </si>
  <si>
    <t>Fixed on dev (fb113431): CellPopover createPortal'd to document.body with position:fixed, re-measured on scroll/resize; grid overflow no longer clips.</t>
  </si>
  <si>
    <t>BUG-117</t>
  </si>
  <si>
    <t>Scanners: tenant picker and Auto-detect panel (Refresh, Enroll scanner, Scan for printers, Pick from scan)</t>
  </si>
  <si>
    <t>Printers &gt; Scanners: Enroll scanner accepts any text as the scanner id and hostname - 'QA 1013 R5 &lt;b&gt;sc&lt;/b&gt;' and 'not a host!' are saved</t>
  </si>
  <si>
    <t>1. Open Settings &gt; Printers &gt; Scanners and pick Tenant QA-1013-R5-CL01
2. Click Enroll scanner; Scanner id 'QA 1013 R5 &lt;b&gt;sc&lt;/b&gt;', Hostname 'not a host!'
3. Click Enroll</t>
  </si>
  <si>
    <t>QA scanner for QA-1013-R5-CL01 (revoked afterwards; revoked scanners cannot be deleted)</t>
  </si>
  <si>
    <t>The id follows the form the hint shows (e.g. warehouse-north: letters, digits, hyphens) and the hostname is checked like the printer address, which refuses 'not a host!'.</t>
  </si>
  <si>
    <t>Both are accepted: the one-time key is shown and the list reads 'QA 1013 R5 &lt;b&gt;sc&lt;/b&gt; . not a host! . never contacted'. The HTML is shown as text, so nothing is injected, but the id is what an operator later re-uses to rotate the key and the hostname is shown as if it were real.</t>
  </si>
  <si>
    <t>Enroll -&gt; 200, key shown once; GET /api/v1/tenants/QA-1013-R5-CL01/printer-scan-agents lists the scanner with the values as typed.</t>
  </si>
  <si>
    <t>BUG-117.jpg, BUG-117-R7.jpg</t>
  </si>
  <si>
    <t>2026-10-14 R6 (build local dev, 2026-10-14 (order-form modules reloaded 13:17 IST)): still-failing - R6: the page still sends any text: Enroll with Scanner id 'QA 1014 R6 &lt;b&gt;sc&lt;/b&gt;' and Hostname 'not a host!' (tenant THB000) sends POST /api/v1/tenants/THB000/printer-scan-agents with both values as typed - no message under either field. The request was blocked in the page, because an enrolment can only be revoked, never deleted, and no QA client could be created in this run (client editor down), so whether the server now refuses them was not exercised.
2026-10-16 R7 (build local dev, 2026-10-16): fixed - R7: with the QA client QA-1016-CL01, Settings &gt; Printers &gt; Scanners &gt; Enroll scanner: Scanner id 'QA 1016 R7 &lt;b&gt;sc&lt;/b&gt;' with Hostname 'not a host!' -&gt; POST /api/v1/tenants/QA-1016-CL01/printer-scan-agents 400 VALIDATION_ERROR "Agent id must be 1-100 letters, digits, '.', '-' or '_'. No spaces or symbols." and the page shows it in a red toast headed 'Check the form for errors'; with the id corrected to qa-1016-r7-sc and the hostname still 'not a host!' -&gt; 400 "Hostname must be a plain host or IP (letters, digits, '.', '-', '_', ':')."; with hostname qa-scan.example.test the enrolment succeeds (200, one-time key shown). Both values are now checked, by the server; the page itself still marks neither field and sends the text as typed (the message only arrives in the toast).</t>
  </si>
  <si>
    <t>Fixed on dev (cb9e4ed5): PrinterScanService.enrollAgent rejects non-conforming agent id + hostname.</t>
  </si>
  <si>
    <t>BUG-118</t>
  </si>
  <si>
    <t>Output Destinations</t>
  </si>
  <si>
    <t>New destination: Active, Notes, Create, Cancel, close and Escape</t>
  </si>
  <si>
    <t>Output Destinations: every new destination fails with a server 500 - neither a folder (LOCAL_FS) nor an SFTP destination can be created</t>
  </si>
  <si>
    <t>1. Open Settings &gt; Output Destinations and click + Add destination
2. Client code QA-1013-R5-CL01, Doc type LABEL, Destination type LOCAL_FS, Directory path /tmp/qa-1013-r5, Active ticked or not; click Create
3. Switch Destination type to SFTP: host 192.0.2.20, port 22, username qa-1013-r5, a test password, remote directory /upload; click Create</t>
  </si>
  <si>
    <t>QA client QA-1013-R5-CL01; documentation-range SFTP host 192.0.2.20 and a dummy password; nothing was saved</t>
  </si>
  <si>
    <t>The destination is saved and listed (or a field message says what is wrong), as the unknown-client case already does.</t>
  </si>
  <si>
    <t>Every attempt (six in all) returns POST /api/v1/admin/output-destinations -&gt; 500 'Something went wrong on the server... reference ...' (for example f52f75b8 and fe053958) - with notes or without, Active on or off, LOCAL_FS or SFTP, upper- or lower-case client code. The request is well formed (clientCode, docType, destinationType, config JSON, active, notes, sftpPasswordPlain). The list stays 'No destinations configured.', so labels and invoices cannot be delivered to a folder or SFTP server at all. Only the QA client could be tried; real clients were not touched.</t>
  </si>
  <si>
    <t>POST /api/v1/admin/output-destinations -&gt; 500 INTERNAL_ERROR (reference fe053958) for a complete SFTP request; same for LOCAL_FS. An unknown client code correctly returns 400 'Client QA-1013-R5-NOPE was not found...'.</t>
  </si>
  <si>
    <t>http://localhost:5173/settings/output-destinations</t>
  </si>
  <si>
    <t>BUG-118.png, BUG-118-2.jpg, BUG-118-3.jpg, BUG-118-R7.jpg</t>
  </si>
  <si>
    <t>S056</t>
  </si>
  <si>
    <t>2026-10-14 R6 (build local dev, 2026-10-14 (order-form modules reloaded 13:17 IST)): still-failing - R6: unchanged. An inactive LOCAL_FS destination for THB000 (Doc type LABEL, /tmp/qa-1014-r6, notes 'QA-1014-R6 retest...') -&gt; POST /api/v1/admin/output-destinations 500 'Something went wrong on the server... reference 27c4a54b.' The list stays at 0 destinations, so nothing was created.
2026-10-16 R7 (build local dev, 2026-10-16): fixed - R7: both destination types can now be created. Settings &gt; Output Destinations &gt; + Add destination: client QA-1016-CL01, Doc type Label, Local folder, /tmp/qa-1016-r7, Active -&gt; POST /api/v1/admin/output-destinations 201 'Destination created.' (id 1) and the row reads QA-1016-CL01 / LABEL / LOCAL_FS / /tmp/qa-1016-r7 / Active; Doc type Commercial invoice, SFTP, host 192.0.2.20 (documentation range), port 22, a dummy user and password, /upload -&gt; 201 (id 2) and the row reads qa-1016-r7@192.0.2.20:22/upload. The password is not shown or returned (GET /api/v1/admin/output-destinations carries configSafe and no password). Edit opens with the saved values and Escape now closes the dialog (R5 recorded that it did not). The dropdown labels are now 'Label / Commercial invoice' and 'Local folder / SFTP'; the grid chips still show LABEL, COMMERCIAL_INVOICE, LOCAL_FS and SFTP (BUG-110). Because Create works, the checks that had been blocked behind it were run: see BUG-159 (empty or climbing folder paths and an empty SFTP host are accepted) and BUG-158 (Delete uses the browser's native confirm). All QA destinations (ids 1-7) were deleted; the Test button was not used.</t>
  </si>
  <si>
    <t>Fixed on dev (9681f4ff): Output Destinations IAE now 400; create still fails on missing config - needs service-side fix later.
R6+1 (afeb4111, 2026-10-15): @JdbcTypeCode(SqlTypes.JSON) on ClientOutputDestination.config. Hibernate 6 was binding the String field as VARCHAR and Postgres rejected every save with 'column is of type jsonb but expression is of type character varying' → 500 on every destination create. Create now persists cleanly.
Test-suite fix (8cb8b4ba, 2026-10-15): also caught a latent bug — forStampsTopup returned a v3 UUID (nameUUIDFromBytes), which SERA rejects with error 800001 'Idempotency-Key invalid'. Topup now routes through stampsKey() like every other forStamps* helper so the version bits are stamped v4. Backfilled test: IdempotencyKeysStampsSeraTest.everyStampsKeyIsAStableV4Uuid.</t>
  </si>
  <si>
    <t>BUG-119</t>
  </si>
  <si>
    <t>Email &amp; Alerts</t>
  </si>
  <si>
    <t>Mail</t>
  </si>
  <si>
    <t>Registered providers list (Kind, Name, Active, Updated, Actions)</t>
  </si>
  <si>
    <t>Several screens show times 5 1/2 hours behind - UTC timestamps without a time zone are displayed as local time (Mail, Carrier API Log, Email Delivery Log, Writeback Journal)</t>
  </si>
  <si>
    <t>1. Open Settings &gt; Mail and add a provider (QA-1013-R5 &lt;b&gt;mail&lt;/b&gt;, Postmark, test values) at about 20:09 local time
2. Read the Updated column of Registered providers
3. Edit the provider's display name and save; read Updated again</t>
  </si>
  <si>
    <t>QA mail provider QA-1013-R5 &lt;b&gt;mail&lt;/b&gt; (inactive, deleted afterwards)</t>
  </si>
  <si>
    <t>Updated shows the local time of the change (about 8:09 PM), like the header clock and the other Settings lists.</t>
  </si>
  <si>
    <t>Updated reads '10/13/2026, 2:39:54 PM' for a provider saved at 20:09 local (header clock 20:10:25 LOCAL), and '2:41:15 PM' after the edit at 20:11. The API returns updatedAt '2026-10-13T14:39:54.294428' with no time zone, so the browser takes the UTC value for local time. Settings &gt; Carrier API Log shows the same UTC-as-local times: the UPS token request made by the QA13R5 verify at 17:25:58 local is listed at '10/13/2026, 11:55:58 AM', and this morning's sign-in balance checks (07:45 local) at '2:15 AM'. Email Delivery Log does the same: the QA invites sent at 15:50-15:52 local on 13 Oct are listed at '10/13/2026, 10:20:57 AM' to '10:22:17 AM' (sentAt has no time zone). Writeback Journal too: the writeback for #934193 (label made at 14:23 local on 13 Oct) is listed at '10/13/2026, 8:53:00 AM'.</t>
  </si>
  <si>
    <t>POST /api/v1/admin/mail-providers -&gt; timestamp 2026-10-13T20:09:54 but updatedAt 2026-10-13T14:39:54 (UTC, no 'Z').</t>
  </si>
  <si>
    <t>http://localhost:5173/settings/mail</t>
  </si>
  <si>
    <t>BUG-119.jpg, BUG-119-R7-carrierlog.jpg, BUG-119-R7-emaillog.jpg, BUG-119-R7-mail.jpg</t>
  </si>
  <si>
    <t>S057</t>
  </si>
  <si>
    <t>Settings &gt; Activity &amp; Logs &gt; Carrier API Log; Settings &gt; Activity &amp; Logs &gt; Email Delivery Log; Settings &gt; Activity &amp; Logs &gt; Writeback Journal</t>
  </si>
  <si>
    <t>2026-10-14 R6 (build local dev, 2026-10-14 (order-form modules reloaded 13:17 IST)): still-failing - R6: unchanged where it can be read. Email Delivery Log lists today's QA invite (sent about 14:06 IST) at 'Oct 14, 2026, 8:36 AM'. Writeback Journal lists the writeback of #934194 (label made 08:28 IST per Logs) at 'Oct 14, 2026, 2:58 AM'. Carrier API Log stores the UPS token request from the 17:25:58 IST verify of 13 Oct as createdAt 2026-10-13T11:55:58 (no time zone) and shows its newest rows at 9:13 AM while the server clock reads 15:04. Logs itself shows local time correctly (warehouse created 2:02 PM). Mail has no provider at present, so its Updated column could not be read.
2026-10-16 R7 (build local dev, 2026-10-16): fixed - R7: the four screens now show wall-clock time. Settings &gt; Mail: a QA Postmark provider (inactive, dummy values) saved at 10:25 on the header clock shows Updated '10/16/2026, 10:25:17 AM' (the API's updatedAt is '2026-10-16T04:55:17', i.e. UTC with no zone, and the page now reads it as UTC). Email Delivery Log: the two QA invites sent at 08:10 and 08:11 IST are listed 'Oct 16, 2026, 8:10 AM' and '8:11 AM' (sentAt '2026-10-16T02:40:20'; R6 showed 5 1/2 h early). Writeback Journal: #934195 and #934196, bought at about 08:58 and 09:00, are listed 'Oct 16, 2026, 8:58 AM' and '9:00 AM', and #934194 (made 08:28 on 14 Oct) now reads 'Oct 14, 2026, 8:28 AM' (R6: 2:58 AM). Carrier API Log: the newest rows are 'Oct 16, 2026, 10:09 AM' with the header clock at 10:24 (R6: 9:13 AM against a 15:04 server clock). Residual, tracked in BUG-145: the server mixes zones without saying so - some values are UTC (mail Updated, sentAt) and some are India time (invite expiresAt, createdAt, API response timestamps) - so a page that treats every zone-less value as UTC is right for the first kind and 5 1/2 h wrong for the second. The QA mail provider was deleted afterwards.</t>
  </si>
  <si>
    <t>Fixed on dev (9681f4ff): formatDateTime treats Z-less timestamps as UTC so IST operators see wall-clock time.
R6+1 (e17bf946, 2026-10-15): NotificationTemplatesPage 'Updated' line now routes through formatDateTime (treats Z-less backend timestamps as UTC).</t>
  </si>
  <si>
    <t>BUG-120</t>
  </si>
  <si>
    <t>Integrations</t>
  </si>
  <si>
    <t>External Systems</t>
  </si>
  <si>
    <t>Edit drawer &gt; Client overrides</t>
  </si>
  <si>
    <t>External Systems: the Oracle WMS connector's default per-client login is username = password = client code, and the Client overrides tab prints that rule for every admin</t>
  </si>
  <si>
    <t>1. Open Settings &gt; External Systems and click the pencil on nds-default (PROD, NDS_ORACLE)
2. Open the Client overrides tab and read the note at the top
3. Compare with the client codes shown everywhere in Multiship (MKL246, THB000, ...)</t>
  </si>
  <si>
    <t>Production connection nds-default, viewed only; nothing changed</t>
  </si>
  <si>
    <t>Each client's database login uses its own secret (stored encrypted like productionPassword on the Secrets tab), and the screen does not spell out how passwords are derived.</t>
  </si>
  <si>
    <t>The tab reads 'Per-tenant login overrides. Empty by default - the connector falls back to its own credential-derivation rule (e.g. NDS: username = password = clientCode).' and 'No overrides set.' So, as configured, every client's Oracle WMS login has the client code as its password. Client codes are not secret - they appear on orders, labels, exports and in this app's lists - so anyone who can reach the Oracle host (192.168.3.8:1521 in the config) and knows a code can sign in as that client.</t>
  </si>
  <si>
    <t>Text as quoted; GET /api/v1/admin/external-systems/1/client-overrides returns no overrides. The derivation itself was not exercised against the database.</t>
  </si>
  <si>
    <t>http://localhost:5173/settings/external-systems</t>
  </si>
  <si>
    <t>BUG-120.jpg, BUG-120-R7.jpg</t>
  </si>
  <si>
    <t>2026-10-14</t>
  </si>
  <si>
    <t>S060</t>
  </si>
  <si>
    <t>Open</t>
  </si>
  <si>
    <t>2026-10-14 R6 (build local dev, 2026-10-14 (order-form modules reloaded 13:17 IST)): cannot-retest - R6: the Client overrides tab no longer prints the rule; it now reads 'Per-tenant login overrides. Empty by default - the connector auto-provisions a per-tenant login. Set an override here when you need a specific username/password for a tenant.' Whether the derivation itself changed (username = password = client code) cannot be seen from the application - it would take the connector code or a database sign-in, both outside this test. Please confirm before closing.
2026-10-16 R7 (build local dev, 2026-10-16): cannot-retest - R7: unchanged from R6. The nds-default &gt; Client overrides tab still reads 'Per-tenant login overrides. Empty by default - the connector auto-provisions a per-tenant login. Set an override here when you need a specific username/password for a tenant.' (viewed only; nothing saved; Test was not used) - the sentence that printed 'username = password = clientCode' is gone. Whether the connector still derives each client's Oracle login from the client code cannot be seen from the application; it needs the connector code or a database sign-in, both outside this test. The developer note describes the fix as 'default-cred UI copy scrubbed' only, so it is worth confirming in the connector code that the derivation itself changed - hiding the rule from the screen does not remove it. Please confirm before closing.</t>
  </si>
  <si>
    <t>Fix landed earlier this session: WMS default-cred UI copy scrubbed as fb58156c earlier.</t>
  </si>
  <si>
    <t>BUG-121</t>
  </si>
  <si>
    <t>Edit drawer &gt; Writeback (fields, sources, channels, routed clients)</t>
  </si>
  <si>
    <t>External Systems &gt; Writeback: the routed-clients list of nds-default holds MKL274, a client code that does not exist in Multiship</t>
  </si>
  <si>
    <t>1. Open Settings &gt; External Systems, pencil on nds-default, Writeback tab
2. Scroll to Routed clients
3. Compare with Settings &gt; Clients (MKL246, QA-1013-R5-CL01, THB000)</t>
  </si>
  <si>
    <t>Production connection nds-default, viewed only</t>
  </si>
  <si>
    <t>Routing only lists existing clients (picked from the client list), and an unknown code is refused when added.</t>
  </si>
  <si>
    <t>Routed clients shows MKL274 and THB000, each with Remove. No client MKL274 exists, active or inactive (GET /api/v1/clients and ?status=INACTIVE return only MKL246, QA-1013-R5-CL01 and THB000). It looks like a typo for MKL246, which is therefore not on the list; the note says such a client 'falls back to the default connection (nds-default) or is silently skipped'.</t>
  </si>
  <si>
    <t>The Routed clients list (loaded with GET /api/v1/admin/external-systems/1/tenant-routings) shows MKL274 and THB000; the client list has no MKL274.</t>
  </si>
  <si>
    <t>BUG-121.jpg, BUG-121-R7-unknown.jpg, BUG-121-R7.jpg</t>
  </si>
  <si>
    <t>2026-10-14 R6 (build local dev, 2026-10-14 (order-form modules reloaded 13:17 IST)): still-failing - R6: unchanged. nds-default &gt; Writeback &gt; Routed clients still lists MKL274 and THB000; no client MKL274 exists.
2026-10-16 R7 (build local dev, 2026-10-16): fixed - R7: Settings &gt; External Systems &gt; nds-default &gt; Writeback &gt; Routed clients now lists only THB000; MKL274 is gone (viewed, nothing saved). The unknown-code refusal was checked on a throw-away connection instead of the production one: a QA connection 'qa-1016-r7' (Rest Json, DEV, inactive) accepted QA-1016-CL01 (PUT /api/v1/admin/external-systems/3/tenant-routings/QA-1016-CL01 -&gt; 200 'QA-1016-CL01 routed to this connection.') and refused QA-1016-NOPE (400 'Client QA-1016-NOPE was not found.', toast 'Check the form for errors', list unchanged). Residual (not a new bug): the box is still a free-text 'Client code (e.g. ACME)' field rather than a picker, and the delete-connection question says 'Secrets + client-login overrides will cascade' without mentioning routings. The QA connection was deleted (DELETE 200); nds-default was not edited.</t>
  </si>
  <si>
    <t>Fixed on dev (V158 6754690c): V158 deletes orphan tenant_settings rows (MKL274 removed).
R6+1 (afeb4111, 2026-10-15): PUT /external-systems/{id}/tenant-routings/{tenantCode} now 400s on an unknown client code so a FE typo can't seed a new orphan after V158's retroactive cleanup.</t>
  </si>
  <si>
    <t>BUG-122</t>
  </si>
  <si>
    <t>Edit drawer &gt; Secrets</t>
  </si>
  <si>
    <t>External Systems &gt; Secrets: 'Save secret' is enabled on the empty box, and saving it empty deletes the stored secret - one click removes the live productionPassword</t>
  </si>
  <si>
    <t>1. Open Settings &gt; External Systems and click the pencil on nds-default (PROD)
2. Open the Secrets tab: Secret key productionPassword, Plaintext box empty
3. Read the note and look at the Save secret button (not clicked)</t>
  </si>
  <si>
    <t>Production connection nds-default, viewed only; Save secret was not clicked</t>
  </si>
  <si>
    <t>Save secret stays disabled until something is typed, and removing a secret is a separate, clearly named Delete action with a confirmation that says what will stop working.</t>
  </si>
  <si>
    <t>The note says 'Existing secrets aren't shown; leaving the field empty and Saving deletes the secret row.' The box opens empty and Save secret is enabled, so the default state of the tab is one click away from deleting the production database password. The Active note on Details says this connection drives the Oracle DTC sync and the scheduled DTC_SYNC job, which would then fail.</t>
  </si>
  <si>
    <t>Save secret button enabled (disabled=false) with an empty password box (autocomplete=new-password, not browser-filled). Behaviour taken from the on-screen note; not exercised, because it would delete the live secret.</t>
  </si>
  <si>
    <t>BUG-122.jpg</t>
  </si>
  <si>
    <t>2026-10-14 R6 (build local dev, 2026-10-14 (order-form modules reloaded 13:17 IST)): fixed - R6: Save secret is now disabled while the Plaintext box is empty, the note reads 'Use Delete secret to clear the stored value.', and a separate Delete secret button asks 'Delete stored secret? Delete the stored secret "productionPassword"? Any connector using this secret will fall back to the connector default (or fail if no default exists).' Answered Cancel, with every write blocked in the page; nothing was changed.</t>
  </si>
  <si>
    <t>BUG-123</t>
  </si>
  <si>
    <t>Accessibility: dialogs across Settings handle focus and Escape differently, and the shared country picker cannot be used from the keyboard</t>
  </si>
  <si>
    <t>1. Open Settings &gt; Users and click Invite user; press Tab, then Escape
2. Repeat with Assign client (Users), Allowed packages (Shipping Catalog), + New field (Custom Fields), Add printer and the routing pop-over (Printers), Add destination (Output Destinations)
3. On Orders &gt; New, type 'Mexico' in Ship to country and try ArrowDown / Enter</t>
  </si>
  <si>
    <t>No data changed</t>
  </si>
  <si>
    <t>Every dialog takes focus when it opens, keeps Tab inside, closes on Escape and returns focus to the button that opened it (as Users &gt; History and Mail &gt; Add provider already do); dialogs carry role=dialog with a name; the country picker works as a combobox (arrow keys, Enter, aria-expanded, listbox/option roles); each toggle's label names what it controls.</t>
  </si>
  <si>
    <t>Invite user: role=dialog with a label, but focus stays on the button behind, Tab walks into the page behind and Escape does nothing. Assign client: no role=dialog, inputs not linked to their labels, focus not moved. Allowed packages, + New field, Add printer, Add printers from scan, the Labels/Invoices routing pop-over and New output destination: Escape does not close them; + New field and New output destination have no role=dialog; Add printer leaves focus on the button behind. Country picker (Orders &gt; New ship from/to, warehouse panel, address book, client wizard): a plain input over a list of buttons - Enter and ArrowDown do nothing, only Tab then Enter picks an option, and there are no combobox/listbox/option roles. Notifications: the toggle is labelled only 'On'. Label documents: the Track live dialog ('Tracking for order 934193', aria-modal) closes on Escape, but focus stays on the Track live button behind it. HS code lookup on the order form: ArrowDown and Enter neither move through nor pick from the suggestion list; its options are plain buttons with no listbox or option roles.</t>
  </si>
  <si>
    <t>Checked with the keyboard and by reading roles and focus (document.activeElement) in the page.</t>
  </si>
  <si>
    <t>BUG-123-R7-allowed-packages.jpg, BUG-123-R7-invite.jpg, BUG-123-R7-routing-popover.jpg</t>
  </si>
  <si>
    <t>Orders &gt; New order &gt; New order form (international); Settings &gt; Organization &gt; Warehouses &gt; Warehouses list; Settings &gt; Organization &gt; Address book &gt; Address book list; Settings &gt; Organization &gt; Clients &gt; Client wizard (Add / Edit); Settings &gt; Carriers &amp; Services &gt; Shipping Catalog; Settings &gt; Labels &amp; Documents &gt; Custom Fields; Settings &gt; Labels &amp; Documents &gt; Printers; Settings &gt; Labels &amp; Documents &gt; Output Destinations; Settings &gt; Email &amp; Alerts &gt; Notifications; Orders &gt; Label &gt; Label documents</t>
  </si>
  <si>
    <t>2026-10-14 R6 (build local dev, 2026-10-14 (order-form modules reloaded 13:17 IST)): still-failing - R6: unchanged where re-checked. Invite user: role=dialog, aria-modal, labelled 'Invite user dialog', but focus stays on the Invite user button behind it and Escape does not close it. Label documents &gt; Track live: closes on Escape, focus stays behind. New in R6: the order form's HS code lookup cannot be used from the keyboard either (ArrowDown / Enter do nothing). The Importer / Broker discard question is now an in-app dialog (BUG-075).
2026-10-16 R7 (build local dev, 2026-10-16): still-failing - R7: the shared pieces are fixed, the per-screen dialogs are not (the developers' note says the broader sweep stays deferred). FIXED: the country picker is a combobox (role=combobox, aria-expanded, option roles; typing Mexico, ArrowDown, Enter picks 'Mexico (MX)' and the form switches to IN -&gt; MX); the HS code lookup works from the keyboard (cotton -&gt; ArrowDown -&gt; Enter fills 62052000 and the description); Output Destinations &gt; Add / Edit destination and Custom Fields &gt; + New field are proper dialogs (role=dialog with a name, focus moves in to the Close button, Escape closes, focus returns to the opener). STILL FAILING: Users &gt; Invite user (labelled 'Invite user dialog', aria-modal, but focus stays on the button behind, Tab walks into the page's search box, Escape does nothing); Users &gt; Assign client (no role=dialog, focus stays behind, Escape does nothing); Printers &gt; Add printer (focus stays on the button behind, Escape does nothing); Printers &gt; Labels routing pop-over ('Routing for Default -&gt; Samsung': Escape does nothing, focus stays on the cell); Shipping Catalog &gt; Allowed packages (role=dialog and aria-modal but no accessible name, focus stays on the chip behind, Escape does nothing); Notifications toggle is still a bare checkbox labelled only 'On'. Not re-checked this run: Add printers from scan and the Track live dialog.</t>
  </si>
  <si>
    <t>Deferred to next round: HS lookup keyboard support + dialog focus/escape audit.
R6+1 (8ab23db5, 2026-10-15): CountrySelect now carries ArrowDown/Up/Enter/Escape keyboard support + aria-activedescendant / role=combobox / role=option so the shared country picker is reachable from the keyboard. HS code combobox landed earlier. Broader dialog focus/escape audit stays Deferred - that is a cross-cutting sweep across every Settings modal.</t>
  </si>
  <si>
    <t>BUG-124</t>
  </si>
  <si>
    <t>DTC Scheduler</t>
  </si>
  <si>
    <t>DTC label generation options (Only lines from the last hours, Max batches per run, Tenants)</t>
  </si>
  <si>
    <t>DTC Scheduler: the label-generation job's Tenants choice offers only ARHDEV, which is not a Multiship client, and none of the real clients</t>
  </si>
  <si>
    <t>1. Open Settings &gt; DTC Scheduler and scroll to DTC label generation
2. Read the Tenants buttons under Only lines from the last (hours) and Max batches per run
3. Compare with Settings &gt; Clients</t>
  </si>
  <si>
    <t>Viewed only</t>
  </si>
  <si>
    <t>Tenants lists the clients the job can run for (MKL246, THB000, ...), or the screen explains where the list comes from.</t>
  </si>
  <si>
    <t>Tenants shows two toggle buttons: 'All tenants' (pressed) and 'ARHDEV'. Settings &gt; Clients has MKL246, QA-1013-R5-CL01 and THB000; no ARHDEV exists, active or inactive. If the list comes from tenants seen in synced DTC batches it may be right, but nothing on the screen says so, and an admin cannot limit the job to MKL246 or THB000.</t>
  </si>
  <si>
    <t>Tenants fieldset: buttons 'All tenants' (aria-pressed true) and 'ARHDEV' (false). External Systems &gt; Writeback similarly lists MKL274 (BUG-121).</t>
  </si>
  <si>
    <t>http://localhost:5173/settings/dtc-scheduler</t>
  </si>
  <si>
    <t>BUG-124-R7.jpg</t>
  </si>
  <si>
    <t>S061</t>
  </si>
  <si>
    <t>2026-10-14 R6 (build local dev, 2026-10-14 (order-form modules reloaded 13:17 IST)): still-failing - R6: unchanged. DTC label generation &gt; Tenants still offers only 'All tenants' (pressed) and 'ARHDEV'.
2026-10-16 R7 (build local dev, 2026-10-16): fixed - R7: Settings &gt; DTC Scheduler &gt; DTC sync and labels &gt; Tenants now offers 'All tenants' (pressed), MKL246, QA-1016-CL01 and THB000 - the real clients from Settings &gt; Clients, including the QA client created this run. ARHDEV is gone, so an admin can limit the job to a real client. Viewed only; Run now, Save changes and the master switch were not touched. The labels still say 'Tenants' / 'All tenants' where the rest of Settings says 'Client' (BUG-110).</t>
  </si>
  <si>
    <t>Fixed on dev (e15ef349): DTC Scheduler tenants list pulled from Multiship clients (not Oracle NDS).</t>
  </si>
  <si>
    <t>BUG-125</t>
  </si>
  <si>
    <t>Currencies</t>
  </si>
  <si>
    <t>Currency lists differ across the app and the 'per-tenant allowlist' that Currencies points to does not exist under System settings</t>
  </si>
  <si>
    <t>1. Open Settings &gt; Currencies: 178 currencies and the note 'per-tenant allowlist can be set under System settings'
2. Open Settings &gt; System and look for a currency setting
3. Compare the Currency list on Orders &gt; New with Defaults &gt; Currency in the client wizard (Settings &gt; Clients &gt; + Add Client)</t>
  </si>
  <si>
    <t>One currency list (or one documented allowlist per client) drives every currency picker, and the Currencies note points to a setting that exists.</t>
  </si>
  <si>
    <t>System has Order channels, NDS fallbacks, Ship-from defaults and four platform secrets - no currency or allowlist setting. Orders &gt; New offers 10 currencies (USD, EUR, GBP, CAD, INR, AUD, SGD, JPY, CNY, AED - the first ten of the Currencies list); the client wizard offers a different 10 (USD, EUR, GBP, CAD, AUD, INR, JPY, CNY, MXN, AED - MXN instead of SGD). So MXN can be a client's default currency but is not in the order form's list, and SGD can be chosen on an order but not set as a client default.</t>
  </si>
  <si>
    <t>Currencies: GET /api/v1/admin/refdata/currencies -&gt; 178 rows; System: GET /api/v1/admin/system-settings has no currency key. Same pattern as the country lists in BUG-046.</t>
  </si>
  <si>
    <t>http://localhost:5173/settings/currencies</t>
  </si>
  <si>
    <t>BUG-125-R7-wizard.jpg</t>
  </si>
  <si>
    <t>S052</t>
  </si>
  <si>
    <t>Orders &gt; New order &gt; New order form (international); Settings &gt; Organization &gt; Clients &gt; Client wizard (Add / Edit); Settings &gt; System</t>
  </si>
  <si>
    <t>2026-10-14 R6 (build local dev, 2026-10-14 (order-form modules reloaded 13:17 IST)): still-failing - R6: the misleading pointer is gone - Currencies now reads just 'ISO 4217 currency catalog. Read-only.' But the lists still differ: Orders &gt; New offers USD, EUR, GBP, CAD, INR, AUD, SGD, JPY, CNY, AED; Importer / Broker &gt; New profile &gt; Customs currency offers USD, EUR, GBP, CAD, AUD, NZD, JPY, CNY, HKD, INR, MXN, BRL, SGD, CHF - no AED, but five currencies the order form lacks. The client wizard's list could not be opened (client editor down).
2026-10-16 R7 (build local dev, 2026-10-16): fixed - R7: the currency pickers now draw on one list. Orders &gt; New (Currency), Settings &gt; Importer / Broker &gt; Add profile (Customs currency) and Settings &gt; Clients &gt; Add Client wizard (Identity &gt; Defaults &gt; Currency) all offer exactly the same 15 currencies in the same order: USD, EUR, GBP, CAD, AUD, NZD, INR, SGD, HKD, JPY, CNY, AED, MXN, BRL, CHF (the last two add '- carrier default (USD) -' and '- none -' as their blank option). MXN is pickable on the order form, SGD as a client default. Settings &gt; Currencies still reads 'ISO 4217 currency catalog. Read-only.' with no pointer to a missing allowlist. Residual (not a new bug): the full catalog lists 178 currencies but only these 15 can be used anywhere, and the pages do not say so.</t>
  </si>
  <si>
    <t>Fixed on dev (d24684cc): Currencies description no longer references a non-existent per-tenant allowlist.
R6+1 (e17bf946, 2026-10-15): CURRENCY_ALLOWLIST (15 currencies) in utils/money.ts drives Orders/New, Customs profile, Client Identity + Markup. MXN / NZD / BRL etc. that were a client default but not pickable on the order form are now consistent across all three screens.</t>
  </si>
  <si>
    <t>BUG-126</t>
  </si>
  <si>
    <t>System</t>
  </si>
  <si>
    <t>Carrier Error Messages</t>
  </si>
  <si>
    <t>Rule grid (#, Carrier, Match any of, Humanized message)</t>
  </si>
  <si>
    <t>Carrier Error Messages: the billing-account message tells users to 'check Settings -&gt; Carriers', a menu item that no longer exists (it is Carrier Accounts)</t>
  </si>
  <si>
    <t>1. Open Settings &gt; Carrier Error Messages
2. Read rule 30 (NOT A REGISTERED / NOT AUTHORIZED / NOT AUTHORISED / UNAUTHORIZED)
3. Look for 'Carriers' in the Settings menu</t>
  </si>
  <si>
    <t>The message names the screen as it appears in the menu: 'check Settings &gt; Carrier Accounts'.</t>
  </si>
  <si>
    <t>Rule 30 reads '{carrier} rejected the billing account. The account isn't authorised for this carrier - check Settings -&gt; Carriers.' The menu has 'Carrier Accounts' and 'Carriers (platform)', so a user who hits this error on a shipment is pointed at a name that matches neither exactly. The page also mixes spellings ('Humanized message' / 'authorised').</t>
  </si>
  <si>
    <t>GET /api/v1/admin/carrier-error-messages, rule 30.</t>
  </si>
  <si>
    <t>http://localhost:5173/settings/carrier-error-messages</t>
  </si>
  <si>
    <t>BUG-126.jpg</t>
  </si>
  <si>
    <t>S063</t>
  </si>
  <si>
    <t>2026-10-14 R6 (build local dev, 2026-10-14 (order-form modules reloaded 13:17 IST)): fixed - R6: rule 30 now reads '{carrier} rejected the billing account. The account isn't authorised for this carrier - check Settings -&gt; Carrier Accounts.'</t>
  </si>
  <si>
    <t>BUG-127</t>
  </si>
  <si>
    <t>Logs</t>
  </si>
  <si>
    <t>Export CSV and Export</t>
  </si>
  <si>
    <t>Logs: two export buttons side by side do different things - Export CSV always downloads the whole log (5.8 MB, 34,622 rows) whatever is filtered, Export saves only the visible page</t>
  </si>
  <si>
    <t>1. Open Settings &gt; Logs, pick the Shipments tab or type an order number in Order #
2. Click Export CSV (a link to /api/v1/audit-log/export)
3. Click Export</t>
  </si>
  <si>
    <t>Both downloads were intercepted in the page; no file was saved</t>
  </si>
  <si>
    <t>One export, named clearly, that respects the category, order, search and date filters on screen (or two buttons whose labels say 'all entries' and 'this page').</t>
  </si>
  <si>
    <t>Export CSV is a plain link with no parameters: it returns all 34,622 entries (5.8 MB, 13 columns: id, createdAt, actor, action, entityType, entityId, entityKey, clientCode, category, severity, orderNo, notes, changes) no matter what is filtered. Export, right next to it, builds a 7-column file (When, Actor, Action, Order, Type, Entity, Notes) from the 25 rows of the current page only, named audit-log-2026-10-14T02-37-20-861Z.csv (UTC time in the name). Neither tells the user which one they are getting.</t>
  </si>
  <si>
    <t>GET /api/v1/audit-log/export -&gt; 200, 5,802,003 bytes, 34,626 lines; grid Export blob 2,777 bytes, 25 records. Values such as the '=1+1 QA-1013-R5' account name appear only inside the quoted changes JSON, so no cell starts with '='.</t>
  </si>
  <si>
    <t>http://localhost:5173/settings/audit-log</t>
  </si>
  <si>
    <t>BUG-127.jpg, BUG-127-R7-export.jpg</t>
  </si>
  <si>
    <t>S064</t>
  </si>
  <si>
    <t>2026-10-14 R6 (build local dev, 2026-10-14 (order-form modules reloaded 13:17 IST)): still-failing - R6: half fixed. Export CSV now follows the filters on screen: on Shipments with Order # 934194 its link is /api/v1/audit-log/export?category=SHIPMENT&amp;orderNo=934194 and returns that one entry (13 columns). But the Export button beside it still saves only the visible page - 25 rows of the 33,400 Shipments entries, 7 columns, named audit-log-2026-10-14T09-32-31-361Z.csv (UTC) - while its tooltip says 'visible columns, filtered rows', and neither label says which is the full export.
2026-10-16 R7 (build local dev, 2026-10-16): fixed - R7: the two buttons are now told apart. Logs &gt; Shipments, Order # 934196: the link is labelled 'Export all (CSV)', points to /api/v1/audit-log/export with category=SHIPMENT and orderNo=934196 (it follows the filters) and its tooltip says that the 'Export' button saves only the current page; 'Export' still builds the 7-column file from the rows on screen. Residual (wording only): the plain 'Export' label does not say 'this page' and its own tooltip still reads 'visible columns, filtered rows'; with a filter on, 'Export all' means 'all matching', not the whole log. Downloads were intercepted, no file saved.</t>
  </si>
  <si>
    <t>Deferred to next round: Export button (visible page) vs Export CSV (full) wording clarified later.
R6+1 (2026-10-15): Already on HEAD — AuditLogPage labels the second button 'Export all (CSV)' (full set) vs the AdvancedDataTable 'Export' (current page).</t>
  </si>
  <si>
    <t>BUG-128</t>
  </si>
  <si>
    <t>Completeness of the audit trail (changes made in this run)</t>
  </si>
  <si>
    <t>Logs: most Settings changes leave no audit entry - templates, code maps, customs profiles, custom fields, printers, scanner keys and mail providers are never logged</t>
  </si>
  <si>
    <t>1. During this run, create and delete records on Shipping Catalog, Code Maps, Carrier Limits, Cutoffs &amp; Holidays, Importer / Broker, Templates, Custom Fields, Printers (including a scanner key) and Mail (all QA-1013-R5 test records, 13 Oct 17:30-20:15)
2. Open Settings &gt; Logs, All logs, newest first
3. Open Filters &gt; Entity type and pick LABEL_TEMPLATE, CODE_MAP or CUSTOMS_PROFILE</t>
  </si>
  <si>
    <t>QA records D026-D038 (all created and removed through the UI in this run)</t>
  </si>
  <si>
    <t>Every create, update and delete on a Settings screen is written to the log with actor, entity and change, as clients, warehouses and carrier accounts already are - above all for secrets (mail provider token, scanner key) and for anything that changes how labels are produced.</t>
  </si>
  <si>
    <t>After 'Oct 13, 5:28 PM - Carrier account updated: UPS/QA13R5' the next entries are the sign-ins of Oct 14, 7:32 and 7:45 AM; none of the dozens of changes in between appears. The newest 200 entries contain only AUTH, CARRIER_ACCOUNT, WAREHOUSE, CLIENT and ORDER rows. The Entity type filter offers LABEL_TEMPLATE, ROUTING_RULE, CODE_MAP, CUSTOMS_PROFILE, CLIENT_POLICY and CLIENT_MARKUP, and each of them returns 0 entries in total, although a label template, code-map aliases and a customs profile were created and deleted in this run. No one can tell afterwards who changed a mail provider, enrolled a scanner, or edited the holiday calendar.</t>
  </si>
  <si>
    <t>GET /api/v1/audit-log?entityType=LABEL_TEMPLATE (and CODE_MAP, CUSTOMS_PROFILE, ROUTING_RULE, CLIENT_POLICY, CLIENT_MARKUP) -&gt; totalElements 0; entityType=CLIENT -&gt; 30, so the filter works. BUG-085 (invite resend / revoke not audited) is a narrower case of the same gap.</t>
  </si>
  <si>
    <t>BUG-128.jpg, BUG-128-R7-labeltemplate.jpg, BUG-128-R7-logs.jpg</t>
  </si>
  <si>
    <t>Settings &gt; Carriers &amp; Services &gt; Shipping Catalog; Settings &gt; Carriers &amp; Services &gt; Code Maps; Settings &gt; Carriers &amp; Services &gt; Carrier Limits; Settings &gt; Carriers &amp; Services &gt; Cutoffs &amp; Holidays; Settings &gt; International &gt; Importer / Broker; Settings &gt; Labels &amp; Documents &gt; Templates; Settings &gt; Labels &amp; Documents &gt; Custom Fields; Settings &gt; Labels &amp; Documents &gt; Printers; Settings &gt; Email &amp; Alerts &gt; Mail</t>
  </si>
  <si>
    <t>2026-10-14 R6 (build local dev, 2026-10-14 (order-form modules reloaded 13:17 IST)): still-failing - R6: unchanged. This run created, edited and deleted QA records on Shipping Catalog (package preset), Carrier Limits, Cutoffs &amp; Holidays (four rules and a holiday), Address book and Printers (create, test print, edit, delete) between 14:00 and 14:55; Logs shows none of them - the newest entry is 'Oct 14, 2:02 PM CREATE WAREHOUSE QA-1014-R6-WH01'.
2026-10-16 R7 (build local dev, 2026-10-16): still-failing - R7: unchanged on the running build. Today (16 Oct) I created, edited and deleted QA records on Custom Fields (2 fields, move up/down), Output Destinations (7), Mail (a provider with a dummy token), Label Templates (3), Code Maps (alias), Cutoffs &amp; Holidays (4 rules and a holiday), Carrier Limits, Importer / Broker (profile), Printers (a printer and a scanner enrolment) and External Systems (a throw-away connection). Logs, newest first, shows none of them: only CLIENT, WAREHOUSE, CARRIER_ACCOUNT, AUTH and ORDER entries appear, and every Entity type query for LABEL_TEMPLATE, CODE_MAP, CUSTOMS_PROFILE and the other offered types returns 0. The developers' notes say the audit wiring is on HEAD (f46b6f01 and f14bcf08), so the backend I tested most likely does not contain those commits or the calls are not firing - please restart the backend from HEAD and I will re-walk it.</t>
  </si>
  <si>
    <t>Deferred to next round: Big — audit calls on templates / code maps / customs profiles / custom fields / printers / scanners / mail. Multi-service pass.
R6+1 sprint 1 (f46b6f01, 2026-10-15): AuditService wired into LabelTemplateServiceImpl, ClientCodeMapServiceImpl, ClientCustomsProfileServiceImpl, CustomFieldServiceImpl, ClientBillingMarkupServiceImpl, RoutingRuleServiceImpl, PrinterScanService + MailConfigService. 56/56 related unit tests green. Dev status stays Deferred because the second half (Printers CRUD / Cutoffs / Address book / Pickups / Output Destinations) is batched for sprint 2.
R6+1 sprint 2 (f14bcf08, 2026-10-15): AuditService wired into PrinterService (Settings &gt; Printers CRUD), CutoffAdminController (cutoff rules + holidays), SavedRecipientServiceImpl (Address book) and OutputDestinationAdminService (output destinations). Pickups already recorded via CarrierEodLogger. 38/38 related unit tests green.</t>
  </si>
  <si>
    <t>BUG-129</t>
  </si>
  <si>
    <t>Filters (actor, entity type, action, since, until)</t>
  </si>
  <si>
    <t>Logs &gt; Filters: Entity type and Action lists do not match the log - AUTH, ORDER, LOGIN, LABEL_GENERATED and others cannot be picked, six offered types never occur</t>
  </si>
  <si>
    <t>1. Open Settings &gt; Logs and click Filters
2. Open Entity type and Action
3. Compare with the Type and Action columns of the grid (e.g. AUTH / LOGIN, ORDER / LABEL_GENERATED)</t>
  </si>
  <si>
    <t>The lists offer the types and actions that are actually logged, so every row in the grid can be filtered to.</t>
  </si>
  <si>
    <t>Entity type offers CLIENT, WAREHOUSE, CARRIER_ACCOUNT, LABEL_TEMPLATE, ROUTING_RULE, CODE_MAP, CUSTOMS_PROFILE, CLIENT_POLICY, CLIENT_MARKUP - not AUTH or ORDER, which make up most of the 34,622 rows. Action offers CREATE, UPDATE, DELETE, TOGGLE_ACTIVE, CASCADE_DISABLE, CASCADE_ENABLE - not LOGIN, LOGIN_FAILED, LABEL_GENERATED, CARRIER_REJECTED, ATTACH_WAREHOUSE or DETACH_WAREHOUSE, all of which are in the log. Failed sign-ins can only be found through the Errors tab.</t>
  </si>
  <si>
    <t>Filter option lists read from the page; types and actions counted from GET /api/v1/audit-log (newest 200 rows).</t>
  </si>
  <si>
    <t>BUG-129.jpg, BUG-129-R7-filters.jpg</t>
  </si>
  <si>
    <t>2026-10-14 R6 (build local dev, 2026-10-14 (order-form modules reloaded 13:17 IST)): still-failing - R6: unchanged. Filters &gt; Entity type offers CLIENT, WAREHOUSE, CARRIER_ACCOUNT, LABEL_TEMPLATE, ROUTING_RULE, CODE_MAP, CUSTOMS_PROFILE, CLIENT_POLICY, CLIENT_MARKUP (no AUTH, no ORDER); Action offers CREATE, UPDATE, DELETE, TOGGLE_ACTIVE, CASCADE_DISABLE, CASCADE_ENABLE (no LOGIN, no LABEL_GENERATED), while the Shipments tab is all ORDER / LABEL_GENERATED rows.
2026-10-16 R7 (build local dev, 2026-10-16): still-failing - R7: mostly fixed, not complete. Filters &gt; Entity type now offers AUTH, ORDER and the other constants, and Action offers LOGIN, LOGIN_FAILED, LABEL_GENERATED, CARRIER_REJECTED and the rest, so Failed sign-ins and the Shipments rows can be filtered to. Still missing from Action: ATTACH_WAREHOUSE (15 rows in the log) and DETACH_WAREHOUSE (2 rows), both named in the original bug - the server accepts them as a filter (15 and 2 entries) but the dropdown does not list them. The lists are still hard-coded: LOGOUT and seven offered entity types never occur in the log (entityType queries return 0), so the lists still do not match what is logged. A filter-values endpoint (the developer's own suggestion) would close it.</t>
  </si>
  <si>
    <t>Deferred to next round: Logs filter Entity type + Action lists need DB-driven population.
R6+1 (c39e9e6e, 2026-10-15): AuditLogPage dropdowns extended to cover every AuditService entity + action constant (IMPORT_BATCH + LABEL_REGENERATED / LABEL_VOID_REFUSED / CARRIER_REJECTED / IMPORT_SAVED / IMPORT_GENERATED / LOGIN_FAILED). Hardcoded against the backend constants rather than DB-driven - swap to a /api/v1/audit-log/filter-values endpoint if the enum ever grows.</t>
  </si>
  <si>
    <t>BUG-130</t>
  </si>
  <si>
    <t>Row details (request and response bodies, redaction)</t>
  </si>
  <si>
    <t>Carrier API Log: rows written before the client_id fix still show OAuth client ids in clear - 68 of the 86 stored token requests, back to 8 Oct</t>
  </si>
  <si>
    <t>1. Open Settings &gt; Carrier API Log
2. Open a POST to .../oauth/token logged before the rebuild of 13 Oct (e.g. Stamps #1641 at 03:20 UTC, FedEx #1636 at 03:03 UTC)
3. Compare with a token request logged after it (Stamps #1725, FedEx #1672)</t>
  </si>
  <si>
    <t>Once the masking rule exists, the stored rows it would have covered are scrubbed too (or purged), so no screen still shows a credential.</t>
  </si>
  <si>
    <t>New rows are masked ('client_id':'***' in JSON bodies and client_id=*** in FedEx form bodies), but every older row keeps the full value: of 86 token requests in the log, 6 are masked, 68 still carry a readable 32- or 34-character client_id (Stamps and FedEx, from 2026-10-08 on) and 12 UPS requests carry none. Anyone with Settings access can still read them, which is what BUG-065 was about.</t>
  </si>
  <si>
    <t>GET /api/v1/admin/carrier-api-log/{id} for every oauth/token row: masked 6, clear 68, absent 12 (values not copied into this report).</t>
  </si>
  <si>
    <t>2026-10-14 R6 (build local dev, 2026-10-14 (order-form modules reloaded 13:17 IST)): still-failing - R6: unchanged for the stored rows. Of 92 oauth/token rows, 12 are masked (the newer ones), 68 still carry a readable client_id (Stamps and FedEx, 8-13 Oct, newest #1641) and 12 carry none. Values not copied into this report.
2026-10-16 R7 (build local dev, 2026-10-16): fixed - R7: the client_id scrub worked on the stored history. Of the 108 oauth/token rows (Stamps 82, FedEx 14, UPS 12) all 96 that carry a client_id show it masked ('***' in JSON bodies and in the FedEx form body) - none is readable, from id 1 (8 Oct) to id 1829; the 12 UPS rows carry none (UPS sends its credentials in a header that is not stored). Residual: the same older rows (ids 1 to 1580, 8-12 Oct) still show the client_secret, refresh_token and access_token in clear - logged as BUG-161 (High, Security). Values not copied into this report.</t>
  </si>
  <si>
    <t>Fixed on dev (V157): V157 redacts client_id in old carrier_api_log rows.
R6+1 (V162 2207535b, 2026-10-15): V162 masks client_id at START of carrier_api_log request_body; V157's regex only caught `?`/`&amp;` prefixes, FedEx form bodies open with the field.</t>
  </si>
  <si>
    <t>BUG-131</t>
  </si>
  <si>
    <t>Filters (Carrier, Order no., Tracking)</t>
  </si>
  <si>
    <t>Carrier API Log: Order no. and Tracking filters can never match - no row stores an order or tracking number - and Carrier only matches the exact upper-case code</t>
  </si>
  <si>
    <t>1. Open Settings &gt; Carrier API Log
2. Type 934193 in Order no. (the FedEx label made in this run) - then a tracking number
3. Type 'ups', then 'UPS', in Carrier</t>
  </si>
  <si>
    <t>Order #934193 (FedEx sandbox label of 13 Oct)</t>
  </si>
  <si>
    <t>The calls made for an order can be found by its order or tracking number, and the carrier filter is not case-sensitive (or is a picker).</t>
  </si>
  <si>
    <t>Order no. 934193 -&gt; 'Showing 0 of 0'. All 1,731 rows have an empty Order and Tracking, including the 757 shipment POSTs such as the FedEx /ship/v1/shipments call that produced #934193, so both filters always come back empty. Carrier 'ups' -&gt; 0 rows, 'UPS' -&gt; 412; each keystroke sends a request (carrier=U, UP, UPS). The page description admits the gap: 'Infrastructure present; connector wiring lands as follow-ups.'</t>
  </si>
  <si>
    <t>GET /api/v1/admin/carrier-api-log?orderNo=934193 -&gt; 0; all pages read: orderNo and tracking null on 1,731 of 1,731 rows.</t>
  </si>
  <si>
    <t>BUG-131-R7.jpg</t>
  </si>
  <si>
    <t>2026-10-14 R6 (build local dev, 2026-10-14 (order-form modules reloaded 13:17 IST)): still-failing - R6: partly fixed. One newer row (#1749, the FedEx tracking call for #934193 on 14 Oct) now stores the order number and tracking number, and Order no. 934193 finds it. Older rows, including every shipment POST, still have none (1 of 1,769 rows has an order), so Order no. 934194 still finds nothing; no label was bought in this run to see whether new shipment calls are tagged. Carrier is still case-sensitive: 'ups' -&gt; 0 rows, 'UPS' -&gt; 412.
2026-10-16 R7 (build local dev, 2026-10-16): fixed - the new shipment calls are tagged and the carrier filter is no longer case-sensitive. The FedEx /ship/v1/shipments POSTs of the two labels bought in this run show Order 934196 and 934195 in the Order column, Order no. 934196 and Tracking 794893251454 each find that one row, and Carrier 'ups' now returns the same 412 rows as 'UPS' (R6: 0 rows). The rate-quote and package-validate calls made before the order exists have no order, as they cannot; older rows are not back-filled (Order no. 934194 -&gt; 'No API-log rows match those filters').</t>
  </si>
  <si>
    <t>Deferred to next round: User chose "every connector call" — multi-file threading of orderNo/tracking into carrier HTTP interceptor. Punt to dedicated session.</t>
  </si>
  <si>
    <t>BUG-132</t>
  </si>
  <si>
    <t>Email Delivery Log</t>
  </si>
  <si>
    <t>Delivery grid (When, Template, Recipient, Status, Provider, Latency, Actions)</t>
  </si>
  <si>
    <t>Email Delivery Log marks every email SENT although no mail provider is active and nothing left the system - invites look delivered when they were only logged</t>
  </si>
  <si>
    <t>1. Open Settings &gt; Mail: 'No provider active - outbound emails are logged only.'
2. Invite a user from Settings &gt; Users (QA address on example.com)
3. Open Settings &gt; Email Delivery Log and read Status and Provider</t>
  </si>
  <si>
    <t>QA invites to "qa-1013-r5-&lt;i&gt;x&lt;/i&gt;"@example.com (revoked earlier in the run)</t>
  </si>
  <si>
    <t>With no provider the row says LOGGED (or NOT SENT - no provider), so an admin can see the invite never reached the person.</t>
  </si>
  <si>
    <t>All 7 rows read Status SENT, Provider '-', Latency 1-2 ms; the API stores providerKind null and providerId null with status SENT. An admin checking why a new user never received an invite or a password-reset link is told it was sent. The FAILED filter returns 'No delivery rows match those filters.'</t>
  </si>
  <si>
    <t>GET /api/v1/admin/notification-delivery-log -&gt; 7 rows, status SENT, providerKind null; GET /api/v1/admin/mail-providers -&gt; no providers.</t>
  </si>
  <si>
    <t>http://localhost:5173/settings/notification-delivery-log</t>
  </si>
  <si>
    <t>BUG-132.jpg</t>
  </si>
  <si>
    <t>S066</t>
  </si>
  <si>
    <t>2026-10-14 R6 (build local dev, 2026-10-14 (order-form modules reloaded 13:17 IST)): fixed - R6: with no mail provider active, new rows are now FAILED, with 'No active mail provider - email was not sent. Enable a provider under Settings -&gt; Mail.' (the two QA invites of 14:06 and the developers' verify-dup invite of 13:12). The older rows keep SENT.</t>
  </si>
  <si>
    <t>BUG-133</t>
  </si>
  <si>
    <t>Stored message content (API)</t>
  </si>
  <si>
    <t>Email Delivery Log stores the full body of sign-in emails, including the live invite link with its token, and returns it to any admin through the API</t>
  </si>
  <si>
    <t>1. Invite a user from Settings &gt; Users
2. Open Settings &gt; Email Delivery Log (the table shows no body)
3. Read the row through GET /api/v1/admin/notification-delivery-log, as the page itself does</t>
  </si>
  <si>
    <t>QA invite to "qa-1013-r5-&lt;i&gt;x&lt;/i&gt;"@example.com (already revoked, so its link is dead)</t>
  </si>
  <si>
    <t>The log keeps what is needed to trace a delivery (template, recipient, status, provider, error) but masks one-time links and tokens, as the Carrier API Log does for carrier tokens.</t>
  </si>
  <si>
    <t>Each row carries the rendered body: 'You've been invited to join Multiship as USER for client QA-1013-R5-CL01... Accept the invite (expires in 7 days): http://localhost:5173/invite/&lt;48-character token&gt; ...'. Anyone who can read the log can open a pending invite meant for someone else and join with that role and client. The same template set includes AUTH.PASSWORD_RESET and AUTH.VERIFY_EMAIL, whose links would be stored the same way, and Retry re-sends the stored message.</t>
  </si>
  <si>
    <t>GET /api/v1/admin/notification-delivery-log -&gt; body field with the invite URL and token (token not copied into this report). Only already-revoked QA invites were inspected.</t>
  </si>
  <si>
    <t>2026-10-14 R6 (build local dev, 2026-10-14 (order-form modules reloaded 13:17 IST)): fixed - R6: new rows store the invite link masked ('http://localhost:5173/invite/[redacted]'). The seven older rows (12-13 Oct) still hold their clear tokens, but none of those invites is pending any more (Pending invites holds only verify-dup, whose row is masked, and an expired invite). Token values not copied.</t>
  </si>
  <si>
    <t>BUG-134</t>
  </si>
  <si>
    <t>Writeback Journal</t>
  </si>
  <si>
    <t>Filters (Connection, Status, Mode, Order no., Reset filters)</t>
  </si>
  <si>
    <t>Writeback Journal: the Status filter's SKIPPED never matches - the rows are stored as SKIPPED_INACTIVE - and Retry is offered on every row, including OK ones</t>
  </si>
  <si>
    <t>1. Open Settings &gt; Writeback Journal (280 rows)
2. Pick Status SKIPPED, then OK
3. Look at the Actions column of an OK row and of the SKIPPED_INACTIVE rows (not clicked)</t>
  </si>
  <si>
    <t>Status SKIPPED lists the skipped rows, the status column uses the same words as the filter, and Retry appears only on FAILED rows, as the description promises ('Retry any failed row to re-fire through the dispatcher').</t>
  </si>
  <si>
    <t>SKIPPED -&gt; 'No journal rows match those filters.', although 279 of the 280 rows show SKIPPED_INACTIVE (raw code in the Status column); OK -&gt; 1 row (#933789, 10/8). Every row - the OK one and all skipped ones - carries a Retry button, so an admin can re-fire a writeback that already succeeded. The times are UTC shown as local (BUG-119).</t>
  </si>
  <si>
    <t>GET /api/v1/admin/writeback-journal?status=SKIPPED -&gt; 0; all pages: status SKIPPED_INACTIVE 279, OK 1, mode GENERATE 280.</t>
  </si>
  <si>
    <t>http://localhost:5173/settings/writeback-journal</t>
  </si>
  <si>
    <t>BUG-134.jpg, BUG-134-R7-journal.jpg, BUG-134-R7-ok-row.jpg</t>
  </si>
  <si>
    <t>S067</t>
  </si>
  <si>
    <t>2026-10-14 R6 (build local dev, 2026-10-14 (order-form modules reloaded 13:17 IST)): still-failing - R6: half fixed. The Status filter now offers 'Skipped (inactive target)', which matches 280 rows. But the Status column still shows the raw SKIPPED_INACTIVE, and Retry is still offered on every row, including the one OK row (#933789).
2026-10-16 R7 (build local dev, 2026-10-16): fixed - R7: Status filter offers 'Any / OK / Skipped (inactive target) / FAILED / PENDING' and Skipped matches the rows; the Status column now reads 'Skipped (inactive)' instead of SKIPPED_INACTIVE; the one OK row (#933789) has '-' in Actions instead of a Retry button. Residual (not a new bug): Retry is still offered on every Skipped row (283 rows in total), although the page text says 'Retry any failed row'; that may be deliberate - to re-fire after the target connection is activated - but the page does not say so. Retry was not clicked.</t>
  </si>
  <si>
    <t>Fixed on dev (a601e4aa): Writeback Journal Status cell humanises; Retry hidden on OK rows.
R6+1 (e17bf946, 2026-10-15): SKIPPED_INACTIVE added to the WritebackJournalStatus union + badge map so the humanised cell doesn't rely on a hard cast.</t>
  </si>
  <si>
    <t>BUG-135</t>
  </si>
  <si>
    <t>Alerts grid (Fired, Source, Tenant, Order, Reason)</t>
  </si>
  <si>
    <t>Alerts History: alerts that need a manual void carry no tenant or order, so the operator cannot tell which shipment to fix and the Tenant / Order filters never match</t>
  </si>
  <si>
    <t>1. Open Settings &gt; Alerts History (9 alerts)
2. Read Tenant and Order on the STAMPS_SERA_MPS_ROLLBACK_VOID_FAILED rows; hover the Reason
3. Type MKL246 in Tenant code or an order number in Order no.</t>
  </si>
  <si>
    <t>Each alert names the client and order it concerns (the API already has tenantCode and targetOrderNo fields), so 'manual void required' can be acted on and filtered.</t>
  </si>
  <si>
    <t>All 9 alerts show '-' for Tenant and Order; the API returns tenantCode null, targetOrderNo null and importBatchId null for every one. The only pointer to the shipment is a label_id buried in the Reason tooltip ('SERA rollback void failed for label_id 4553edf5-... Manual void required.'). The visible Reason now ends at the carrier's sentence, so the instruction 'Manual void required' is only in the tooltip.</t>
  </si>
  <si>
    <t>GET /api/v1/admin/alerts/history -&gt; 9 rows, tenantCode / targetOrderNo / importBatchId all null.</t>
  </si>
  <si>
    <t>BUG-135.jpg, BUG-135-R7.jpg</t>
  </si>
  <si>
    <t>2026-10-14 R6 (build local dev, 2026-10-14 (order-form modules reloaded 13:17 IST)): still-failing - R6: no alert has fired since R5; the 9 stored alerts still show '-' for Tenant and Order (API tenantCode and targetOrderNo null). Whether a newly fired alert would carry them could not be checked.
2026-10-16 R7 (build local dev, 2026-10-16): cannot-retest - the fix only applies to alerts fired from now on, and none has fired: the 9 stored alerts (last fired Oct 11, 5:38 PM) still show a dash for Tenant and Order. A STAMPS_SERA_MPS rollback needs a USPS multi-piece shipment that fails part way, which cannot be provoked on demand in the sandbox. To be checked when the next such alert appears.</t>
  </si>
  <si>
    <t>Fixed on dev (d5f6d288): rollbackSuccessfulPiecesSera overload threads orderNo (parseLongSafe(referenceNumber)) + tenantCode (departmentNumber per PR #543) into the three SERA MPS rollback alerts; Alerts History Tenant/Order columns populated for them.</t>
  </si>
  <si>
    <t>BUG-136</t>
  </si>
  <si>
    <t>Return tab: Return from - customer block and shipment check</t>
  </si>
  <si>
    <t>Return label: 'Return from - customer' opens pre-filled with the client's own warehouse, and the shipment check passes a return whose origin and destination are the same address</t>
  </si>
  <si>
    <t>1. Orders &gt; New, Return tab, client MKL246 (carrier FedEx, sandbox account 740561111)
2. Read the Return from - customer block before typing anything
3. Enter only the customer's name and email, pick a reason, Validate shipment, Generate return label</t>
  </si>
  <si>
    <t>Return #934194 (FedEx Ground SANDBOX label, reason Defective, customer QA-1013-R5 Returner)</t>
  </si>
  <si>
    <t>The customer block starts empty (it is the customer's address, not ours), and the check refuses - or at least warns about - a return whose from and to addresses are the same.</t>
  </si>
  <si>
    <t>The customer block opens with 8191 Logistics Dr, Zeeland MI 49464 and +1 616-772-3513 - the 3PL-EAST warehouse that the return is going back to. In this run the first return kept that address while the customer's name and email were filled in (the address boxes had been set by a script and did not take). The check showed Addresses: Passed and the label was bought: the FedEx ZPL reads FROM: QA-1013-R5 Returner, 8191 Logistics Dr, Zeeland MI 49464 - TO: Central Warehouse / MKL, 8191 Logistics Dr, Zeeland MI 49464. A keyboard retry with the real customer address (100 Monroe Center St NW, Grand Rapids 49503) sends that address correctly in both the validate and the label request (captured; the purchase was blocked in the page), so the defect is the pre-fill plus the missing same-address check, not the request.</t>
  </si>
  <si>
    <t>GET /api/v1/orders/934194/label -&gt; shipper and returnTo 8191 Logistics Dr, Zeeland; decoded ZPL text as quoted. Second attempt: POST /api/v1/shipments/validate body sender = 100 Monroe Center St NW, Grand Rapids.</t>
  </si>
  <si>
    <t>BUG-136.jpg, BUG-136-2.jpg, BUG-136-R7-check.jpg, BUG-136-R7-switch.jpg, BUG-136-R7.png</t>
  </si>
  <si>
    <t>2026-10-14 R6 (build local dev, 2026-10-14 (order-form modules reloaded 13:17 IST)): still-failing - R6: unchanged on both counts. A fresh /orders/new, Return tab first, client MKL246, carrier FedEx: 'Return from - customer' opens with name and company empty but Address line 1 8191 Logistics Dr, United States, phone +1 616-772-3513, MI, Zeeland, 49464 - the 3PL-EAST address that 'Return to - your address' also shows. With only the customer's name (QA-1014-R6 Returner), email (qa-1014-r6-returner at example.com), reason Defective, THB-PACKAGE 2 lb added, Validate sends sender and recipient both '8191 Logistics Dr, Zeeland' and gets overall PASS 'Local + FEDEX checks passed. Ready to generate the label.'; the check reads 'Ready to ship - 1 thing to review' with Addresses: Passed, and Generate return label is enabled. Nothing was bought (the label request is blocked in the page).
2026-10-16 R7 (build local dev, 2026-10-16): still-failing - half fixed. Shipment tab first, client MKL246 picked, then the Return tab: 'Return from - customer' now opens empty, as the developers describe. The R6 path still fails: New return (Return form first), then pick client MKL246 -&gt; 'Return from - customer' fills with 8191 Logistics Dr, Zeeland MI 49464, +1 616-772-3513, MI, the same 3PL-EAST address that 'Return to' shows. And the check still passes a return whose from and to are the same address: name QA-1016 Returner, email, reason Defective, THB-PACKAGE 2 lb, Validate -&gt; 'All checks passed - ready to generate the label', Addresses: Passed, Generate return label enabled (nothing bought on that attempt).</t>
  </si>
  <si>
    <t>Deferred to next round: Return label origin same as recipient; needs ReturnFromCustomer prefill rewrite.
R6+1 (c39e9e6e, 2026-10-15): switching SHIPMENT -&gt; RETURN now clears the sender block when it still matches the warehouse address exactly, so 'Return from * customer' opens blank for the operator to fill. Anything typed is preserved.</t>
  </si>
  <si>
    <t>BUG-137</t>
  </si>
  <si>
    <t>Label documents: the preview of ZPL return label #934194 prints SHIP FROM 'Multiship Warehouse, 1 Warehouse Way, Bengaluru' - an address that is on neither the order nor the label</t>
  </si>
  <si>
    <t>1. Generate a sandbox FedEx return (ZPL) for MKL246 - here #934194
2. Open the label page /label/934194, tagged 'Main label - this is what prints'
3. Compare its SHIP FROM with the order and with the ZPL (Download .zpl / Copy ZPL)</t>
  </si>
  <si>
    <t>Return #934194 (sandbox)</t>
  </si>
  <si>
    <t>The preview shows the same ship-from as the label (here QA-1013-R5 Returner, 8191 Logistics Dr, Zeeland).</t>
  </si>
  <si>
    <t>The preview card reads SHIP TO Central Warehouse, 8191 Logistics Dr, Zeeland MI 49464, US and SHIP FROM Multiship Warehouse, 1 Warehouse Way, Bengaluru, KA 560001 - the platform's fallback shipper from Settings &gt; System &gt; Ship-from defaults - on a FedEx Ground US domestic label. The order and the FedEx ZPL both have QA-1013-R5 Returner at 8191 Logistics Dr, Zeeland. Someone checking the preview before printing sees a ship-from in India that will not be on the label.</t>
  </si>
  <si>
    <t>GET /api/v1/orders/934194/label: shipper 8191 Logistics Dr, Zeeland; ZPL ^FD text has no Bengaluru. Outbound #934193 (PDF) shows the carrier's own label image instead of this card.</t>
  </si>
  <si>
    <t>http://localhost:5173/label/934194</t>
  </si>
  <si>
    <t>BUG-137.png, BUG-137-2.jpg, BUG-137-R7.jpg</t>
  </si>
  <si>
    <t>2026-10-14 R6 (build local dev, 2026-10-14 (order-form modules reloaded 13:17 IST)): still-failing - R6: unchanged. /label/934194 (FedEx Ground return, ZPL) still previews SHIP FROM 'Multiship Warehouse, 1 Warehouse Way, Bengaluru, KA 560001' under SHIP TO Central Warehouse, 8191 Logistics Dr, Zeeland MI 49464, while GET /api/v1/orders/934194/label returns shipper 'QA-1013-R5 Returner, 8191 Logistics Dr, Zeeland MI 49464'. The label page's modules were not reloaded with the 13:17 change, so no new return label was bought to check it.
2026-10-16 R7 (build local dev, 2026-10-16): still-failing - new return label #934196 (FedEx Ground, ZPL, bought on the sandbox account 740561111 for QA-1016 Returner): /label/934196 previews SHIP TO Central Warehouse, 8191 Logistics Dr, Zeeland MI 49464 and SHIP FROM 'Multiship Warehouse, 1 Warehouse Way, Bengaluru, KA 560001', while GET /api/v1/orders/934196/label has shipper QA-1016 Returner, 8191 Logistics Dr, Zeeland and the ZPL reads FROM: QA-1016 Returner, 8191 Logistics Dr, Zeeland. HEAD /api/v1/orders/934196/label/preview.png?pkg=1 answers 503, so the page falls back to its own card, which still takes the platform default shipper. The old label #934194 being immutable is fair, but a new label shows the same preview fault. What the label itself prints is a separate fault, BUG-149.</t>
  </si>
  <si>
    <t>Deferred to next round: ZPL return label SHIP FROM "Multiship Warehouse, Bengaluru"; return-shipper is wrong at label-generation time, baked into the stored ZPL. Needs FedExConnector return branch fix. User chose deep-dive.
R6+1 (2026-10-15): FedExConnector builds the shipper block from request.getShipperXxx() verbatim - no tenant-settings fallback. BUG-136 fix (c39e9e6e) stops the FE from pre-filling the warehouse address in Return mode, so every NEW return label will carry the customer's address on SHIP FROM. Historical ZPL for #934194 remains unchanged (stored label is immutable).</t>
  </si>
  <si>
    <t>BUG-138</t>
  </si>
  <si>
    <t>Client wizard: a draft resumed after a page reload keeps its staged carrier account but not the client ID and secret, yet Summary marks it READY and Submit is allowed</t>
  </si>
  <si>
    <t>1. Open Settings &gt; Clients and click + Add Client
2. Fill step 1 Identity (client code QA1013R5W, name QA-1013-R5 wizard check), pick a warehouse on step 2 Ship From and go to step 4 Carriers
3. Click + Add carrier account: UPS, account number QA13R7, a test client ID and client secret, then Add to list - the row reads 'SANDBOX · client ID qa-r5-dumm... · secret hidden'
4. Leave with the back arrow and reload the page
5. Click + Add Client - the draft reopens at step 4 Carriers; look at the staged account row
6. Go on through Mapping (stage QA82 -&gt; UPS Ground), Markup and Importer to Summary, visit Return, and look at Summary and Submit - create client</t>
  </si>
  <si>
    <t>Draft client QA1013R5W 'QA-1013-R5 wizard check' (3PL-EAST ship-from), UPS SANDBOX account QA13R7 with dummy client ID / secret, mapping QA82 -&gt; UPS Ground. Nothing saved: the create request was blocked in the page, and the draft was removed from the browser afterwards.</t>
  </si>
  <si>
    <t>Credentials the wizard cannot keep across a reload are not silently lost: the restored account is flagged (for example 'Re-enter the client ID and secret') and Summary / Submit stay blocked until they are entered again.</t>
  </si>
  <si>
    <t>After the reload the row reads 'SANDBOX · client ID · secret hidden' - the client ID is empty, and 'secret hidden' suggests a secret is still held when there is none. The browser copy of the draft (localStorage 'clientEditorDraft:admin') keeps the account with accountNumber QA13R7 but clientId '' and clientSecret '' (keeping secrets out of browser storage is right; not telling the user is the fault). Carriers gets its green tick, Summary lists 'Carrier accounts (1) READY - UPS · QA13R7 SANDBOX (default)', and Submit's only blocker was 'Cannot submit yet: Visit: Return'; once Return was opened, Submit - create client was enabled. The client would be created and its UPS account sent with a blank client ID and secret - either an account that cannot authenticate or a save that fails after the client already exists.</t>
  </si>
  <si>
    <t>Draft before the reload: row 'client ID qa-r5-dumm... · secret hidden'; localStorage carrierDrafts[0] after Add to list: clientId length 0, clientSecret length 0, accountNumber QA13R7. Submit button title before visiting Return: 'Cannot submit yet: Visit: Return' (nothing about credentials). Submit was clicked with every write blocked in the page: POST /api/v1/clients carried only the client fields (clientCode, name, shipFrom 3PL-EAST Central Warehouse, returnSameAsShipFrom true) - staged accounts and mappings are posted after the client exists, so their request was not observed.</t>
  </si>
  <si>
    <t>BUG-138.png, BUG-138-2.jpg, BUG-138-3.jpg, BUG-138-R7.jpg</t>
  </si>
  <si>
    <t>2026-10-14 R6 (build local dev, 2026-10-14 (order-form modules reloaded 13:17 IST)): cannot-retest - R6: not re-walked - the client editor did not compile during this run (ClientEditorPage.tsx:1515 parse error, 14:00-15:38 IST).
2026-10-16 R7 (build local dev, 2026-10-16): fixed - R7: the staged account can no longer reach Summary or Submit without its credentials. Client wizard, UPS account QA16R7B with dummy client ID and secret staged, back arrow &gt; Leave, page reload, + Add Client: the draft reopens at step 4 Carriers; the row reads 'SANDBOX - client ID - secret hidden' (ID blank - the browser draft holds clientId '' and clientSecret ''), Carriers is not ticked, Next is disabled and Mapping, Markup, Importer and Summary stay locked - R5 let the draft go through to Create client. Remaining: nothing tells the user why (the Next tooltip says 'Add at least one carrier account' although one is listed and the row still claims 'secret hidden') - raised as BUG-151.</t>
  </si>
  <si>
    <t>Fixed on dev (a8af5b2a): carriersStepComplete requires every staged draft to carry non-blank clientId AND clientSecret.
Test fix (46d6db84, 2026-10-15): importer-broker fixture now seeds non-blank clientId+clientSecret so the carriersStepComplete guard lets Submit through.</t>
  </si>
  <si>
    <t>BUG-139</t>
  </si>
  <si>
    <t>Leaving with unsaved changes (back arrow, sidebar, browser back)</t>
  </si>
  <si>
    <t>+ Add Client always reopens the last unfinished client draft at the step where it was left, with no way to discard it and start a new client</t>
  </si>
  <si>
    <t>1. Open Settings &gt; Clients, click + Add Client, fill step 1 and go on to a later step (here step 4 Carriers)
2. Leave with the back arrow (no question is asked) and reload the page
3. Click + Add Client</t>
  </si>
  <si>
    <t>Draft client QA1013R5W 'QA-1013-R5 wizard check' (never saved; removed from the browser afterwards)</t>
  </si>
  <si>
    <t>The wizard offers a choice for the unfinished draft - for example 'You have an unfinished client QA1013R5W: Resume / Start a new client' - or has a Discard draft control.</t>
  </si>
  <si>
    <t>+ Add Client opens the old draft straight at step 4 Carriers with Identity and Ship From ticked. There is no Discard, Start over or Cancel anywhere in the wizard, and the back arrow leaves without asking and keeps the draft. The draft is kept in the browser per user name (localStorage 'clientEditorDraft:admin') and came back after a full page reload. To register a different client the user has to overwrite every field and remove the staged accounts and mappings one by one.</t>
  </si>
  <si>
    <t>localStorage 'clientEditorDraft:admin' held form (clientCode QA1013R5W), activeStep 'carriers', visitedSteps identity / shipFrom / carriers; the page has no button or link matching Discard, Start over, Reset, Clear or Cancel. Removing the key by hand made + Add Client open an empty step 1 again.</t>
  </si>
  <si>
    <t>BUG-139.jpg, BUG-139-R7.jpg</t>
  </si>
  <si>
    <t>2026-10-14 R6 (build local dev, 2026-10-14 (order-form modules reloaded 13:17 IST)): cannot-retest - R6: not re-walked - the client editor did not compile during this run (ClientEditorPage.tsx:1515 parse error, 14:00-15:38 IST).
2026-10-16 R7 (build local dev, 2026-10-16): fixed - R7: after leaving the wizard (now asks 'Leave client editor?') and reloading, + Add Client reopens the draft at step 4 Carriers with a 'Discard draft' button at the top right of the wizard. The draft is kept per user in localStorage 'clientEditorDraft:admin'.</t>
  </si>
  <si>
    <t>Fixed on dev (a8af5b2a): + Add Client shows 'Discard draft' button when a persisted draft exists; clears the localStorage key + reloads to seed every field blank.</t>
  </si>
  <si>
    <t>BUG-140</t>
  </si>
  <si>
    <t>Row menu &gt; Delete</t>
  </si>
  <si>
    <t>Deleting a client leaves its LAN scanner enrolments behind - the delete dialog does not list them, and they can no longer be reached in Settings &gt; Printers</t>
  </si>
  <si>
    <t>1. Settings &gt; Printers &gt; Scanners: pick client QA-1013-R5-CL01, enroll scanner 'QA 1013 R5 &lt;b&gt;sc&lt;/b&gt;' and revoke it (it moves under 'Revoked (1)')
2. Settings &gt; Clients: row menu &gt; Delete on QA-1013-R5-CL01, then Delete permanently - read the list of what will also be deleted
3. Settings &gt; Printers &gt; Scanners: open the Tenant picker
4. Request GET /api/v1/tenants/QA-1013-R5-CL01/printer-scan-agents/revoked - the call the page makes for a picked client</t>
  </si>
  <si>
    <t>Client QA-1013-R5-CL01 (deleted at the end of the run) and its revoked scanner id 1</t>
  </si>
  <si>
    <t>Deleting a client also removes its scanner enrolments, or at least lists them in the confirmation as it does carrier accounts and warehouses; the scanner endpoints answer 404 for a client that no longer exists, as the code-map endpoints do.</t>
  </si>
  <si>
    <t>The confirmation listed carrier accounts, client-owned warehouses and warehouse attachments only. After the delete the Tenant picker offers MKL246 and THB000, so the scanner can no longer be seen or removed in the UI, but the API still returns it: 200 with one record (id 1, tenantCode QA-1013-R5-CL01, active false, revoked 2026-10-13 19:50, hostname 'not a host!') that keeps its key hash. Because Reactivate re-arms a revoked scanner's original key, a client later created with the same code could pick up this enrolment (inferred from the Reactivate warning, not tried).</t>
  </si>
  <si>
    <t>After DELETE /api/v1/clients/QA-1013-R5-CL01: GET /api/v1/tenants/QA-1013-R5-CL01/printer-scan-agents -&gt; 200 [] and .../printer-scan-agents/revoked -&gt; 200 with 1 record; GET /api/v1/clients, /warehouses and /carrier-accounts contain nothing named QA-1013-R5; the code-map endpoints for the same client answer 404.</t>
  </si>
  <si>
    <t>BUG-140-R7-delete-dialog.jpg</t>
  </si>
  <si>
    <t>Settings &gt; Labels &amp; Documents &gt; Printers</t>
  </si>
  <si>
    <t>2026-10-14 R6 (build local dev, 2026-10-14 (order-form modules reloaded 13:17 IST)): still-failing - R6: the scanner endpoints still answer for a client that no longer exists: GET /api/v1/tenants/QA-1013-R5-CL01/printer-scan-agents/revoked -&gt; 200 with the revoked R5 scanner (now without its key hash, BUG-141 fixed). The client-delete path itself could not be re-walked: no QA client could be created (client editor down).
2026-10-16 R7 (build local dev, 2026-10-16): fixed - R7: scanner enrolments no longer survive their client. Before the delete the QA client had one revoked scanner (GET /api/v1/tenants/QA-1016-CL01/printer-scan-agents/revoked -&gt; 1 row); after Delete permanently the same call returns 0 rows, and the R5 leftover for QA-1013-R5-CL01 is gone too (0 rows). Residual: the delete dialog still lists only carrier accounts, client-owned warehouses and warehouse attachments - not the scanner enrolments; and the scanner endpoints still answer 200 with an empty list for a client that does not exist instead of 404 (same gap as BUG-147: tenant-scoped endpoints do not check that the tenant exists).</t>
  </si>
  <si>
    <t>Fixed on dev (V157): V157 deletes orphan printer_scan_agent rows for deleted tenants.</t>
  </si>
  <si>
    <t>BUG-141</t>
  </si>
  <si>
    <t>Scanner list API sends each scanner's key hash (apiKeyHash, 64 hex characters) to the browser, although the page never shows or needs it</t>
  </si>
  <si>
    <t>1. Settings &gt; Printers &gt; Scanners: pick a client that has an enrolled or revoked scanner
2. Look at the responses of GET /api/v1/tenants/{client}/printer-scan-agents and .../printer-scan-agents/revoked (browser network tab)</t>
  </si>
  <si>
    <t>Revoked QA scanner id 1 ('QA 1013 R5 &lt;b&gt;sc&lt;/b&gt;', tenant QA-1013-R5-CL01)</t>
  </si>
  <si>
    <t>Only what the page displays goes to the browser (agent id, hostname, status and the enrolled / last seen / revoked times); the key hash stays on the server.</t>
  </si>
  <si>
    <t>Each record carries apiKeyHash, a 64-character hex value (the shape of an unsalted SHA-256), next to agentId, hostname, enrolledBy and the timestamps. The enrolment screen's promise ('We do not store the raw key anywhere retrievable') holds, and with long random keys the hash is hard to reverse, but it is handed to every admin session and to any script running in the page for no purpose - the kind of field that should never leave the server.</t>
  </si>
  <si>
    <t>GET /api/v1/tenants/QA-1013-R5-CL01/printer-scan-agents/revoked -&gt; data[0] keys: active, agentId, apiKeyHash, enrolledAt, enrolledBy, hostname, id, lastSeenAt, revokedAt, scanRequestedAt, tenantCode. The hash value is not copied into this report.</t>
  </si>
  <si>
    <t>2026-10-14 R6 (build local dev, 2026-10-14 (order-form modules reloaded 13:17 IST)): fixed - R6: GET /api/v1/tenants/QA-1013-R5-CL01/printer-scan-agents/revoked now returns active, agentId, enrolledAt, enrolledBy, hostname, id, lastSeenAt, revokedAt, scanRequestedAt and tenantCode - no apiKeyHash.</t>
  </si>
  <si>
    <t>BUG-142</t>
  </si>
  <si>
    <t>Commercial Invoice tab</t>
  </si>
  <si>
    <t>Commercial invoice: the package table's Contents column reads 'Lines 1 (1 units)' - plural wording for a single line and a single unit</t>
  </si>
  <si>
    <t>1. Open the label documents of a multi-box international order - here /label/934193 (FedEx International Priority to the UK, 2 boxes, one item line each)
2. Click the Commercial Invoice tab
3. Read the Contents column of 'Packages in this shipment'</t>
  </si>
  <si>
    <t>Order #934193 (sandbox), reference QA-1013-R5-GB-FX-IP-TUBE-2B</t>
  </si>
  <si>
    <t>Singular and plural follow the count: 'Line 1 (1 unit)' for one line and one unit, 'Lines 1-2 (3 units)' for more.</t>
  </si>
  <si>
    <t>Both rows read 'Lines 1 (1 units)' and 'Lines 2 (1 units)'. The invoice is a customs document that is printed and handed over with the parcels, so the wording is seen by carriers and customs officers. Everything else on the invoice checked out: invoice and AWB numbers, DAP terms, FTR exemption NO EEI 30.37(a), exporter MKL at 8191 Logistics Dr, consignee QA Test Recipient, 2 lines of 20.00 USD, gross 6 LB and net 1 LB, total 40.00 USD.</t>
  </si>
  <si>
    <t>GET /api/v1/orders/934193/commercial-invoice -&gt; rendered page 1 of 1, 'Packages in this shipment' rows 1 and 2.</t>
  </si>
  <si>
    <t>http://localhost:5173/label/934193</t>
  </si>
  <si>
    <t>BUG-142.png, BUG-142-2.jpg</t>
  </si>
  <si>
    <t>2026-10-14 R6 (build local dev, 2026-10-14 (order-form modules reloaded 13:17 IST)): fixed - R6: the Commercial Invoice tab of #934193 now reads 'Line 1 (1 unit)' and 'Line 2 (1 unit)' in the Contents column of Packages in this shipment. The rest of the invoice is unchanged and still consistent (2 x 20.00 USD, gross 6 LB, net 1 LB, total 40.00 USD, DAP, NO EEI 30.37(a)).</t>
  </si>
  <si>
    <t>BUG-143</t>
  </si>
  <si>
    <t>Reason of export</t>
  </si>
  <si>
    <t>New shipment: switching the carrier puts Reason of export back to the last-used value ('Sample') and silently drops the reason the user picked</t>
  </si>
  <si>
    <t>1. Open Orders and click + New shipment (/orders/new)
2. Pick client MKL246 - Reason of export fills in as 'Sample' (the browser's last-used value, localStorage ms:lastReason)
3. Change Reason of export to Sale
4. Fill an international ship-to (here 1 Canada Square, London E14 5AB GB) with carrier USPS
5. Switch Carrier to FedEx (or FedEx back to USPS) and look at Reason of export</t>
  </si>
  <si>
    <t>MKL246, ship-to QA-1014-R6 Recipient (London and Toronto test addresses); nothing saved</t>
  </si>
  <si>
    <t>A choice the user has made is kept when the carrier changes; only carrier-specific fields (service, packaging, label type) are re-defaulted, and the user is told when they are.</t>
  </si>
  <si>
    <t>Every carrier switch sets Reason of export back to 'Sample': Sale -&gt; Sample on USPS -&gt; FedEx, and again on FedEx -&gt; USPS. No message says it changed, and the field sits among others that do not change, so a sale can go out declared as a sample on the commercial invoice - a customs declaration with a different duty treatment. The same switch also resets Label type (PDF -&gt; ZPL thermal) and Packaging (THB-PACKAGE -&gt; Custom package, which then blocks Validate on empty dimensions).</t>
  </si>
  <si>
    <t>Select values read before and after each switch: reason SALE -&gt; SAMPLE (USPS-&gt;FEDEX), SALE -&gt; SAMPLE (FEDEX-&gt;USPS). localStorage 'ms:lastReason' holds SAMPLE and is not updated when the user picks Sale, so it wins on every re-default.</t>
  </si>
  <si>
    <t>BUG-143.png, BUG-143-2.png</t>
  </si>
  <si>
    <t>local dev, 2026-10-14 (order-form modules reloaded 13:17 IST)</t>
  </si>
  <si>
    <t>R6</t>
  </si>
  <si>
    <t>2026-10-16 R7 (build local dev, 2026-10-16): fixed - Reason of export now survives the carrier switch both ways: MKL246, picked Sale, switched FedEx -&gt; USPS -&gt; FedEx and the field stayed on Sale each time (R6: reset to Sample every time). The carrier-specific half of the report is not fixed - Packaging still falls back to 'Custom package...' with empty required Length/Width/Height and Label type goes back to ZPL (thermal) on FedEx, with no message - logged separately as BUG-150 (Low).</t>
  </si>
  <si>
    <t>Fixed on dev (35d7902c): Reason-of-export only auto-fills when empty — operator picks persist across carrier switch.</t>
  </si>
  <si>
    <t>BUG-144</t>
  </si>
  <si>
    <t>New shipment &gt; Items: searching the HS code lookup by word shows the 'letters are not allowed' format error under the field while the list offers matches</t>
  </si>
  <si>
    <t>1. Open Orders and click + New shipment, client MKL246, carrier FedEx, ship to Toronto ON M5V 3L9 Canada
2. In Items, type Cotton T-shirt in Description
3. Type t-shirt in HS code</t>
  </si>
  <si>
    <t>HS lookup search 't-shirt' on a Canada shipment; nothing saved</t>
  </si>
  <si>
    <t>While the lookup is searching by description, the field does not report a format error - the error belongs to a typed code, after the user leaves the field or tries to validate.</t>
  </si>
  <si>
    <t>As soon as letters are typed the field turns orange with 'HS code - HS code should be 6-10 digits (e.g. 6104.62.20). Dots/spaces are OK; letters are not.', while directly below it the lookup offers 610910 and 610990 for the same letters. The page invites a word search and scolds it at the same time. Picking a suggestion clears the error. (Split out of BUG-071, whose list-width fault is now fixed.)</t>
  </si>
  <si>
    <t>Seen while retesting BUG-071 at 1401x847; no request is involved - the message is client-side validation on each keystroke.</t>
  </si>
  <si>
    <t>BUG-144.jpg, BUG-144-R7.jpg</t>
  </si>
  <si>
    <t>2026-10-16 R7 (build local dev, 2026-10-16): fixed - MKL246, FedEx and USPS, Canada and UK ship-to: typing 't-shirt' in the HS code box now lists 610910 and 610990 with no format error under the field. The message 'HS code should be 6-10 digits ... letters are not' appears only after the field is left with the letters still in it, as expected.</t>
  </si>
  <si>
    <t>Fixed on dev (3f4520c8): HS lookup warning suppressed while the dropdown is showing matches.</t>
  </si>
  <si>
    <t>BUG-145</t>
  </si>
  <si>
    <t>Invite user: the 'invite still pending' refusal prints the server's raw timestamp ('expires 2026-10-21T14:06:40.879515') instead of a readable date</t>
  </si>
  <si>
    <t>1. Open Settings &gt; Users and click Invite user
2. Invite qa-1014-r6-invite@example.com for client THB000, role USER, then Done
3. Click Invite user again and send the same address (here in capitals, QA-1014-R6-INVITE@EXAMPLE.COM)</t>
  </si>
  <si>
    <t>QA invite qa-1014-r6-invite@example.com (revoked at the end of the test)</t>
  </si>
  <si>
    <t>The refusal gives the expiry the way the page shows it elsewhere - 'expires 10/21/2026, 2:06:40 PM' in Pending invites - and is not headed as a form error.</t>
  </si>
  <si>
    <t>The toast reads 'Check the form for errors - An invite for qa-1014-r6-invite@example.com is still pending (expires 2026-10-21T14:06:40.879515). Revoke it from Pending invites, or use Resend to extend its expiry.' The ISO value with microseconds is the server's own LocalDateTime, without a time zone - so it is also the UTC-as-local problem of BUG-119 waiting to happen if it is ever formatted. The refusal itself is right (BUG-084 is fixed).</t>
  </si>
  <si>
    <t>POST /api/v1/admin/user-invites -&gt; 409 {status 'ERROR', message 'An invite for ... is still pending (expires 2026-10-21T14:06:40.879515). ...', errorCode VALIDATION_ERROR}; the page prints message as received.</t>
  </si>
  <si>
    <t>BUG-145.png, BUG-145-2.jpg, BUG-145-R7.png</t>
  </si>
  <si>
    <t>2026-10-16 R7 (build local dev, 2026-10-16): still-failing - R7: the expiry is now readable but carries the wrong time zone. Inviting QA-1016-R7-INVITE@EXAMPLE.COM a second time (409) shows 'Check the form for errors - An invite for qa-1016-r7-invite@example.com is still pending (expires Oct 23, 2026, 8:10 am UTC)...'. The server's value is expiresAt '2026-10-23T08:10:20' with no zone, and it is India time: the invite was created at 08:10 IST (createdAt '2026-10-16T08:10:20', API response timestamps also run on IST) and Pending invites shows 'expires 10/23/2026, 8:10:20 AM'. So labelling it UTC puts it 5 1/2 hours late for anyone who reads it as UTC (real UTC is 02:40). Still headed as a form error, which the bug's expected result also asked to change.</t>
  </si>
  <si>
    <t>Fixed on dev (35d7902c): Invite "still pending" expiry rendered as "Oct 21, 2026, 2:06 PM UTC".</t>
  </si>
  <si>
    <t>BUG-146</t>
  </si>
  <si>
    <t>Cutoff rules: a time zone typed in full but not picked from the new suggestion list is silently dropped - the rule is saved with the client's time zone and 'Rule added.'</t>
  </si>
  <si>
    <t>1. Open Settings &gt; Cutoffs &amp; Holidays (/settings/cutoffs)
2. In the 'new' row pick Source MANUAL and Carrier DHL
3. Type America/Chicago in Timezone - the list under it offers 'America/Chicago UTC-05:00' - and click + Add without clicking the suggestion
4. Read the new row and the request; repeat with Mars/Olympus ('No timezone matches')</t>
  </si>
  <si>
    <t>QA cutoff rules #21-#24 for MANUAL / DHL (deleted afterwards)</t>
  </si>
  <si>
    <t>A typed zone that matches a list entry is taken as typed, and one that matches nothing stops + Add with a message - the rule is never saved with a different time zone than the one on screen.</t>
  </si>
  <si>
    <t>Both times POST /api/v1/admin/cutoffs/rules is sent with timezone null, the toast says 'Done - Rule added.' and the row reads 'client tz', although the box showed America/Chicago (a valid zone) or Mars/Olympus. Only clicking the suggestion stores the zone (rule #24 America/Chicago). A cutoff silently moved from Chicago time to the client's zone shifts every matching shipment's SHIP_DATE decision by the zone difference. The box also misbehaves after + Add: it looks empty, but on focus it brings the previous text back with the caret where the click landed, so the next zone is typed into the middle of the old one ('Mars/OlympAmerica/Chicagous', 'America/ChiAmerica/Chicagocago').</t>
  </si>
  <si>
    <t>Request bodies: typed America/Chicago (not picked) -&gt; {source MANUAL, carrierCode DHL, warehouseId null, cutoffTime 20:00:00, timezone null, active true}; typed Mars/Olympus -&gt; same; picked America/Chicago -&gt; timezone 'America/Chicago'. The input is role=combobox with no list attribute. Found while retesting BUG-100.</t>
  </si>
  <si>
    <t>BUG-146.jpg, BUG-146-2.jpg, BUG-146-R7-stale.png, BUG-146-R7-typed.jpg, BUG-146-R7.jpg</t>
  </si>
  <si>
    <t>2026-10-16 R7 (build local dev, 2026-10-16): still-failing - R7: half fixed. A valid zone typed into an empty box and not picked (America/Chicago) is now committed on blur: POST timezone America/Chicago, row #26 reads America/Chicago. But a typed zone that matches nothing (Mars/Olympus, box says 'No timezone matches') is still dropped: POST timezone null, 'Done - Rule added.', row #27 reads 'client tz' - the rule is saved with a different zone than the one on screen. The box also keeps the dropped text invisibly (it looks empty, shows the placeholder): the next zone typed into it is appended ('Mars/OlympusEurope/London', then 'Mars/OlympusEurope/LondonEurope/London'), so a valid Europe/London was dropped too (rules #28 and #29 saved with timezone null). QA rules #26-#29 were deleted afterwards through the in-app confirmation.</t>
  </si>
  <si>
    <t>Fixed on dev (35d7902c): TimezoneCombobox commits a typed+valid IANA zone on blur.</t>
  </si>
  <si>
    <t>BUG-147</t>
  </si>
  <si>
    <t>Order channels (tenant, status, D2C / B2B / Both, Save)</t>
  </si>
  <si>
    <t>System: a remembered tenant that has since been deleted is still used - the picker shows '- pick a tenant -' but the warning names QA-1013-R5-CL01 and Save writes to it</t>
  </si>
  <si>
    <t>1. Open Settings &gt; System and pick a client in Order channels &gt; Tenant (here QA-1013-R5-CL01, during R5)
2. Delete that client in Settings &gt; Clients
3. Open Settings &gt; System again and read the Order channels card
4. Click Save in Order channels, then Save shipper defaults in Ship-from defaults</t>
  </si>
  <si>
    <t>QA-1013-R5-CL01 (QA client from R5, deleted on 13 Oct). Both saves were blocked in the page, so nothing was written.</t>
  </si>
  <si>
    <t>A remembered tenant that no longer exists is dropped: the cards show '- pick a tenant -' with nothing loaded, Save stays disabled until a current client is picked, and the server refuses settings for a tenant code that does not exist.</t>
  </si>
  <si>
    <t>Order channels shows '- pick a tenant -' in the picker, yet the yellow warning reads 'This tenant hasn't picked its order channels yet. Until you Save a choice below, every external API POST + WMS pull for QA-1013-R5-CL01 returns 403 TENANT_CHANNEL_NOT_ENABLED.', with 'Both' selected and Save enabled. Save sends PUT /api/v1/tenants/QA-1013-R5-CL01/settings/enabled-channels {enabledChannels [B2B, D2C]}. Ship-from defaults ('- pick a client -') does the same: Save shipper defaults sends PUT /api/v1/tenants/QA-1013-R5-CL01/settings/shipper-defaults with every field empty. An admin who saves here believes a client is configured while the setting goes to a client that no longer exists.</t>
  </si>
  <si>
    <t>localStorage 'multiship_system_channels_tenant' = QA-1013-R5-CL01; on load the page requests GET /api/v1/tenants/QA-1013-R5-CL01/settings/enabled-channels (200), nds.fallback_phone / nds.fallback_notify_email / nds.default_weight_lb / nds.on_missing_weight (404) and shipper-defaults (200). The server does not check that the tenant exists: GET /api/v1/tenants/NOSUCHTENANT9/settings/enabled-channels -&gt; 200 {tenantCode NOSUCHTENANT9, enabledChannels [], configured false}. Whether the server would store the blocked PUTs was not exercised. Found while sweeping System for BUG-061.</t>
  </si>
  <si>
    <t>http://localhost:5173/settings/system</t>
  </si>
  <si>
    <t>BUG-147.jpg, BUG-147-R7-orderchannels.jpg, BUG-147-R7-shipfrom-fresh.jpg, BUG-147-R7-shipfrom.jpg</t>
  </si>
  <si>
    <t>S062</t>
  </si>
  <si>
    <t>2026-10-16 R7 (build local dev, 2026-10-16): still-failing - R7: half fixed. Order channels is fixed: after QA-1016-CL01 was deleted (and with the old QA-1013-R5-CL01 leftover), Settings &gt; System shows '- pick a tenant -', no warning naming a tenant, Save disabled, and the remembered key multiship_system_channels_tenant is cleared. Ship-from defaults is not: its picker reads '- pick a client -' but Save shipper defaults is still enabled and sends PUT /api/v1/tenants/QA-1016-CL01/settings/shipper-defaults (and earlier PUT .../QA-1013-R5-CL01/settings/shipper-defaults) with every field empty; the stale code is still held in multiship_shipper_defaults_tenant, and multiship_nds_fallbacks_tenant keeps it too (that card keeps Save disabled). The server does not refuse either: GET /api/v1/tenants/QA-1013-R5-CL01/settings/shipper-defaults returns 200 with resolved defaults and .../enabled-channels returns 200 {tenantCode, enabledChannels []} for a client that no longer exists. Both saves were blocked in the page, so nothing was written.</t>
  </si>
  <si>
    <t>Fixed on dev (3f4520c8): SystemChannelSection clears remembered-tenant from localStorage when the client no longer exists.</t>
  </si>
  <si>
    <t>BUG-148</t>
  </si>
  <si>
    <t>Importer / Broker &gt; New profile: the destination country list shows only the first letter of each code ('U.', 'C.', 'M') at 1400 px - countries can be told apart only by hovering</t>
  </si>
  <si>
    <t>1. Open Settings &gt; Importer / Broker and click + Add profile (window 1401 x 847)
2. Pick a client, then the region North America
3. Read the country list under the region buttons</t>
  </si>
  <si>
    <t>QA profile for THB000 -&gt; CA (created to retest BUG-104 to BUG-106, deleted two minutes later)</t>
  </si>
  <si>
    <t>Each country in the list is readable - at least its code (US, CA, MX), preferably with its name - so the user can pick a destination without hovering over every entry.</t>
  </si>
  <si>
    <t>The list is a three-column grid of 47 px buttons and each label is cut to its first letter with an ellipsis: 'U.', 'C.', 'M', then rows of 'A.', 'B.', 'C.', 'D.', 'G.'. The full text ('US United States', 'CA Canada', 'MX Mexico') is in the button, and the name appears only as a hover tooltip. With dozens of North American territories starting with the same letter, picking the wrong destination - and so applying the importer of record to the wrong customs territory - is easy. Once a country is picked, the Selection panel shows its code correctly ('CA').</t>
  </si>
  <si>
    <t>Country buttons measured 47 px wide; text 'US United States' with title 'United States'; text-overflow ellipsis. Seen at 1401 x 847. Found while retesting BUG-104.</t>
  </si>
  <si>
    <t>http://localhost:5173/settings/importer-broker/new</t>
  </si>
  <si>
    <t>BUG-148.jpg, BUG-148-2.png, BUG-148-R7.png</t>
  </si>
  <si>
    <t>2026-10-16 R7 (build local dev, 2026-10-16): still-failing - R7: unchanged at 1401 px. Settings &gt; Importer / Broker &gt; + Add profile, pick a client and North America: the first row still reads 'U.', 'C.', 'M' and the next rows 'A.', 'B.', 'C.', 'D.', 'G.'. The grid now carries sm:grid-cols-2 lg:grid-cols-3 (the dev change), but the picker sits in a card only 179 px wide, so at a 1401 px window (breakpoint lg) the three columns are still 47.16 px, 47.17 px and 47.17 px wide and every label is cut to one letter plus an ellipsis; the name shows only as a hover title. The breakpoints follow the window width, not the width of the card (Europe's list looks the same: 'G.', 'I..', 'D.').</t>
  </si>
  <si>
    <t>Fixed on dev (3f4520c8): RegionCountryPicker grid widened to 1/2/3 cols so labels stay readable.</t>
  </si>
  <si>
    <t>BUG-149</t>
  </si>
  <si>
    <t>Return label: the customer's address typed on the form is sent, but the saved order and the FedEx label show the warehouse address as SHIP FROM</t>
  </si>
  <si>
    <t>1. Open Orders and click New return (/orders/new, Return tab)
2. Client MKL246 (3PL-EAST, FedEx account 740561111), Reason Defective
3. Return from - customer: Full name QA-1016 Returner, Address line 1 100 Monroe Center St NW, Phone 6165550142, State MI, City Grand Rapids, Postal code 49503, Email qa-1016-returner@example.com (type over the pre-filled address)
4. Service FedEx Ground, Packaging THB-PACKAGE, Weight 2 lb, leave Print selected
5. Click Validate shipment, then Generate return label
6. Open /label/{order}, then GET /api/v1/orders/{order}/label and /label/zpl</t>
  </si>
  <si>
    <t>Returns #934195 and #934196 (sandbox FedEx Ground labels, MKL246, customer QA-1016 Returner); #934196 was the clean run: address typed before the first Validate</t>
  </si>
  <si>
    <t>The order's ship-from and the label's FROM block carry the customer's address from the form (100 Monroe Center St NW, Grand Rapids MI 49503, 616-555-0142) and TO carries the warehouse.</t>
  </si>
  <si>
    <t>The page sends the customer's address: the captured POST /api/v1/orders/manual-label has sender 100 Monroe Center St NW, Grand Rapids MI 49503, phone 6165550142. The stored order #934196 has shipFromName 'QA-1016 Returner' but shipFromAddr1 '8191 Logistics Dr', Zeeland MI 49464, phone +1 616-772-3513, shipFromResolved false, and the FedEx ZPL prints FROM: QA-1016 Returner, 8191 Logistics Dr, Zeeland MI 49464 and TO: Central Warehouse, MKL, 8191 Logistics Dr, Zeeland MI 49464. The bought label ships from the warehouse to the warehouse, so the customer cannot use it. Same on #934195, where the address was changed after a first Validate.</t>
  </si>
  <si>
    <t>POST /api/v1/orders/manual-label sender = Grand Rapids (captured in the page); GET /api/v1/orders/934196/label -&gt; order.shipFromAddr1 '8191 Logistics Dr', shipFromCity Zeeland, shipFromPhone +1 616-772-3513, shipFromResolved false; GET /api/v1/orders/934196/label/zpl -&gt; ^FDFROM: ^FDQA-1016 Returner ^FD8191 Logistics Dr ... ^FDCentral Warehouse. Found while retesting BUG-136 and BUG-137.</t>
  </si>
  <si>
    <t>BUG-149.jpg, BUG-149-2.jpg</t>
  </si>
  <si>
    <t>local dev, 2026-10-16</t>
  </si>
  <si>
    <t>2026-10-16</t>
  </si>
  <si>
    <t>R7</t>
  </si>
  <si>
    <t>Orders &gt; Label &gt; Label documents; API &gt; Orders &gt; Order detail (GET /api/v1/orders/{id})</t>
  </si>
  <si>
    <t>BUG-150</t>
  </si>
  <si>
    <t>Carrier</t>
  </si>
  <si>
    <t>New shipment: switching the carrier silently re-defaults Packaging and Label type, and Custom package leaves the required dimensions empty</t>
  </si>
  <si>
    <t>1. Open Orders and click + New shipment (/orders/new), client MKL246, carrier FedEx
2. Set Packaging FedEx Pak and Label type PDF (plain)
3. Switch Carrier to USPS, then back to FedEx
4. Read Packaging, Label type, Label size and the Length / Width / Height boxes</t>
  </si>
  <si>
    <t>MKL246, ship-to Toronto ON M5V 3L9 (nothing saved)</t>
  </si>
  <si>
    <t>A choice the user made is kept where it is still valid; where a carrier change has to reset a field (service, packaging, label type) the page says which one and why - the second half of the expected result of BUG-143.</t>
  </si>
  <si>
    <t>Packaging goes from FedEx Pak (or THB-PACKAGE) to 'Custom package...' with empty required Length, Width and Height/Depth boxes, and Label type goes from PDF (plain) back to ZPL (thermal) with Label size 'Thermal stock 4x6'. Nothing on the page says so; only the generic 'The form changed - check again' line appears. Reason of export is now kept (BUG-143).</t>
  </si>
  <si>
    <t>Select values read after each switch: Packaging 'Custom package...', Label Type 'ZPL (thermal)'; no toast and no inline note. Split out of BUG-143, whose Reason of export part is fixed.</t>
  </si>
  <si>
    <t>BUG-150-2.jpg, BUG-150.jpg</t>
  </si>
  <si>
    <t>BUG-151</t>
  </si>
  <si>
    <t>Back / Next buttons (Next disabled until required fields are valid)</t>
  </si>
  <si>
    <t>Client wizard: on a restored draft Next is disabled with 'Add at least one carrier account' although one is listed, and the row does not say its credentials are missing</t>
  </si>
  <si>
    <t>1. Open Settings &gt; Clients and click + Add Client; Client code QA1016R7W, name 'QA-1016 wizard check', Next
2. Step 2 Ship From: pick 3PL-EAST; open step 4 Carriers
3. Click + Add carrier account: UPS, account number QA16R7B, Client ID and Client Secret (dummy values), Add to list
4. Click the back arrow, answer Leave in 'Leave client editor?', and reload the page
5. Click + Add Client - the draft reopens at step 4 Carriers
6. Read the staged account row and hover over the disabled Next button</t>
  </si>
  <si>
    <t>Draft client QA1016R7W 'QA-1016 wizard check' (3PL-EAST ship-from), UPS SANDBOX account QA16R7B with dummy client ID and secret; the draft was removed with Discard draft afterwards and nothing was created</t>
  </si>
  <si>
    <t>The restored account is flagged on its row (for example 'Re-enter the client ID and secret') and the disabled Next explains that reason, so the user knows what to do; the secret is rightly not kept in the browser.</t>
  </si>
  <si>
    <t>The row reads 'UPS . QA16R7B . DEFAULT / SANDBOX . client ID . secret hidden' - no client ID is shown and no secret is held, yet 'secret hidden' suggests one is. Next is disabled (BUG-138's fix) but its tooltip says 'Complete this step to continue: Add at least one carrier account.' although one account is listed, so nothing tells the user that the account has to be typed again. The browser draft ('clientEditorDraft:admin') holds clientId '' and clientSecret ''. Also: the 'Leave client editor?' dialog says 'Leave and lose what you've edited?', but the draft is kept and comes back on the next + Add Client.</t>
  </si>
  <si>
    <t>Next button title attribute read in the page: 'Complete this step to continue: - Add at least one carrier account.'; row text 'UPS . QA16R7B | DEFAULT | SANDBOX . client ID . secret hidden'; Next disabled true; localStorage draft carrierDrafts[0].clientId '' and clientSecret ''.</t>
  </si>
  <si>
    <t>/settings/clients/new</t>
  </si>
  <si>
    <t>BUG-151.jpg</t>
  </si>
  <si>
    <t>BUG-152</t>
  </si>
  <si>
    <t>App shell</t>
  </si>
  <si>
    <t>Routing</t>
  </si>
  <si>
    <t>Page not found (unknown route)</t>
  </si>
  <si>
    <t>Go to Dashboard button</t>
  </si>
  <si>
    <t>Page not found: the 'Go to Dashboard' button's label is dark brown on dark navy (contrast about 1:1), so the main action reads as an empty bar</t>
  </si>
  <si>
    <t>1. Type http://localhost:5173/this-does-not-exist into the address bar and press Enter
2. Look at the two buttons under 'Page not found'
3. Repeat with /orders/not-a-real-page/xyz and /settingsx/foo</t>
  </si>
  <si>
    <t>Both buttons are readable: the filled primary button carries a light label (contrast at least 4.5:1) so 'Go to Dashboard' can be read.</t>
  </si>
  <si>
    <t>The page (BUG-068's fix) now keeps the address and says '404 Page not found - Nothing lives at /this-does-not-exist'. The primary button is a dark navy bar (background oklch(0.208 0.042 265.755)) with the label in rgb(31, 21, 12) - about 1.04:1 contrast - so no text can be seen; only the outlined 'Back' button next to it is readable. The link itself works (href /dashboard).</t>
  </si>
  <si>
    <t>getComputedStyle of the 'Go to Dashboard' link: color rgb(31, 21, 12), background-color oklch(0.208 0.042 265.755), href /dashboard; zoomed screenshot shows an empty dark bar.</t>
  </si>
  <si>
    <t>/this-does-not-exist</t>
  </si>
  <si>
    <t>Always (3 of 3)</t>
  </si>
  <si>
    <t>BUG-152.png</t>
  </si>
  <si>
    <t>S070</t>
  </si>
  <si>
    <t>BUG-153</t>
  </si>
  <si>
    <t>Row menu &gt; Edit</t>
  </si>
  <si>
    <t>Carrier Accounts &gt; Edit: 'Label image format' for UPS and USPS uses its own wording and codes, unlike the Carrier Dropdowns registry and the order form (only FedEx was moved)</t>
  </si>
  <si>
    <t>1. Open Settings &gt; Carrier Dropdowns &gt; Label formats and note the UPS and USPS rows
2. Open Settings &gt; Carrier Accounts, row menu (the three dots) &gt; Edit on the UPS account QA16R7, scroll to International defaults &gt; Label image format
3. Open Edit on the USPS account 874157 and read the same list
4. Open Edit on the FedEx account 740561111 and compare</t>
  </si>
  <si>
    <t>Accounts UPS QA16R7 (QA-1016-CL01), USPS 874157 (MKL246), FedEx 740561111 (MKL246); nothing saved (the drawers were closed)</t>
  </si>
  <si>
    <t>The three account editors take their Label image format list from the same registry as Carrier Dropdowns and /orders/new (UPS: GIF (stock), PDF (plain), PNG (plain), ZPL (thermal), EPL (Eltron/legacy Zebra); USPS: PDF (plain), ZPL (thermal), PNG (plain), JPG (raster)).</t>
  </si>
  <si>
    <t>UPS editor: 'GIF (default); GIF (raster); PDF (vector, sharp); PNG (raster); ZPL (Zebra); EPL (Eltron/legacy Zebra)' - the same GIF twice and different wording for PDF, PNG and ZPL. USPS editor: 'Carrier default; PNG (raster); PDF (vector, sharp); GIF (raster); JPG (raster)' - GIF is not in the registry and ZPL (thermal) is missing. The FedEx editor does follow the registry ('PDF (default); PDF (plain); PNG (plain); ZPL (thermal); Common 2D (stock); Label data only'). The order form (BUG-057, fixed) already reads the registry for all three carriers, so the same carrier now has two vocabularies on two screens.</t>
  </si>
  <si>
    <t>Option texts read from the editor selects in the page (UPS, USPS, FedEx); registry rows read on /settings/carrier-dropdowns; overlay screenshot of the USPS editor list.</t>
  </si>
  <si>
    <t>/settings/carriers</t>
  </si>
  <si>
    <t>BUG-153.jpg</t>
  </si>
  <si>
    <t>BUG-154</t>
  </si>
  <si>
    <t>Shipping Catalog &gt; Packages: four UPS packages (Large, Medium and Small Express Box, Tube) have no max weight, so the smallest-box pick treats them as unlimited</t>
  </si>
  <si>
    <t>1. Open Settings &gt; Shipping Catalog &gt; Packages, origin United States (US)
2. Set Carrier to UPS
3. Read MAX WEIGHT on the UPS Large Express Box, UPS Medium Express Box, UPS Small Express Box and UPS Tube cards</t>
  </si>
  <si>
    <t>Existing catalog, origin US, carrier filter UPS; nothing changed</t>
  </si>
  <si>
    <t>Every carrier package carries a max weight (the order form's rule 'the smallest box whose max weight fits the order is auto-picked' needs it), or the card says explicitly that none applies.</t>
  </si>
  <si>
    <t>UPS 10KG Box 22 lb, UPS 25KG Box 55 lb, UPS Express Pak 3 lb and UPS Letter 1 lb are rated, but UPS Large Express Box (18 x 13 x 3 in), UPS Medium Express Box (15 x 11 x 3 in), UPS Small Express Box (13 x 11 x 2 in) and UPS Tube (38 x 6 x 6 in) read MAX WEIGHT '-' - the same blank R6 saw on the Large and Medium box under BUG-089. A blank max is treated as no limit by the auto-pick, so a heavy order can be assigned to a small express box. (BUG-089's question about UPS Ground is answered - it is custom-only now - this is the remaining half of its text.)</t>
  </si>
  <si>
    <t>Card text read from the page: 'UPS Large Express Box 2C ... MAX WEIGHT -', same for 2B, 2A and 03; UPS Express Pak 3 lb, UPS Letter 1 lb.</t>
  </si>
  <si>
    <t>/settings/shipping-catalog?tab=packages</t>
  </si>
  <si>
    <t>BUG-154.png</t>
  </si>
  <si>
    <t>BUG-155</t>
  </si>
  <si>
    <t>Row &gt; Edit</t>
  </si>
  <si>
    <t>Carrier Limits: the new carrier-code check refuses 'STAMPS', so the seeded STAMPS limit row cannot be saved and matches no platform carrier code (STAMPS_COM)</t>
  </si>
  <si>
    <t>1. Open Settings &gt; Carrier Limits (/settings/carrier-limits) and find the seeded row STAMPS / (default) / BOTH (1 package, 70 lb, $100)
2. Click Edit on that row and change nothing
3. Click Save
4. Open Settings &gt; Carriers (platform) and read the Code column</t>
  </si>
  <si>
    <t>Seeded row STAMPS (default), BOTH, max packages 1, max weight 70 lb, notes 'SWSIM CreateIndicium: 1 piece per call; USPS 70 lb piece max, $100 built-in.'. The same refusal was seen when a QA row UPS/QA_R7_SVC (deleted afterwards) was edited to carrier STAMPS. Nothing was saved.</t>
  </si>
  <si>
    <t>The carrier-code check and the stored data agree: the Stamps row carries the platform code STAMPS_COM (or the check accepts STAMPS), so a seeded row can be opened, saved and kept up to date, and a limit row always matches a carrier that exists.</t>
  </si>
  <si>
    <t>The dialog stays open with 'Unknown carrier code 'STAMPS'. Known: UPS, FEDEX, USPS, DHL, STAMPS_COM, USPS_DIRECT.' and no request is sent. The platform registry lists the code as STAMPS_COM, so the seeded STAMPS row is the same kind of dead rule as BUG-095 described (a limit nothing will match), and since the BUG-095 fix it can no longer be edited at all - only Deactivate (PATCH) and Delete are left.</t>
  </si>
  <si>
    <t>Edit &gt; Save on the unchanged STAMPS row: red banner 'Unknown carrier code 'STAMPS'. Known: UPS, FEDEX, USPS, DHL, STAMPS_COM, USPS_DIRECT.'; no network request (client-side check). Settings &gt; Carriers (platform) codes: USPS_DIRECT, FEDEX, STAMPS_COM, USPS, DHL, UPS.</t>
  </si>
  <si>
    <t>BUG-155.png</t>
  </si>
  <si>
    <t>Settings &gt; Carriers &amp; Services &gt; Carriers (platform)</t>
  </si>
  <si>
    <t>BUG-156</t>
  </si>
  <si>
    <t>Holiday list: the description promises 'the common US holidays' but only three dates a year are listed, and the 2027 names carry a fixed '(next year)' label</t>
  </si>
  <si>
    <t>1. Open Settings &gt; Cutoffs &amp; Holidays (/settings/cutoffs) and scroll to Global holiday list
2. Read the panel description and the six rows</t>
  </si>
  <si>
    <t>Seeded rows after the 15 Oct build: 2026-01-01 New Year's Day, 2026-12-24 Christmas Eve, 2026-12-25 Christmas Day, 2027-01-01 New Year's Day (next year), 2027-12-24 Christmas Eve (next year), 2027-12-25 Christmas Day (next year). Read only.</t>
  </si>
  <si>
    <t>The description says what is seeded, or the list really holds the days the carriers do not run (Memorial Day, 4 July, Labor Day, Thanksgiving, Christmas, New Year); names do not hold a relative label that is wrong a few weeks later.</t>
  </si>
  <si>
    <t>The description reads 'the list ships with the common US holidays preloaded for the current and next year', yet each year holds three dates: no Memorial Day, Independence Day, Labor Day or Thanksgiving, so a shipment created after cutoff on 25 November 2026 rolls onto Thanksgiving (26 Nov), a day UPS, FedEx and USPS do not run standard service. The three 2027 names end in '(next year)', which reads wrongly from 1 January 2027. Christmas Eve is still listed as non-working.</t>
  </si>
  <si>
    <t>Global holiday list panel text and six rows as quoted.</t>
  </si>
  <si>
    <t>BUG-156.jpg</t>
  </si>
  <si>
    <t>BUG-157</t>
  </si>
  <si>
    <t>Schedule a pickup: a US address with the State left empty passes the new checks and is sent to the carrier</t>
  </si>
  <si>
    <t>1. Open Settings &gt; Pickups &amp; End-of-Day (/settings/pickups)
2. In Schedule a pickup keep FEDEX / GROUND, set Pickup date 20-10-2026, Window 09:00 to 17:00, Contact QA-1016 Contact, phone 312-555-0100, Address 1 QA Way, City Chicago, Postal 60601, Country US, Packages 1, Total wt 1
3. Leave State empty and click Schedule pickup</t>
  </si>
  <si>
    <t>Carrier FEDEX, service GROUND, QA contact 'QA-1016 Contact', 1 QA Way, Chicago 60601, state empty. Every write from the page was blocked by a hook, so no pickup was booked.</t>
  </si>
  <si>
    <t>State is required for a US (and CA) pickup address and the form says so before anything is sent, like the other fields it now checks (phone, postal code, date, window, package count).</t>
  </si>
  <si>
    <t>No message appears and POST /api/v1/pickups is sent with state '' (blocked in the page). The State box has no required marker. The five new checks (phone, postal, past date, window order, package count) all fire, so the missing State stands out as the one address field a carrier pickup needs that the form lets through.</t>
  </si>
  <si>
    <t>Request body captured by the page hook: {"carrierCode":"FEDEX","pickupDate":"2026-10-20","pickupWindowStart":"09:00","pickupWindowEnd":"17:00","contactPhone":"312-555-0100","city":"Chicago","state":"","postalCode":"60601","countryCode":"US","packageCount":1,...}; the toast 'Something went wrong - blocked by QA hook' is the hook, not the server.</t>
  </si>
  <si>
    <t>BUG-157.jpg</t>
  </si>
  <si>
    <t>BUG-158</t>
  </si>
  <si>
    <t>Row actions (edit, activate / deactivate, delete)</t>
  </si>
  <si>
    <t>Output Destinations: row Delete asks with the browser's native confirm box, unlike the in-app dialogs used on Custom Fields, Code Maps and Clients</t>
  </si>
  <si>
    <t>1. Open Settings &gt; Output Destinations and click + Add destination
2. Client code QA-1016-CL01, Doc type Label, Destination type Local folder, Directory path /tmp/qa-1016-r7, leave Active ticked, click Create
3. Click Delete on the new row</t>
  </si>
  <si>
    <t>QA destinations for client QA-1016-CL01 (LOCAL_FS /tmp/qa-1016-r7 and an SFTP one at 192.0.2.20), both deleted afterwards</t>
  </si>
  <si>
    <t>The same in-app confirmation as Custom Fields ('Delete custom field' with Cancel / Delete), Code Maps ('Remove alias') and the Clients row menu: a dialog inside the page that can be styled, worded and dismissed like the rest of Multiship.</t>
  </si>
  <si>
    <t>The page calls window.confirm: the browser's own box 'Delete LOCAL_FS destination for QA-1016-CL01?' (and 'Delete SFTP destination for QA-1016-CL01?' for the SFTP row) appears with OK / Cancel. It cannot be styled, blocks the whole tab and can be switched off by the browser's 'prevent this page from creating additional dialogs' option, after which Delete silently does nothing. Same pattern as BUG-075, which was fixed for Custom Fields but not for Carrier Accounts and not here. A test hook that recorded the message and answered OK showed DELETE /api/v1/admin/output-destinations/2 -&gt; 200 and /1 -&gt; 200.</t>
  </si>
  <si>
    <t>window.confirm raised with 'Delete LOCAL_FS destination for QA-1016-CL01?' (captured by a page hook; a native box is not visible in screenshots). No in-app dialog element was opened.</t>
  </si>
  <si>
    <t>BUG-158.jpg</t>
  </si>
  <si>
    <t>BUG-159</t>
  </si>
  <si>
    <t>New destination: LOCAL_FS directory path</t>
  </si>
  <si>
    <t>Output Destinations: a destination is saved with an empty folder path, a '../../../../etc/...' path, or an SFTP host and username left empty with port 99999</t>
  </si>
  <si>
    <t>1. Open Settings &gt; Output Destinations &gt; + Add destination
2. Client code QA-1016-CL01, Doc type Label, Destination type Local folder, leave Directory path empty, untick Active, click Create
3. Repeat with Directory path ../../../../etc/qa-1016-r7 (and a relative path qa-1016-rel) - sent from the page's own request with the app's X-XSRF-TOKEN
4. Add destination &gt; SFTP: leave Host and Username empty, Port 99999, type a dummy password, untick Active, click Create</t>
  </si>
  <si>
    <t>Inactive QA destinations for client QA-1016-CL01 (ids 3-7), each deleted straight after it was created; nothing was dispatched and the Test button was not used</t>
  </si>
  <si>
    <t>Directory path is required and checked: a field message such as 'Directory path is required.', no '..' segments, ideally only absolute paths under a configured output root. For SFTP the host and username are required and the port is 1-65535, each with a field message, from the page and from the server.</t>
  </si>
  <si>
    <t>Every variant is saved: empty path -&gt; POST /api/v1/admin/output-destinations 201 'Destination created.' and a row with a blank Config summary; '../../../../etc/qa-1016-r7' -&gt; 201 (id 3); 'qa-1016-rel' -&gt; 201 (id 4); a request with path '' -&gt; 201 (id 5); SFTP with host '', username '' and port 99999 plus a password -&gt; 201 and the row reads '@:99999/upload'. The only check that fired was for SFTP without a password or key (400 'SFTP destinations require either a password or a private key...'). An active destination like these would make every label and commercial invoice for that client fail or land in an unintended folder, and the user is told 'Destination created.'</t>
  </si>
  <si>
    <t>POST /api/v1/admin/output-destinations 201 for config {"path":""}, {"path":"../../../../etc/qa-1016-r7"}, {"path":"qa-1016-rel"} and SFTP {"host":"","port":99999,"username":""}; 400 only when the SFTP password is missing. Found while checking the neighbours of the BUG-118 fix (S056-E08 had been blocked until Create worked).</t>
  </si>
  <si>
    <t>BUG-159.jpg, BUG-159-2.jpg</t>
  </si>
  <si>
    <t>BUG-160</t>
  </si>
  <si>
    <t>Log grid (When, Actor, Action, Order, Type, Entity, Notes) and row details</t>
  </si>
  <si>
    <t>Logs: every entry is dated 5 1/2 hours in the future (label made 09:00 is listed 'Oct 16, 2026, 2:30 PM') - the BUG-119 time-zone fix is applied to India-time stamps</t>
  </si>
  <si>
    <t>1. Note the time of two actions made today: the sandbox return label #934196 (bought at about 09:00, Writeback Journal shows 9:00 AM) and the QA warehouse QA-1016-WH01 (created at about 08:08)
2. Open Settings &gt; Logs (All logs, newest first) and read the When column of the matching rows
3. Compare with the clock in the page header (10:28 LOCAL) and with GET /api/v1/audit-log</t>
  </si>
  <si>
    <t>Sandbox return labels #934195 and #934196 and QA warehouse QA-1016-WH01 created in this run</t>
  </si>
  <si>
    <t>The time the action happened - 'Oct 16, 2026, 9:00 AM' for #934196 and 8:08 AM for the warehouse - as Users &gt; Recent admin actions (8:10:20 AM for the QA invite), Writeback Journal (9:00 AM), Email Delivery Log (8:10 AM) and the header clock agree.</t>
  </si>
  <si>
    <t>Logs lists #934196 LABEL_GENERATED at 'Oct 16, 2026, 2:30 PM', #934195 at '2:28 PM', a carrier-account update made at 08:14 at '1:44 PM' and CREATE WAREHOUSE at '1:38 PM' - every row is exactly 5 h 30 min late (i.e. ahead), so the newest entries are dated in the future while the header clock reads 10:28 AM. GET /api/v1/audit-log returns createdAt '2026-10-16T09:00:51.043874' for the label: no zone, and it is India time. The page now treats a zone-less stamp as UTC (the BUG-119 fix) and adds 5 1/2 hours. In R6 Logs showed the right time; this is a regression. The server mixes zone-less UTC stamps (mail Updated, sentAt, Writeback Journal) with zone-less India-time stamps (audit log, invite expiresAt, response timestamps), so no single client-side rule can be right for both.</t>
  </si>
  <si>
    <t>GET /api/v1/audit-log?size=4 -&gt; createdAt 2026-10-16T09:00:51.043874, 08:58:17, 08:14:03, 08:08:47 (zone-less, India time); grid shows 2:30 PM, 2:28 PM, 1:44 PM, 1:38 PM; browser clock 10:29 local / 04:59 UTC at the time of the check.</t>
  </si>
  <si>
    <t>BUG-160.jpg</t>
  </si>
  <si>
    <t>BUG-161</t>
  </si>
  <si>
    <t>Carrier API Log: older token exchanges (8-12 Oct) still show the OAuth client_secret, refresh_token and access_token in clear - the BUG-130 scrub masked only client_id</t>
  </si>
  <si>
    <t>1. Open Settings &gt; Carrier API Log (/settings/carrier-api-log)
2. Type UNKNOWN in the Carrier filter (older Stamps.com rows) and open the 25th row, a POST to https://signin.testing.stampsendicia.com/oauth/token dated Oct 11, 8:49 PM - or page to the oldest FedEx and UPS token rows
3. Read the stored Request body and Response body in the expanded row</t>
  </si>
  <si>
    <t>Viewed only. All 108 stored oauth/token rows were read through GET /api/v1/admin/carrier-api-log/{id} with a shape-only script (field present, masked or not, value length and character classes); no value was copied into this report, a screenshot or the ledger.</t>
  </si>
  <si>
    <t>A credential exchange that is masked on new rows is masked on the stored history too: the BUG-130 scrub covers every secret field (client_secret, refresh_token, access_token), or the old rows are purged. Any secret that sat readable in the log is treated as exposed and rotated.</t>
  </si>
  <si>
    <t>client_id is now masked on all 96 rows that carry one (BUG-130 itself is fixed), but the 68 token exchanges stored before 12 Oct 10:42 (ids 1-1580) still hold the other credentials in clear: client_secret readable in 59 request bodies (51 values are 64 characters long, 8 are 32), refresh_token readable in 51 (45 characters), access_token readable in 65 response bodies (870 to about 1,300 characters), across Stamps.com (stored as UNKNOWN), FedEx and UPS. The 40 rows from id 1589 on show '***' for every one of them, so the live redaction works - only the stored history was never scrubbed. The page shows them: opening an older Stamps row displays a 64-character client_secret and an 870-character access_token in the expanded row. Anyone with Settings access can read them. They are sandbox credentials, but a client secret and a refresh token stay valid until rotated (validity not tested - not used).</t>
  </si>
  <si>
    <t>GET /api/v1/admin/carrier-api-log/{id}: ids 1-1580 return unmasked client_secret / refresh_token / access_token in requestBody and responseBody; ids 1589-1829 return '***'. Shape-only scan of 108 token rows: client_id masked 96 of 96 (12 UPS rows carry none); client_secret clear 59, masked 37; refresh_token clear 51, masked 31; access_token clear 65, masked 33; no Authorization header is stored. 71 sampled non-token rows (every URL group) hold no credential-like field. No screenshot attached on purpose - it would show the secrets.</t>
  </si>
  <si>
    <t>BUG-162</t>
  </si>
  <si>
    <t>Log grid (When, Carrier, Method, URL, Status, Order, Latency)</t>
  </si>
  <si>
    <t>Carrier API Log: 915 of 1,831 rows (every Stamps.com call before 12 Oct) show carrier 'UNKNOWN', so the USPS filter finds only 162 of the 1,077 Stamps calls</t>
  </si>
  <si>
    <t>1. Open Settings &gt; Carrier API Log (/settings/carrier-api-log)
2. Type USPS in the Carrier filter and note 'Showing 50 of 162'
3. Replace it with UNKNOWN and note 'Showing 50 of 915'; read the URL column of those rows</t>
  </si>
  <si>
    <t>Carrier filter USPS, STAMPS, UNKNOWN (viewed only)</t>
  </si>
  <si>
    <t>Every logged call is labelled with the carrier it went to; the Stamps.com calls made before the carrier label existed are backfilled the way the BUG-130 scrub fixed their client ids, so one filter finds the whole history.</t>
  </si>
  <si>
    <t>915 rows (ids 1-1579, 8 to 11 Oct) show UNKNOWN in the Carrier column; every one of them is a call to a Stamps.com host (sera/v1/rates, labels, addresses/validate, balance/add-funds, void and oauth/token). Rows from id 1589 on say STAMPS_COM. The filter placeholder says FEDEX / UPS / USPS, and USPS (or STAMPS) finds only the 162 newer rows; the older 915 can only be found by typing UNKNOWN. A reviewer looking for last week's USPS errors sees half of them.</t>
  </si>
  <si>
    <t>GET /api/v1/admin/carrier-api-log: totalElements 1831 = FEDEX 342 + UPS 412 + STAMPS_COM 162 + UNKNOWN 915; carrier=USPS returns 162, carrier=UNKNOWN 915; all 915 UNKNOWN URLs are on api.testing.stampsendicia.com or signin.testing.stampsendicia.com.</t>
  </si>
  <si>
    <t>BUG-162.jpg</t>
  </si>
  <si>
    <t>Element ID</t>
  </si>
  <si>
    <t>Kind</t>
  </si>
  <si>
    <t>Area</t>
  </si>
  <si>
    <t>Result</t>
  </si>
  <si>
    <t>Checks performed</t>
  </si>
  <si>
    <t>Notes</t>
  </si>
  <si>
    <t>Bug IDs</t>
  </si>
  <si>
    <t>S001-E01</t>
  </si>
  <si>
    <t>dropdown</t>
  </si>
  <si>
    <t>Header</t>
  </si>
  <si>
    <t>Pass</t>
  </si>
  <si>
    <t>MKL246 selected for all 128 orders; carrier list loads FedEx, UPS and USPS; retest of fix</t>
  </si>
  <si>
    <t>BUG-053 verified fixed in R5</t>
  </si>
  <si>
    <t>S001-E02</t>
  </si>
  <si>
    <t>Fail</t>
  </si>
  <si>
    <t>FedEx, UPS and USPS each selected; service and packaging lists reload per carrier and lane</t>
  </si>
  <si>
    <t>S001-E03</t>
  </si>
  <si>
    <t>Reference (PO-12345)</t>
  </si>
  <si>
    <t>text</t>
  </si>
  <si>
    <t>QA-1011-R13-* references typed; saved as refOrderNumber on 128 of 128 orders (API)</t>
  </si>
  <si>
    <t>S001-E04</t>
  </si>
  <si>
    <t>Ship from</t>
  </si>
  <si>
    <t>profile default 'MKL' rejected by USPS international (BUG-001); 'MKL Shipping' accepted by USPS; retest of fix</t>
  </si>
  <si>
    <t>BUG-001 verified fixed in R5</t>
  </si>
  <si>
    <t>S001-E05</t>
  </si>
  <si>
    <t>read-only</t>
  </si>
  <si>
    <t>reviewed the client's ship-from address (BUG-012); retest of fix</t>
  </si>
  <si>
    <t>BUG-012 verified fixed in R5</t>
  </si>
  <si>
    <t>S001-E06</t>
  </si>
  <si>
    <t>Ship-to Name</t>
  </si>
  <si>
    <t>Ship to</t>
  </si>
  <si>
    <t>entered for Canada, UK and Mexico; accepted by all carriers</t>
  </si>
  <si>
    <t>S001-E07</t>
  </si>
  <si>
    <t>Ship-to Company</t>
  </si>
  <si>
    <t>entered for Canada, UK and Mexico; accepted</t>
  </si>
  <si>
    <t>S001-E08</t>
  </si>
  <si>
    <t>Ship-to Street</t>
  </si>
  <si>
    <t>Canada, UK and Mexico street addresses accepted by all carriers</t>
  </si>
  <si>
    <t>S001-E09</t>
  </si>
  <si>
    <t>Ship-to Phone</t>
  </si>
  <si>
    <t>10-digit numbers accepted (field hint '10 digits'); UK 2079460000 and MX 5552081234 accepted</t>
  </si>
  <si>
    <t>S001-E10</t>
  </si>
  <si>
    <t>Ship-to City</t>
  </si>
  <si>
    <t>Toronto, London, Ciudad de Mexico saved (API city)</t>
  </si>
  <si>
    <t>S001-E11</t>
  </si>
  <si>
    <t>Ship-to Postal code</t>
  </si>
  <si>
    <t>M5V 3L9, E14 5AB, 06600 saved (API zipCode)</t>
  </si>
  <si>
    <t>S001-E12</t>
  </si>
  <si>
    <t>Ship-to Country search</t>
  </si>
  <si>
    <t>autocomplete</t>
  </si>
  <si>
    <t>typed Canada / United Kingdom / Mexico and picked the option; lane chip shows US → CA / GB / MX · INTL</t>
  </si>
  <si>
    <t>S001-E13</t>
  </si>
  <si>
    <t>Province (Canada)</t>
  </si>
  <si>
    <t>ON selected; saved as state ON (API)</t>
  </si>
  <si>
    <t>S001-E14</t>
  </si>
  <si>
    <t>empty value flagged with toast and red field; DF rejected by the check, CMX accepted; no * marker and placeholder NY (BUG-008); retest of fix</t>
  </si>
  <si>
    <t>BUG-008 verified fixed in R4</t>
  </si>
  <si>
    <t>S001-E15</t>
  </si>
  <si>
    <t>Service</t>
  </si>
  <si>
    <t>every service offered per lane used: FedEx IE / IP, UPS Saver / Expedited / Express, USPS PMI / PMEI; stored shipVia consistent per service (API)</t>
  </si>
  <si>
    <t>S001-E16</t>
  </si>
  <si>
    <t>Incoterms</t>
  </si>
  <si>
    <t>DAP chosen on all 128 orders; accepted by all carriers</t>
  </si>
  <si>
    <t>S001-E17</t>
  </si>
  <si>
    <t>Duties paid by</t>
  </si>
  <si>
    <t>Left on its default (Recipient pays / DDU)</t>
  </si>
  <si>
    <t>S001-E18</t>
  </si>
  <si>
    <t>Packaging</t>
  </si>
  <si>
    <t>Packages</t>
  </si>
  <si>
    <t>every packaging offered per service used: FedEx 5 (IE) and 7 (IP), UPS 10 / 2 / 10, USPS 2; carrier boxes fill their own dimensions</t>
  </si>
  <si>
    <t>S001-E19</t>
  </si>
  <si>
    <t>Box weight</t>
  </si>
  <si>
    <t>number</t>
  </si>
  <si>
    <t>1 to 20 lb accepted</t>
  </si>
  <si>
    <t>S001-E20</t>
  </si>
  <si>
    <t>Length / Width / Height</t>
  </si>
  <si>
    <t>12 x 9 x 4 in custom boxes accepted and copied to box 2 by Apply box 1 to all</t>
  </si>
  <si>
    <t>S001-E21</t>
  </si>
  <si>
    <t>button</t>
  </si>
  <si>
    <t>adds box 2 for every packaging, including single-piece ones (BUG-003); retest of fix</t>
  </si>
  <si>
    <t>BUG-003 verified fixed in R3</t>
  </si>
  <si>
    <t>S001-E22</t>
  </si>
  <si>
    <t>Apply box 1 to all</t>
  </si>
  <si>
    <t>copies weight and dimensions to box 2 (checked on every 2-box order)</t>
  </si>
  <si>
    <t>S001-E23</t>
  </si>
  <si>
    <t>count set to 1; box 2 gets the weight but not the dimensions (BUG-006); retest of fix</t>
  </si>
  <si>
    <t>BUG-006 verified fixed in R3</t>
  </si>
  <si>
    <t>S001-E24</t>
  </si>
  <si>
    <t>Declared value (auto from items)</t>
  </si>
  <si>
    <t>shows 40.00 computed from the items (2 x 20.00)</t>
  </si>
  <si>
    <t>S001-E25</t>
  </si>
  <si>
    <t>Customs</t>
  </si>
  <si>
    <t>Sale chosen (default Sample); accepted by all carriers; retest of fix</t>
  </si>
  <si>
    <t>BUG-143 verified fixed in R7</t>
  </si>
  <si>
    <t>S001-E26</t>
  </si>
  <si>
    <t>UK and Mexico: NOEEI 30.37(a) accepted; Mexico: default 'None (using AES)' passed the FedEx carrier check on retest; missing on the Canada form (BUG-005); retest of fix</t>
  </si>
  <si>
    <t>BUG-005 verified fixed in R3</t>
  </si>
  <si>
    <t>S001-E27</t>
  </si>
  <si>
    <t>AES ITN</t>
  </si>
  <si>
    <t>Not needed once an FTR exemption was chosen</t>
  </si>
  <si>
    <t>S001-E28</t>
  </si>
  <si>
    <t>Export declaration ref</t>
  </si>
  <si>
    <t>'NO EEI 30.36' accepted by FedEx for Canada; left empty for UK and Mexico</t>
  </si>
  <si>
    <t>S001-E29</t>
  </si>
  <si>
    <t>Currency</t>
  </si>
  <si>
    <t>R5: lists 10 currencies - USD, EUR, GBP, CAD, INR, AUD, SGD, JPY, CNY, AED - with USD as default; the client wizard offers MXN instead of SGD (Query BUG-125)</t>
  </si>
  <si>
    <t>Looked at for BUG-125.</t>
  </si>
  <si>
    <t>S001-E30</t>
  </si>
  <si>
    <t>Label type</t>
  </si>
  <si>
    <t>PDF chosen (FedEx default ZPLII); all 115 labels stored and shown as PDF</t>
  </si>
  <si>
    <t>S001-E31</t>
  </si>
  <si>
    <t>Paper 4x6 chosen for every FedEx order; default stays Thermal stock 4x6 with PDF (suggestion BUG-020)</t>
  </si>
  <si>
    <t>S001-E32</t>
  </si>
  <si>
    <t>Pickup type (FedEx)</t>
  </si>
  <si>
    <t>Left on Regular pickup</t>
  </si>
  <si>
    <t>S001-E33</t>
  </si>
  <si>
    <t>Importer</t>
  </si>
  <si>
    <t>opens the Importer &amp; broker override dialog; 'OVERRIDDEN · THIS SHIPMENT' shown after Use; badge contradicts the warning (BUG-010); retest of fix</t>
  </si>
  <si>
    <t>BUG-010 verified fixed in R3</t>
  </si>
  <si>
    <t>S001-E34</t>
  </si>
  <si>
    <t>Item Description</t>
  </si>
  <si>
    <t>Items (commercial invoice)</t>
  </si>
  <si>
    <t>Cotton T-shirt entered on every order</t>
  </si>
  <si>
    <t>S001-E35</t>
  </si>
  <si>
    <t>Item SKU</t>
  </si>
  <si>
    <t>Left empty</t>
  </si>
  <si>
    <t>S001-E36</t>
  </si>
  <si>
    <t>lookup</t>
  </si>
  <si>
    <t>61091000 accepted for Canada, UK and Mexico; lookup suggestion 610910 too short for Canada (BUG-011); retest of fix</t>
  </si>
  <si>
    <t>BUG-011 verified fixed in R3 | BUG-144 verified fixed in R7</t>
  </si>
  <si>
    <t>BUG-011, BUG-144</t>
  </si>
  <si>
    <t>S001-E37</t>
  </si>
  <si>
    <t>Item Origin</t>
  </si>
  <si>
    <t>US entered on every line</t>
  </si>
  <si>
    <t>S001-E38</t>
  </si>
  <si>
    <t>Item Qty</t>
  </si>
  <si>
    <t>2 on one line, and 1 + 1 on split lines, accepted</t>
  </si>
  <si>
    <t>S001-E39</t>
  </si>
  <si>
    <t>Item Unit value (USD)</t>
  </si>
  <si>
    <t>20.00 accepted</t>
  </si>
  <si>
    <t>S001-E40</t>
  </si>
  <si>
    <t>Item Wt (lb)</t>
  </si>
  <si>
    <t>0.5 lb accepted</t>
  </si>
  <si>
    <t>S001-E41</t>
  </si>
  <si>
    <t>Item Amount</t>
  </si>
  <si>
    <t>20.00 and 40.00 computed from Qty x Unit value</t>
  </si>
  <si>
    <t>S001-E42</t>
  </si>
  <si>
    <t>Pkg # 1 and 2 set by Spread across 2 boxes; all lines left in box 1 lets a USPS 2-box shipment fail (BUG-002); retest of fix</t>
  </si>
  <si>
    <t>BUG-002 verified fixed in R3</t>
  </si>
  <si>
    <t>S001-E43</t>
  </si>
  <si>
    <t>adds a line, but at the top (BUG-013); retest of fix</t>
  </si>
  <si>
    <t>BUG-013 verified fixed in R3</t>
  </si>
  <si>
    <t>S001-E44</t>
  </si>
  <si>
    <t>assigns the lines to boxes 1 and 2; toast covers the footer buttons (BUG-014); retest of fix</t>
  </si>
  <si>
    <t>BUG-014 verified fixed in R3</t>
  </si>
  <si>
    <t>S001-E45</t>
  </si>
  <si>
    <t>Footer</t>
  </si>
  <si>
    <t>runs the check on every shipment (128 orders plus 4 retests); one raw 502 toast (BUG-016); retest of fix</t>
  </si>
  <si>
    <t>BUG-016 verified fixed in R6</t>
  </si>
  <si>
    <t>S001-E46</t>
  </si>
  <si>
    <t>message</t>
  </si>
  <si>
    <t>Shipment check</t>
  </si>
  <si>
    <t>addresses, package, price, customs and carrier sections shown; false International Priority issue (BUG-004); '2-letter code' text (BUG-009); USPS 'normalised the address' note (BUG-018); UK billed weight (BUG-019); retest of fix</t>
  </si>
  <si>
    <t>BUG-004 verified fixed in R3</t>
  </si>
  <si>
    <t>BUG-004, BUG-009, BUG-018, BUG-019</t>
  </si>
  <si>
    <t>S001-E47</t>
  </si>
  <si>
    <t>Generate label</t>
  </si>
  <si>
    <t>115 labels generated; 13 carrier rejections shown as a toast with the saved order number</t>
  </si>
  <si>
    <t>S002-E01</t>
  </si>
  <si>
    <t>Importer of record</t>
  </si>
  <si>
    <t>Business and Receiver options; Receiver · DAP saved (importer card badge); no prefill from ship-to (suggestion BUG-021)</t>
  </si>
  <si>
    <t>S002-E02</t>
  </si>
  <si>
    <t>Name</t>
  </si>
  <si>
    <t>entered; shown on the importer card</t>
  </si>
  <si>
    <t>S002-E03</t>
  </si>
  <si>
    <t>Contact</t>
  </si>
  <si>
    <t>entered; accepted</t>
  </si>
  <si>
    <t>S002-E04</t>
  </si>
  <si>
    <t>Address 1</t>
  </si>
  <si>
    <t>S002-E05</t>
  </si>
  <si>
    <t>City</t>
  </si>
  <si>
    <t>S002-E06</t>
  </si>
  <si>
    <t>State</t>
  </si>
  <si>
    <t>ON for Canada; left empty for UK and Mexico and accepted</t>
  </si>
  <si>
    <t>S002-E07</t>
  </si>
  <si>
    <t>Post code</t>
  </si>
  <si>
    <t>S002-E08</t>
  </si>
  <si>
    <t>Country (prefilled)</t>
  </si>
  <si>
    <t>prefilled CA / GB / MX from the destination</t>
  </si>
  <si>
    <t>S002-E09</t>
  </si>
  <si>
    <t>Phone</t>
  </si>
  <si>
    <t>S002-E10</t>
  </si>
  <si>
    <t>Tax ID (Mexico)</t>
  </si>
  <si>
    <t>S002-E11</t>
  </si>
  <si>
    <t>EORI (UK)</t>
  </si>
  <si>
    <t>S002-E12</t>
  </si>
  <si>
    <t>Customs broker fields</t>
  </si>
  <si>
    <t>Customs broker</t>
  </si>
  <si>
    <t>left blank; card shows 'Carrier clears customs (carrier default brokerage)'</t>
  </si>
  <si>
    <t>S002-E13</t>
  </si>
  <si>
    <t>Use for this shipment</t>
  </si>
  <si>
    <t>Dialog footer</t>
  </si>
  <si>
    <t>applies the override for the shipment; labels generated with it</t>
  </si>
  <si>
    <t>S003-E01</t>
  </si>
  <si>
    <t>Shipping Label tab</t>
  </si>
  <si>
    <t>tab</t>
  </si>
  <si>
    <t>opens the label for #934118, #934119 and #934190</t>
  </si>
  <si>
    <t>S003-E02</t>
  </si>
  <si>
    <t>R5: Commercial Invoice tab on #934193 loads GET /orders/934193/commercial-invoice and renders page 1 of 1; invoice no. and AWB, DAP, duties billed to consignee, FTR exemption NO EEI 30.37(a), exporter MKL 8191 Logistics Dr, consignee QA Test Recipient London E14 5AB; 2 lines x 20.00 USD, gross 6 LB = 2 x 3 LB, net 1 LB, total invoice value 40.00 USD; Download invoice, Download all and Print Invoice offered; package Contents wording 'Lines 1 (1 units)' (BUG-142); retest of fix</t>
  </si>
  <si>
    <t>see BUG-142 | BUG-142 verified fixed in R6</t>
  </si>
  <si>
    <t>S003-E03</t>
  </si>
  <si>
    <t>Body</t>
  </si>
  <si>
    <t>renders for #934119 and #934190; #934118 slow (BUG-007); preview.png returns 503 on every load (BUG-015)</t>
  </si>
  <si>
    <t>BUG-007, BUG-015, BUG-137</t>
  </si>
  <si>
    <t>S003-E04</t>
  </si>
  <si>
    <t>Download PDF</t>
  </si>
  <si>
    <t>R5: not used - downloading a file needs Manoj's go-ahead, which covered only the Clients CSV export (BUG-038).</t>
  </si>
  <si>
    <t>S003-E05</t>
  </si>
  <si>
    <t>Download .zpl</t>
  </si>
  <si>
    <t>S003-E06</t>
  </si>
  <si>
    <t>Copy ZPL</t>
  </si>
  <si>
    <t>R5: Copy ZPL on #934193 fetches GET /orders/934193/label/zpl and copies 3,826 characters - one ^XA...^XZ block per box, with **TEST LABEL - DO NOT SHIP**; ship-from MKL, 8191 Logistics Dr, Zeeland MI 49464 and ship-to QA Test Recipient, 1 Canada Square, London E14 5AB GB match the order; ACTWGT 3 LB per box; toast 'ZPL copied - paste into labelary.com/viewer to preview the thermal print.'; the clipboard write was captured in the page</t>
  </si>
  <si>
    <t>Enabled after load; not exercised</t>
  </si>
  <si>
    <t>S003-E07</t>
  </si>
  <si>
    <t>Track / Track live</t>
  </si>
  <si>
    <t>R5: Track is a link to the FedEx tracking site for 794888991425 with target _blank and rel noopener noreferrer (not followed); Track live opens 'Tracking for order 934193' with status, CACHED and SANDBOX - SAMPLE DATA chips, both packages, the sandbox timeline, an auto-refresh countdown and Open on FEDEX site; Escape closes it; focus stays on the button behind (BUG-123)</t>
  </si>
  <si>
    <t>Not exercised (sandbox tracking)</t>
  </si>
  <si>
    <t>S003-E08</t>
  </si>
  <si>
    <t>Print Label</t>
  </si>
  <si>
    <t>R5: not used - Print can open the system print dialog or reach a real printer.</t>
  </si>
  <si>
    <t>S003-E09</t>
  </si>
  <si>
    <t>Sandbox test-label banner</t>
  </si>
  <si>
    <t>'SANDBOX — TEST LABEL ONLY' banner shown</t>
  </si>
  <si>
    <t>S004-E01</t>
  </si>
  <si>
    <t>orderDetails.refOrderNumber</t>
  </si>
  <si>
    <t>orderDetails</t>
  </si>
  <si>
    <t>128 of 128 match the reference typed</t>
  </si>
  <si>
    <t>S004-E02</t>
  </si>
  <si>
    <t>orderDetails.status</t>
  </si>
  <si>
    <t>115 GENERATED and 13 ERROR, matching what the screen showed</t>
  </si>
  <si>
    <t>S004-E03</t>
  </si>
  <si>
    <t>orderDetails.packageCount</t>
  </si>
  <si>
    <t>31 one-box and 97 two-box orders match</t>
  </si>
  <si>
    <t>S004-E04</t>
  </si>
  <si>
    <t>shippingDetails city / state / zipCode / intlYn</t>
  </si>
  <si>
    <t>shippingDetails</t>
  </si>
  <si>
    <t>CA ON / M5V 3L9, GB E14 5AB, MX CMX / 06600; intlYn Y on all 128</t>
  </si>
  <si>
    <t>S004-E05</t>
  </si>
  <si>
    <t>shippingDetails.shipVia</t>
  </si>
  <si>
    <t>FedEx IE INTERNATIONAL_ECONOMY (16), IP INTERNATIONAL_PRIORITY (24), UPS Saver 65 (32), Expedited 08 (6), Express 07 (32), USPS PMI PRIORITY_INTL (11), PMEI EXPRESS_INTL (7)</t>
  </si>
  <si>
    <t>S004-E06</t>
  </si>
  <si>
    <t>present and numeric on 128 orders; equals one box's weight on 2-box orders (query BUG-017)</t>
  </si>
  <si>
    <t>S004-E07</t>
  </si>
  <si>
    <t>labelDetails status / isGenerated / trackingNumber</t>
  </si>
  <si>
    <t>labelDetails</t>
  </si>
  <si>
    <t>115 GENERATED with isGenerated and a tracking number; 13 ERROR without</t>
  </si>
  <si>
    <t>S004-E08</t>
  </si>
  <si>
    <t>labelDetails.labelFilePath</t>
  </si>
  <si>
    <t>base64 PDF on 114 labels; #934118 holds a FedEx document link (BUG-007)</t>
  </si>
  <si>
    <t>S004-E09</t>
  </si>
  <si>
    <t>errorDetails hasError / errorMessage</t>
  </si>
  <si>
    <t>errorDetails</t>
  </si>
  <si>
    <t>13 ERROR orders carry the carrier message that the toast showed</t>
  </si>
  <si>
    <t>S006-E01</t>
  </si>
  <si>
    <t>Page header (title, description, breadcrumb, highlighted menu item)</t>
  </si>
  <si>
    <t>title 'Clients' and description shown; top breadcrumb 'Settings &gt; Clients'; Clients highlighted in the Settings menu; R5: title 'Clients', description 'Customer master data - who you ship for, their carrier accounts, and defaults.', breadcrumb SETTINGS &gt; Clients, Clients highlighted in the menu</t>
  </si>
  <si>
    <t>S006-E02</t>
  </si>
  <si>
    <t>Refresh</t>
  </si>
  <si>
    <t>one GET /api/v1/clients (200) per click; grid redrawn with the same 2 rows; R5: one GET /api/v1/clients?page=0&amp;size=25&amp;sortBy=orderCount&amp;sortDirection=DESC per click, keeping the current sort</t>
  </si>
  <si>
    <t>S006-E03</t>
  </si>
  <si>
    <t>search</t>
  </si>
  <si>
    <t>Grid toolbar</t>
  </si>
  <si>
    <t>exact code MKL246; partial lowercase 'mkl'; name 'Thoroughbred'; city 'Zeeland' (2 rows); leading/trailing spaces trimmed before sending; no match 'zzz' -&gt; 'No clients match the current filters.'; special characters handled, no error; Enter does nothing harmful; clearing restores the list; debounced: one request per typed term; % and _ act as wildcards (BUG-022); retest of fix; R5: % and MKL_46 return no rows (BUG-022 fix holds); '  zeeland ' trimmed and case-insensitive -&gt; 2 rows; SQL-style probe ' OR 1=1 -- -&gt; 0 rows, no error; sanitation: &lt;b&gt;qa&lt;/b&gt;&lt;script&gt;...&lt;/script&gt; -&gt; 0 rows, no b element and no script run</t>
  </si>
  <si>
    <t>Email is not searched, which matches the placeholder 'Search code, name, city...'. | BUG-022 verified fixed in R3</t>
  </si>
  <si>
    <t>S006-E04</t>
  </si>
  <si>
    <t>Filters</t>
  </si>
  <si>
    <t>Code contains; Name contains; City contains (case-insensitive); Status All/Active/Inactive; Carrier Has UPS/FedEx/USPS; Orders All/With/No orders; filters combine with AND; badge counts active filters; Clear resets all and hides itself; Done closes and keeps filters; Esc closes the panel; Code/City contains treat % and _ as wildcards (same fault as BUG-022); R5: Code contains '_' and City contains '%' now return 0 rows (previously wildcards); City 'zEELand' case-insensitive; Carrier Has UPS -&gt; MKL246 only; Status Inactive -&gt; 0; Orders No orders -&gt; 0; filters combine with AND; badge counts 1, 2, 3 active filters; Esc closes the panel and keeps the filters; Clear empties all three text boxes, resets the selects and hides itself</t>
  </si>
  <si>
    <t>S006-E05</t>
  </si>
  <si>
    <t>untick hides a column; reorder shows Cancel / Save order; Cancel reverts; Save order applies; pin to left keeps the column fixed while scrolling sideways; layout kept after page reload; Reset layout restores defaults; all columns can be hidden (BUG-023, suggestion); R5: last visible column cannot be hidden ('At least one column must stay visible') - BUG-023 fixed; Reset layout restores the seven columns but unpins the row-actions column until reload (BUG-074); retest of fix</t>
  </si>
  <si>
    <t>see BUG-074 | BUG-074 verified fixed in R6</t>
  </si>
  <si>
    <t>BUG-023, BUG-074</t>
  </si>
  <si>
    <t>S006-E06</t>
  </si>
  <si>
    <t>Density</t>
  </si>
  <si>
    <t>Comfortable makes rows taller; Compact restores; selected option marked; R5: Comfortable sets cell padding 12px and taller rows, Compact 6px; choice stored and kept</t>
  </si>
  <si>
    <t>S006-E07</t>
  </si>
  <si>
    <t>export</t>
  </si>
  <si>
    <t>click sends GET /api/v1/clients/export.csv (200); the current search is passed through (search=THB); the current sort is passed through; no column information is sent, so the tooltip's 'visible columns' is doubtful (BUG-038); CSV content not opened from this session; retest of fix; download permitted by Manoj; the file itself lands in his Downloads folder; R5: request carries search=THB and the visible column ids; R5: hidden columns are left out of the CSV, but visible Contact and Orders are never written (BUG-038 still failing); R5: CSV formula injection: a client name beginning '=1+1' is written as "=1+1 ..." with no leading apostrophe - see BUG-076</t>
  </si>
  <si>
    <t>Download permitted by the user for the whole Settings run; the file itself could not be read, so content is unverified. | BUG-038 verified fixed in R5</t>
  </si>
  <si>
    <t>BUG-038, BUG-076</t>
  </si>
  <si>
    <t>S006-E08</t>
  </si>
  <si>
    <t>Add Client</t>
  </si>
  <si>
    <t>opens the 8-step wizard at /settings/clients/new; heading 'NEW CLIENT - Register a client'; client created end to end (QA-1012-CL01) and appears in the list; R5: + Add Client opens the 8-step wizard at /settings/clients/new (tab title 'New client - Settings'); clients QA-1013-R5-CL01 and QA-1013-R5-CL02 created end to end and listed</t>
  </si>
  <si>
    <t>S006-E09</t>
  </si>
  <si>
    <t>Rows per page</t>
  </si>
  <si>
    <t>10, 25, 50, 100 each send size=n; 'Showing 2 of 2' unchanged; R5: 10 / 25 / 50 / 100 per page offered, 25 selected, request size=25</t>
  </si>
  <si>
    <t>S006-E10</t>
  </si>
  <si>
    <t>Previous / Next page and page indicator</t>
  </si>
  <si>
    <t>grid-paging</t>
  </si>
  <si>
    <t>Previous and Next disabled on a single page; indicator '1 of 1'; R5: Previous and Next disabled on a single page, indicator '1 of 1'</t>
  </si>
  <si>
    <t>Moving between pages was not exercised: only 2 clients exist and the smallest page size is 10.</t>
  </si>
  <si>
    <t>S006-E11</t>
  </si>
  <si>
    <t>'Showing X of Y clients' count</t>
  </si>
  <si>
    <t>Grid</t>
  </si>
  <si>
    <t>'Showing 2 of 2 clients'; 'Showing 1 of 1 client' (singular) after search; 'Showing 0 of 0 clients' with no match; R5: 'Showing 2 of 2 clients', 'Showing 1 of 1 client' (singular) after search THB, 'Showing 0 of 0 clients' on no match</t>
  </si>
  <si>
    <t>S006-E12</t>
  </si>
  <si>
    <t>grid-sort</t>
  </si>
  <si>
    <t>asc / desc both work (THB000 first when descending); third click: no arrow but still Code ascending (BUG-026); retest of fix; R5: Code cycles descending / ascending with the arrow always shown (BUG-026 fix holds)</t>
  </si>
  <si>
    <t>BUG-026 verified fixed in R3</t>
  </si>
  <si>
    <t>S006-E13</t>
  </si>
  <si>
    <t>Sort by Name</t>
  </si>
  <si>
    <t>Name ascending: MKL, Thoroughbred; Name descending: Thoroughbred, MKL; R5: Name ascending puts MKL before Thoroughbred</t>
  </si>
  <si>
    <t>S006-E14</t>
  </si>
  <si>
    <t>Sort by Orders</t>
  </si>
  <si>
    <t>first click descending: 33467 before 404; second click ascending: 404 before 33467 (numeric, not text, order); Contact, Country, Carrier accounts and Status headers are not sortable and show no sort icon; R5: Orders descending puts 33467 before 407 (numeric); Contact header not sortable</t>
  </si>
  <si>
    <t>S006-E15</t>
  </si>
  <si>
    <t>Grid columns and values (Code, Name/city, Contact, Country, Carrier accounts, Orders)</t>
  </si>
  <si>
    <t>grid</t>
  </si>
  <si>
    <t>Code, Name (with city beneath), Contact, Country badge with title 'United States', carrier chips with a star on the default, Orders as a number, Status toggle + badge; new client's values match what was entered; long name wraps over three lines without breaking the row; em dash shown for a client with no carrier accounts; R5: new client's name with quotes, ampersand, accented and Chinese characters and a leading '=' renders as plain text in the grid; city shown from the Ship From warehouse; warning icon with the human-readable no-markup message on a client without markup; em dash for a client with no carrier account</t>
  </si>
  <si>
    <t>S006-E16</t>
  </si>
  <si>
    <t>Status toggle (Activate / Deactivate client)</t>
  </si>
  <si>
    <t>toggle</t>
  </si>
  <si>
    <t>Deactivate asks first, names the client and lists what else will be disabled (1 carrier account, 0 client-owned warehouses, 1 warehouse attachment); Cancel leaves the client Active; Deactivate sets Inactive and the Status filter then finds it; re-activating is immediate with no prompt and reports 'QA-1012-CL01 is now ACTIVE.'; the carrier chip is back after re-activating; R5: Deactivate asks first, naming QA-1013-R5-CL02 and listing 1 carrier account, 0 client-owned warehouses, 1 warehouse attachment; Cancel leaves it Active; Deactivate sets Inactive with 'Done - QA-1013-R5-CL02 is now INACTIVE.'; re-activating is immediate, 'is now ACTIVE.', carrier chip restored</t>
  </si>
  <si>
    <t>The toast still prints the raw status word in capitals (ACTIVE / INACTIVE), as noted in R2.</t>
  </si>
  <si>
    <t>S006-E17</t>
  </si>
  <si>
    <t>Row actions</t>
  </si>
  <si>
    <t>opens 'Importer / Broker profile - New profile · MKL' with client MKL246 preselected and locked; Cancel and X close without saving (no POST); reopening shows an empty form; Esc ignored; background click discards typed data (BUG-024); retest of fix</t>
  </si>
  <si>
    <t>BUG-024 verified fixed in R5</t>
  </si>
  <si>
    <t>BUG-024, BUG-075</t>
  </si>
  <si>
    <t>S006-E18</t>
  </si>
  <si>
    <t>opens /settings/clients/{code} in the same 8-step wizard, header 'EDIT CLIENT'; all saved values are shown; Cancel with unsaved edits asks 'Leave client editor?' - Stay keeps the edits, Leave discards them; R5: row menu &gt; Edit opens /settings/clients/QA-1013-R5-CL01 with tab title 'QA-1013-R5-CL01 - Client - Settings' and all saved values; Cancel with unsaved edits asks 'Leave client editor?' (in-app dialog) - Stay keeps, Leave discards</t>
  </si>
  <si>
    <t>S006-E19</t>
  </si>
  <si>
    <t>refused for a client with orders before any dialog: 'MKL246 has 404 pending order(s). Complete or void them before deleting.'; for a client with no orders: dialog names the client, lists the cascade and says 'This cannot be undone. Use Deactivate instead if you want to keep the record.'; Cancel keeps the client; Delete permanently removes it and the list falls back to 2 of 2; R5: Delete on my own QA-1013-R5-CL02: dialog 'PERMANENTLY delete QA-1013-R5-CL02? This will also delete: 1 carrier account(s), 0 client-owned warehouse(s), 1 warehouse attachment(s). This cannot be undone. Use Deactivate instead...'; Delete permanently removes it (list 3 of 3, GET /clients/QA-1013-R5-CL02 -&gt; 404); after Delete permanently on QA-1013-R5-CL01 (its carrier account had been deleted first) nothing named QA-1013-R5 is left in clients, warehouses or carrier accounts (list 2 of 2) and its code-map endpoints answer 404; its revoked LAN scanner is not in the confirmation and stays behind (BUG-140); retest of fix</t>
  </si>
  <si>
    <t>see BUG-140 | BUG-140 verified fixed in R7</t>
  </si>
  <si>
    <t>BUG-037, BUG-140</t>
  </si>
  <si>
    <t>S006-E20</t>
  </si>
  <si>
    <t>layout</t>
  </si>
  <si>
    <t>at 1446 px the ⋮ column is past the right edge (BUG-025); retest of fix; R5: at 1442 px both row-action buttons are sticky at x 1347 and clickable without scrolling (BUG-025 fixed); Status needs sideways scroll; Reset layout unpins them until reload (BUG-074, recorded on E05)</t>
  </si>
  <si>
    <t>BUG-025 verified fixed in R5</t>
  </si>
  <si>
    <t>S040-E01</t>
  </si>
  <si>
    <t>Wizard header, step chips and 'Step n of 8' indicator</t>
  </si>
  <si>
    <t>navigation</t>
  </si>
  <si>
    <t>8 chips: Identity, Ship From, Return, Carriers, Mapping, Markup, Importer, Summary; 'Step n of 8 - &lt;name&gt;' under the footer matches the chip; chips show a green tick when complete, '!' when a required step is unfinished, amber when optional-and-empty (Markup, Importer); chips are clickable in edit mode; in the new-client wizard later steps stay locked until the earlier ones are valid; R5: 8 chips Identity ... Summary, 'Step n of 8' matches, chips tick green when complete, '!' on an unfinished required step (Mapping), amber warning on Markup until a markup exists, chips clickable in edit mode</t>
  </si>
  <si>
    <t>S040-E02</t>
  </si>
  <si>
    <t>Client code (required; letters, digits, - and _; uppercase-normalised; unique; immutable after create)</t>
  </si>
  <si>
    <t>Identity</t>
  </si>
  <si>
    <t>required: Next stays disabled while empty; lowercase normalised to uppercase as typed (qa-1012-cl01 -&gt; QA-1012-CL01); spaces and punctuation refused: 'Only letters, digits, '-' and '_' are allowed (no spaces).'; accented and non-Latin letters refused the same way; capped at 50 characters; duplicate refused: 'Client code MKL246 is already registered.' (checked case-insensitively, mkl246 typed); read-only on an existing client, with the note 'Immutable after create.'; R5: maxlength 50; lower case upper-cased as typed (qa-1013-r5-cl01 -&gt; QA-1013-R5-CL01); a space is stripped as typed ('qa 1013' -&gt; QA1013); accented letter (QÉ-1013) refused on blur: 'Only letters, digits, '-' and '_' are allowed (no spaces).' with Next disabled; 'Immutable after create.' in edit mode</t>
  </si>
  <si>
    <t>S040-E03</t>
  </si>
  <si>
    <t>Client name (required)</t>
  </si>
  <si>
    <t>required: 'Name is required.'; capped at 255 characters; angle brackets refused: 'Name cannot contain the characters &lt; or &gt;.'; other punctuation accepted and stored and displayed as typed: QA-1012 O'Brien &amp; Sons "quoted" 100% #1 / \ ; --; no HTML or script is rendered anywhere the name is shown (list, header, Summary); R5: required ('Name is required.'), maxlength 255; '&lt;b&gt;bold&lt;/b&gt;' refused (aria-invalid); quotes, &amp;, %, #, accented and Chinese characters and a leading '=' accepted and shown as text everywhere (list, header, Summary)</t>
  </si>
  <si>
    <t>A leading '=' is accepted and is exported unescaped - see BUG-076.</t>
  </si>
  <si>
    <t>S040-E04</t>
  </si>
  <si>
    <t>Email</t>
  </si>
  <si>
    <t>optional; 'abc' refused: 'Enter a valid email address (name@domain).'; 'a@b' refused as well; qa1012@example.com accepted and saved; capped at 255 characters; R5: 'a@b' refused 'Enter a valid email address...', qa1013r5@example.com accepted, maxlength 255</t>
  </si>
  <si>
    <t>S040-E05</t>
  </si>
  <si>
    <t>optional; 'abc!' refused: 'Enter a valid phone (digits, spaces, +, -, (), . only).'; '()' refused: 'Phone needs at least 7 digits.'; +1 (616) 555-0100 accepted; capped at 50 characters; R5: 'abc!' refused 'Enter a valid phone...', '()' refused 'Phone needs at least 7 digits', +1 (616) 555-0100 accepted, maxlength 50</t>
  </si>
  <si>
    <t>S040-E06</t>
  </si>
  <si>
    <t>Defaults &gt; Currency</t>
  </si>
  <si>
    <t>'- none -' plus USD, EUR, GBP, CAD, AUD, INR, JPY, CNY, MXN, AED; CAD selected and saved, shown again on reopen; R5: none + USD, EUR, GBP, CAD, AUD, INR, JPY, CNY, MXN, AED; CAD saved and shown on reopen</t>
  </si>
  <si>
    <t>Ten currencies here, a different ten on the order form, 178 on Settings &gt; Currencies - see the currency-list query.</t>
  </si>
  <si>
    <t>S040-E07</t>
  </si>
  <si>
    <t>Defaults &gt; Weight unit</t>
  </si>
  <si>
    <t>'- none -' plus LB, KG, OZ, G; KG selected and saved; R5: none + LB, KG, OZ, G; KG saved</t>
  </si>
  <si>
    <t>S040-E08</t>
  </si>
  <si>
    <t>Defaults &gt; Dimension unit</t>
  </si>
  <si>
    <t>'- none -' plus IN, CM, MM; CM selected and saved; R5: none + IN, CM, MM; CM saved</t>
  </si>
  <si>
    <t>S040-E09</t>
  </si>
  <si>
    <t>'- none -' plus 12 countries (US, CA, MX, GB, DE, FR, IN, CN, AU, JP, AE, SG); CA selected and saved; R5: now the shared searchable country list (50 countries, 'Canada' found, CA saved)</t>
  </si>
  <si>
    <t>'Iceland' gives 'No match' - the shared list has 50 countries; see BUG-046.</t>
  </si>
  <si>
    <t>S040-E10</t>
  </si>
  <si>
    <t>free-text search over IANA names with a suggestion list; 'toronto' (lowercase) matches America/Toronto, picking it fills the field; no match shows 'No timezone matches "Kolk".'; the locate button fills the browser's own zone; a typed value that matches nothing is dropped on blur and the previous value is kept, rather than being saved as rubbish; only legacy names are offered: Kolkata and Kyiv find nothing (BUG-027); retest of fix; R5: 'Kolkata' -&gt; Asia/Calcutta + Asia/Kolkata, 'Kyiv' -&gt; Europe/Kiev + Europe/Kyiv, 'toronto' -&gt; America/Toronto; saved</t>
  </si>
  <si>
    <t>BUG-027 verified fixed in R4</t>
  </si>
  <si>
    <t>S040-E11</t>
  </si>
  <si>
    <t>Next disabled until the step's required fields are valid, with a tooltip listing what is missing; Back returns to the previous step keeping the entries; Back is disabled on step 1; R5: Next disabled until valid, title lists what is missing ('Complete this step to continue: Fix Identity fields...', 'Pick a Ship From warehouse.', 'Add at least one shipping-service mapping.'); Back keeps entries</t>
  </si>
  <si>
    <t>The reason Next is disabled is only in the hover tooltip, so it is not visible to a keyboard or touch user.</t>
  </si>
  <si>
    <t>S040-E12</t>
  </si>
  <si>
    <t>Ship From warehouse picker and address card</t>
  </si>
  <si>
    <t>Ship From</t>
  </si>
  <si>
    <t>required on a new client: 'Add at least one carrier account' style gate on Next; the picker lists platform warehouses; 3PL-EAST selected; the address card fills in from the warehouse (name, street, city, state, zip, country, phone); saved and attached: POST /api/v1/clients/QA-1012-CL01/warehouses; R5: picker lists 3PL-EAST - Central Warehouse - US; address card fills (8191 Logistics Dr, no trailing comma); POST /clients/QA-1013-R5-CL01/warehouses -&gt; 200 on submit</t>
  </si>
  <si>
    <t>S040-E13</t>
  </si>
  <si>
    <t>+ Add warehouse (from the wizard)</t>
  </si>
  <si>
    <t>opens the same 'Add warehouse' side panel as Settings &gt; Warehouses; fields: Code (uppercase, immutable after create), Name, Owner (Platform / Client), Address with a carrier picker and a Verify button, City, State/Region, Postal code, Country (ISO-2), Phone, Active; Cancel closes it and leaves the picker untouched; R5: + Add warehouse opens the Add warehouse panel; Country is now the shared country search (BUG-046 warehouse part); Cancel closes it with the picker untouched</t>
  </si>
  <si>
    <t>The panel's own fields and the carrier address Verify button are tested on S007 Warehouses; Verify calls a carrier, so it is held for the user's go-ahead.</t>
  </si>
  <si>
    <t>S040-E14</t>
  </si>
  <si>
    <t>checkbox</t>
  </si>
  <si>
    <t>Return</t>
  </si>
  <si>
    <t>'Same as Ship From' ticked by default, showing 'Returns use the Ship From address.'; unticking reveals the full address form with per-carrier length hints; toggling back and forth keeps what was typed; required fields marked: Attention/Company, Street address, City, State, Zip, Country; fields truncate at their stated maximum as typed; ZIP format checked: 'Postal code doesn't match the US format.'; a ZIP+4 cannot be typed at all (BUG-028); the State hint names USPS with two different limits (BUG-033); saved correctly and shown again on reopen; retest of fix; R5: 'Same as Ship From' ticked by default; unticking shows the form; &lt; and &gt; refused: 'Contact / company cannot contain the characters &lt; or &gt;.'; fields cut at their maxlength (Attention 35); ZIP+4 60601-1234 kept (BUG-028); hints name UPS only on a UPS-only saved client (BUG-033)</t>
  </si>
  <si>
    <t>State is saved as typed, lower case included - BUG-079.</t>
  </si>
  <si>
    <t>BUG-028, BUG-033</t>
  </si>
  <si>
    <t>S040-E15</t>
  </si>
  <si>
    <t>Carriers</t>
  </si>
  <si>
    <t>staged accounts are listed as 'UPS - QA1012 DEFAULT, SANDBOX - client ID qa-1012-te... - secret hidden' with an x to remove; carrier list: UPS, FedEx, USPS, DHL Express; environment SANDBOX / PRODUCTION; per-carrier account number rules enforced as typed (UPS 6 alphanumerics, FedEx 9 digits, DHL up to 9, USPS a Stamps.com username); punctuation stripped from the account number as typed; Client ID and Client secret required; the secret is masked and never shown again; International defaults: Shipping purpose and Customs clearance, both optional; the staged account is created with the client (1 carrier account saved); on a saved client the step shows the client's real carrier accounts grid instead; hint and error texts disagree (BUG-029); Cancel keeps the draft (BUG-030); Add to list greys out with nothing marked (BUG-031); R5: Add to list on an empty form marks the three required fields (BUG-031 holds); Cancel discards the draft (BUG-030 holds); UPS and DHL rules consistent; FedEx placeholder 'Up to 12 digits', error 'exactly 9 digits', field takes 12 alphanumerics (BUG-029); client secret is a password input (autocomplete new-password), staged as 'secret hidden', never returned by GET /clients/{code} or /carrier-accounts; edit mode shows the account in the Carrier Accounts grid component; R5 (14 Oct): + Add carrier account opens empty for UPS, USPS, FedEx and DHL Express - Client ID autocomplete off, Client Secret autocomplete new-password, nothing browser-filled (BUG-086 does not reach the wizard); a staged account survives a page reload without its client ID and secret, and the row still says 'secret hidden' (BUG-138)</t>
  </si>
  <si>
    <t>see BUG-029, BUG-138</t>
  </si>
  <si>
    <t>BUG-029, BUG-030, BUG-031, BUG-138</t>
  </si>
  <si>
    <t>S040-E16</t>
  </si>
  <si>
    <t>Mapping &gt; Shipvia alias (ERP code -&gt; platform service, Add alias, destination scope)</t>
  </si>
  <si>
    <t>form</t>
  </si>
  <si>
    <t>Mapping</t>
  </si>
  <si>
    <t>ERP ship-via code uppercased as typed (qa80 -&gt; QA80); the carrier service list is scoped to the client's own carriers (only UPS services offered); '+ platform account (optional)' lists platform accounts; Add to list stages the rule; it is POSTed on Submit (POST /clients/QA-1012-CL01/code-maps/shipvia); the staged row shows the code and the service; R5: Order ship via upper-cased on the create form (qa80 -&gt; QA80), 'qa80 &lt;x&gt;' refused with the allowed-characters message; carrier services scoped to the client's carrier (UPS only); staged rule POSTed on submit (/code-maps/shipvia -&gt; 200); edit mode shows the Code Maps component: 'Add alias' title explains what is missing and updates once a code is typed (BUG-056 fix)</t>
  </si>
  <si>
    <t>In edit mode the ERP code is not upper-cased as typed (qa13 stays lower case), unlike the create form.</t>
  </si>
  <si>
    <t>S040-E17</t>
  </si>
  <si>
    <t>Mapping &gt; Service code, Destination country and Package tabs</t>
  </si>
  <si>
    <t>four tabs: Shipvia, Service code, Destination country, Package; each has its own add form with the right fields and its own explanation line; Service code: ERP service-level code -&gt; carrier service; Destination country: ERP country string -&gt; ISO-2; Package: ERP package SKU -&gt; PackagePreset; '+ Add destination scope (advanced)' on Shipvia, Service code and Package; each tab shows its own empty state; R5: edit mode shows the four tabs Shipvia, Service code, Destination country, Package with their own explanation line</t>
  </si>
  <si>
    <t>S040-E18</t>
  </si>
  <si>
    <t>Markup</t>
  </si>
  <si>
    <t>Percent of rate / Flat per shipment choice; live preview on a $25.00 base rate; 12.5% gives $28.13 (correctly rounded); Save markup saves and reports 'Markup saved for QA-1012-CL01.'; negative and non-numeric values are not caught in the form (BUG-034); large values are formatted with Indian digit grouping (BUG-035); the step is not offered at all while creating a client - 'Save this client first'; retest of fix; R5: markup only on a saved client ('Save this client first...'); -5 and abc marked at once 'Value must be a non-negative number.' (BUG-034 holds); preview grouping $250,000,000,024.75 (BUG-035 holds); 10 % saves 'Markup saved for QA-1013-R5-CL01.'; 999999999999 % -&gt; PUT /markup 500 (BUG-077); Save with -5 toasts 'Something went wrong' (BUG-036); chip warning stale after save (BUG-078)</t>
  </si>
  <si>
    <t>see BUG-077, BUG-078, BUG-036</t>
  </si>
  <si>
    <t>BUG-032, BUG-034, BUG-035</t>
  </si>
  <si>
    <t>S040-E19</t>
  </si>
  <si>
    <t>Importer / Broker profiles (Add profile)</t>
  </si>
  <si>
    <t>'Add profile' and 'Add first profile' both open the Importer / Broker profile dialog; the client is pre-selected and locked ('Pre-selected from the client.'); sections: Client &amp; destinations (region then country), Importer of record, Tax identity; Cancel closes it with nothing saved; R5: Importer step offers 'Fill Importer / Broker now' (optional); skipping marks it SKIPPED on the Summary</t>
  </si>
  <si>
    <t>The dialog's own fields belong to S019 Settings &gt; Importer / Broker; the close behaviour is BUG-024.</t>
  </si>
  <si>
    <t>S040-E20</t>
  </si>
  <si>
    <t>Summary (Review &amp; submit) and Finish</t>
  </si>
  <si>
    <t>Summary</t>
  </si>
  <si>
    <t>every section listed with READY / SKIPPED badges and an Edit link; the values shown match what was entered on each step; Submit creates the client, the carrier account and the mapping in one go; a double-click on Submit sends only one POST /api/v1/clients; after Submit the page becomes Edit client for the new code; R5: Summary lists every section READY/SKIPPED with Edit links and the entered values; a double-click on Submit sends one POST /api/v1/clients (plus carrier account, mapping and warehouse posts); page becomes Edit client for the new code; Heads up message in words (BUG-032 holds); Summary lists each section with READY / SKIPPED chips and Edit links; Submit stays disabled with the tooltip 'Cannot submit yet: Visit: Return' until every required step has been opened; with every write blocked in the page, Submit sends POST /api/v1/clients with the client fields only; staged accounts and mappings follow once the client exists</t>
  </si>
  <si>
    <t>After a reload Summary marks a staged account with no credentials READY (BUG-138).</t>
  </si>
  <si>
    <t>S040-E21</t>
  </si>
  <si>
    <t>the label 'Identity + addresses only' explains what Save changes covers; Save changes with an empty required field is refused and the field is marked; Cancel with unsaved edits asks 'Leave client editor?'; Stay keeps them, Leave discards them; Cancel with no edits returns to the list straight away; retest of fix; R5: Save changes with an empty name -&gt; 'Check the form for errors - Fix the highlighted fields to save.' and the field marked, no request; Cancel with edits asks 'Leave client editor?' - Stay / Leave</t>
  </si>
  <si>
    <t>BUG-036 verified fixed in R4</t>
  </si>
  <si>
    <t>S040-E22</t>
  </si>
  <si>
    <t>Whole wizard</t>
  </si>
  <si>
    <t>the back arrow and Cancel both raise 'Leave client editor? This client has unsaved changes. Leave and lose what you've edited?'; Stay keeps the edits; Leave returns to the list and discards them; leaving with nothing edited does not prompt; R5: Cancel with unsaved edits raises the in-app 'Leave client editor? This client has unsaved changes...' dialog; Leave discards (name unchanged on reopen); the new-client wizard keeps its draft in the browser (localStorage clientEditorDraft:admin), so the back arrow leaves without asking; + Add Client reopens the old draft at its last step with no Discard / Start over (BUG-139); retest of fix</t>
  </si>
  <si>
    <t>see BUG-139 | BUG-139 verified fixed in R7</t>
  </si>
  <si>
    <t>S040-E23</t>
  </si>
  <si>
    <t>Keyboard: initial focus, Tab order, Enter</t>
  </si>
  <si>
    <t>other</t>
  </si>
  <si>
    <t>Tab order on Identity follows the visual order: code, name, email, phone, currency, weight, dimension, origin, timezone, locate, Next; Enter in a text field does not submit the step; R5: Enter in a text field does not submit; focus still starts on BODY when the wizard opens</t>
  </si>
  <si>
    <t>Opening the wizard leaves focus on BODY rather than the first field, so a keyboard user has to tab in.</t>
  </si>
  <si>
    <t>S040-E24</t>
  </si>
  <si>
    <t>the breadcrumb at the top of the window still reads 'Settings' on /settings/clients/new and /settings/clients/{code} instead of naming the client or the step; the browser tab title is 'multiship-react' on every page; retest of fix; R5: tab title 'New client - Settings' / 'QA-1013-R5-CL01 - Client - Settings', breadcrumb SETTINGS &gt; Clients (BUG-039 holds)</t>
  </si>
  <si>
    <t>BUG-039 verified fixed in R4</t>
  </si>
  <si>
    <t>S006-E21</t>
  </si>
  <si>
    <t>Page</t>
  </si>
  <si>
    <t>green 'Done' toasts appear for save, activate and delete and clear by themselves; red error toasts never time out (BUG-037) and stack; validation failures are headed 'Something went wrong' (BUG-036); no raw stack traces or HTTP codes seen on this screen; retest of fix; R5: green Done toasts for create, activate, deactivate, markup; red toasts dismiss themselves within about 20 s (BUG-037 holds); validation on Identity uses 'Check the form for errors'; the Markup save still uses 'Something went wrong' (BUG-036)</t>
  </si>
  <si>
    <t>BUG-037 verified fixed in R3</t>
  </si>
  <si>
    <t>S007-E01</t>
  </si>
  <si>
    <t>title 'Warehouses' and the description 'Ship-from locations - first-class in a 3PL setup...'; breadcrumb 'Settings &gt; Warehouses'; Warehouses highlighted in the Settings menu; R5: title 'Warehouses', description 'Ship-from locations - first-class in a 3PL setup...', breadcrumb SETTINGS &gt; Warehouses, menu item highlighted</t>
  </si>
  <si>
    <t>Browser tab still reads 'multiship-react' on this screen.</t>
  </si>
  <si>
    <t>S007-E02</t>
  </si>
  <si>
    <t>one GET /api/v1/warehouses (200) per click; the grid is redrawn with the same rows; R5: grid reloads with the same rows (Refresh not re-measured separately)</t>
  </si>
  <si>
    <t>S007-E03</t>
  </si>
  <si>
    <t>Toolbar</t>
  </si>
  <si>
    <t>code '3pl' (lowercase) matches 3PL-EAST; name 'central' matches; city 'zeeland' matches; no match 'zzz' shows 'No warehouses match the current filters.'; clearing restores the list; '_' is treated as a wildcard here too (BUG-022); R5: 'SPRINGFIELD' (upper case) and '"quoted"' find QA-1013-R5-WH01; '_' and '%' still list both warehouses - wildcards passed through (BUG-022 still failing here)</t>
  </si>
  <si>
    <t>see BUG-022</t>
  </si>
  <si>
    <t>S007-E04</t>
  </si>
  <si>
    <t>Filters (Owner, Status)</t>
  </si>
  <si>
    <t>filter</t>
  </si>
  <si>
    <t>Owner: Any owner / Platform-owned / Client-owned; Status: All statuses / Active / Inactive; Platform-owned keeps the one platform warehouse, Client-owned shows none; Inactive combined with Platform-owned shows none and the badge counts 2 filters; Clear resets both; Esc closes the panel; R5: Owner Any / Platform-owned / Client-owned, Status All / Active / Inactive; Client-owned -&gt; 0 rows, Platform + Inactive -&gt; 'No warehouses match the current filters.' with badge 2; Clear resets both and hides the badge</t>
  </si>
  <si>
    <t>S007-E05</t>
  </si>
  <si>
    <t>Columns (show/hide, reorder, pin, Reset layout)</t>
  </si>
  <si>
    <t>menu</t>
  </si>
  <si>
    <t>columns Code, Name, Country, Owner, Attached, Status can be hidden, reordered and pinned; Reset layout restores the defaults; R5: the last visible column (Code) is disabled with 'At least one column must stay visible' (BUG-023 fix reaches this grid); Reset layout restores the six columns</t>
  </si>
  <si>
    <t>The same component as the Clients grid; all columns can be hidden here too (BUG-023).</t>
  </si>
  <si>
    <t>S007-E06</t>
  </si>
  <si>
    <t>Density (Compact / Comfortable)</t>
  </si>
  <si>
    <t>Comfortable makes the rows taller, Compact restores them; the choice persists until Reset layout; R5: same Density control as Clients (Comfortable 12 px / Compact 6 px checked there); kept by Reset layout test</t>
  </si>
  <si>
    <t>S007-E07</t>
  </si>
  <si>
    <t>a file is produced; no server call at all: the CSV is built in the page and fetched from a data: URL, unlike the Clients export which calls /api/v1/clients/export.csv; file content not opened from this session; R5: Export builds the CSV in the page (src/utils/csv.ts) - with only Code visible the file holds just 'Code' + 2 rows, so visible columns are honoured; download blocked in the page during the test, nothing saved; no escaping of a leading = + - @ in csvCell() (BUG-076)</t>
  </si>
  <si>
    <t>see BUG-076</t>
  </si>
  <si>
    <t>S007-E08</t>
  </si>
  <si>
    <t>Add Warehouse</t>
  </si>
  <si>
    <t>opens the 'Add warehouse' side panel; creates the warehouse and then offers 'Attach QA-1012-WH01 to clients' with a Skip; the new warehouse appears in the list with Attached 0; R5: + Add Warehouse opens the side panel; QA-1013-R5-WH01 created ('Warehouse QA-1013-R5-WH01 created.') and then offered 'Attach ... to clients' with Skip / Attach &amp; finish; attached to QA-1013-R5-CL01 ('Attached QA-1013-R5-WH01 to 1 client.')</t>
  </si>
  <si>
    <t>S007-E09</t>
  </si>
  <si>
    <t>10, 25, 50, 100 each re-request with the new size; the count line is unchanged with one row; R5: requests carry size=25 (25 / page selected); options 10 / 25 / 50 / 100 present</t>
  </si>
  <si>
    <t>S007-E10</t>
  </si>
  <si>
    <t>Previous and Next disabled on a single page; indicator '1 of 1'; R5: Previous / Next disabled on a single page, '1 of 1'</t>
  </si>
  <si>
    <t>Paging between pages was not exercised: only 1-2 warehouses exist and the smallest page size is 10.</t>
  </si>
  <si>
    <t>S007-E11</t>
  </si>
  <si>
    <t>'Showing X of Y warehouses' count</t>
  </si>
  <si>
    <t>'Showing 1 of 1 warehouse' (singular); 'Showing 2 of 2 warehouses' (plural); 'Showing 0 of 0 warehouses' with no match; R5: 'Showing 2 of 2 warehouses', 'Showing 1 of 1 warehouse', 'Showing 0 of 0 warehouses'</t>
  </si>
  <si>
    <t>S007-E12</t>
  </si>
  <si>
    <t>Sort by Code / Name / Owner</t>
  </si>
  <si>
    <t>Code ascending and descending (sortBy=code); Name both ways (sortBy=name); Owner (sortBy=owner); Country, Attached and Status are not sortable and send no request; R5: Code header -&gt; sortBy=code&amp;sortDirection=DESC, Name -&gt; sortBy=name&amp;sortDirection=ASC, aria-sort follows; row order not observable with a single warehouse</t>
  </si>
  <si>
    <t>Same third-click-clears-the-arrow behaviour as the Clients grid (BUG-026).</t>
  </si>
  <si>
    <t>S007-E13</t>
  </si>
  <si>
    <t>Code, Name with the city and state beneath, Country badge, Owner badge (Platform), Attached count, Status toggle and badge; the Attached count went 0 -&gt; 1 after attaching a client and the row showed the edited name straight away; accented and Odia characters in the name are stored and displayed correctly; R5: Code, Name with city/state beneath, Country, Owner badge, Attached, Status; name with accented letter, ampersand and quotes rendered as text; Attached 7 for 3PL-EAST counts four deleted clients (BUG-080); retest of fix</t>
  </si>
  <si>
    <t>see BUG-080 | BUG-080 verified fixed in R7</t>
  </si>
  <si>
    <t>S007-E14</t>
  </si>
  <si>
    <t>one click deactivates with no confirmation even with clients attached (BUG-043); the row turns Inactive and the Status filter then finds it; re-activating is immediate; toast 'QA-1012-WH01 is now inactive.'; retest of fix; R5: Deactivate asks with the attached-client count (BUG-043 fix), Cancel keeps Active, re-activate immediate</t>
  </si>
  <si>
    <t>BUG-043 verified fixed in R3</t>
  </si>
  <si>
    <t>S007-E15</t>
  </si>
  <si>
    <t>the dialog lists all clients with a search box that filters them; ticking one reveals 'Set as this client's default warehouse'; Attach reports 'Attached QA-1012-WH01 to 1 client.' and the Attached count goes up; Cancel and X close it with nothing attached; already-attached clients are not shown as attached and cannot be detached (BUG-041); retest of fix; R5: Attach clients lists attached clients with ATTACHED badge + Detach (BUG-041 fix); Detach confirms in-app; 'Set as this client's default warehouse' appears when a client is ticked</t>
  </si>
  <si>
    <t>BUG-041 verified fixed in R3</t>
  </si>
  <si>
    <t>S007-E16</t>
  </si>
  <si>
    <t>opens the same side panel headed 'Edit warehouse QA-1012-WH01'; Code is read-only with 'Immutable after create.'; all saved values are shown; a changed name saves and reports 'Warehouse QA-1012-WH01 updated.'; R5: Edit warehouse QA-1013-R5-WH01 - Code read-only, all values shown; name and state changed and saved ('Warehouse QA-1013-R5-WH01 updated.'), grid shows 'Springfield, IL'</t>
  </si>
  <si>
    <t>S007-E17</t>
  </si>
  <si>
    <t>the dialog names the warehouse and says 'It is currently attached to 1 client - they will be unlinked.'; Cancel keeps the warehouse; Delete removes it and the client is unlinked (the list falls back to 1 of 1); R5: Delete on my own QA-1013-R5-WH01 names it and says 'It is currently attached to 1 client - they will be unlinked.'; Cancel keeps it, Delete removes it (list back to 3PL-EAST only)</t>
  </si>
  <si>
    <t>As in R2 the dialog does not say the delete cannot be undone, unlike the client delete dialog.</t>
  </si>
  <si>
    <t>S007-E18</t>
  </si>
  <si>
    <t>Add / Edit warehouse panel: Code, Name, Owner (Platform / Client)</t>
  </si>
  <si>
    <t>Panel</t>
  </si>
  <si>
    <t>Code required, uppercased as typed, 'Only letters, digits, '-' and '_' are allowed (no spaces).', max 50, read-only after create; Name required, max 255, accepts accented and Odia text; Owner: Platform (attachable to any client) / Client (private to one client), Platform selected by default; R5: Code upper-cased as typed (qa-1013-r5-wh01 -&gt; QA-1013-R5-WH01), maxlength 50, read-only after create; Name required, maxlength 255, '&lt;b&gt;x&lt;/b&gt;' refused 'Name cannot contain the characters &lt; or &gt;.', accented text and quotes accepted</t>
  </si>
  <si>
    <t>S007-E19</t>
  </si>
  <si>
    <t>Line 1, City, State / region, Postal code, Country and Phone are all required and are checked for emptiness; Line 2 optional; Country defaults to US and is capped at 2 characters; no format or length rules on State / region or Postal code, so carrier-invalid values save (BUG-040); retest of fix; R5: Line 1, City, State / region, Postal code, Phone required with their own messages; ILLINOIS refused (BUG-040 fix), ZIP+4 accepted; Country is now the shared country search (BUG-046 warehouse part); lower-case 'il' accepted and stored as typed (BUG-079)</t>
  </si>
  <si>
    <t>see BUG-079</t>
  </si>
  <si>
    <t>S007-E20</t>
  </si>
  <si>
    <t>carrier picker offers FEDEX, UPS and USPS; each click sends POST /api/v1/addresses/validate/carrier (200); no carrier is actually called - all three sandbox accounts lack live address-validation credentials; each result can be dismissed on its own; the result shows the raw status NOT_SUPPORTED behind a green tick (BUG-042); retest of fix; R5: Verify sends POST /api/v1/addresses/validate/carrier -&gt; 200; result behind an info icon with Dismiss (BUG-042 fix); headline 'VERIFICATION NOT SUPPORTED FOR THIS COUNTRY' wrong for a US address with missing credentials (BUG-081)</t>
  </si>
  <si>
    <t>see BUG-081 | BUG-081 verified fixed in R7</t>
  </si>
  <si>
    <t>BUG-042, BUG-081</t>
  </si>
  <si>
    <t>S007-E21</t>
  </si>
  <si>
    <t>Add / Edit warehouse panel: Active checkbox, Cancel, Create / Save</t>
  </si>
  <si>
    <t>Active ticked by default, with the explanation 'inactive warehouses are hidden from shipment resolution'; Create warehouse on an empty form is refused with a message on every required field and the toast 'Missing details - Fix the highlighted fields before saving.'; Cancel closes the panel with nothing saved; Save changes saves and closes; R5: Active ticked by default with the explanation; Create on an empty form refused with every required field marked and 'Missing details - Fix the highlighted fields before saving.'</t>
  </si>
  <si>
    <t>S007-E22</t>
  </si>
  <si>
    <t>Toasts and messages</t>
  </si>
  <si>
    <t>'Missing details' heading for validation here, rather than the 'Something went wrong' used on the client editor (BUG-036); green Done toasts for create, update, attach, toggle and delete, each naming the warehouse; no raw stack traces or HTTP codes on this screen; R5: 'Missing details' for validation, green Done toasts naming the warehouse for create, attach, update</t>
  </si>
  <si>
    <t>S008-E01</t>
  </si>
  <si>
    <t>title, description and breadcrumb are right and Address book is highlighted in the menu; the list never loads: GET /api/v1/recipients returns 500 (BUG-044); retest of fix; the list loads and shows the saved addresses with a count line; R5: title 'Address book', description 'The saved addresses offered in Ship to on a new shipment - add, correct or remove them, per client or shared.', list loads (GET /recipients -&gt; 200, BUG-044 fixed)</t>
  </si>
  <si>
    <t>BUG-044 verified fixed in R3</t>
  </si>
  <si>
    <t>S008-E02</t>
  </si>
  <si>
    <t>the button re-requests the list; the request fails again with 500 and this time no message at all is shown; re-requests the list and redraws it; retest of fix; R5: list re-requested on load (GET /recipients 200 x2 - StrictMode)</t>
  </si>
  <si>
    <t>S008-E03</t>
  </si>
  <si>
    <t>Search any part of the address (name, street, city, ZIP, phone, email, tag)</t>
  </si>
  <si>
    <t>the typed term reaches the server, URL-encoded; a failed search is drawn as a no-match empty state; matches on street ('Bremner'), on postal code ('60601') and is case-insensitive; no match shows 'No saved addresses match "zzz".'; clearing restores the list; the term reaches the server as ?q=, URL-encoded; R5: 'RETEST way' (street, mixed case) matches; '&lt;script&gt;' matches the literal text, nothing runs; '%' gives 'No saved addresses match "%".' (no wildcard)</t>
  </si>
  <si>
    <t>The search sends GET /api/v1/recipients?q=... which returns 502, and the grid shows 'No saved addresses match "QA-1012".' Whether the search itself works cannot be judged until BUG-044 is fixed.</t>
  </si>
  <si>
    <t>S008-E04</t>
  </si>
  <si>
    <t>Client filter (Every client / a client)</t>
  </si>
  <si>
    <t>the list offers 'Every client', MKL246 and THB000; the chosen client reaches the server as customerNo; offers Every client, MKL246 and THB000; picking a client keeps the shared addresses, which is right - a shared address belongs to every client; clearing restores the list; R5: Every client, MKL246, QA-1013-R5-CL01, THB000; picking MKL246 keeps the shared address</t>
  </si>
  <si>
    <t>The filter sends GET /api/v1/recipients?customerNo=MKL246 which returns 502. Same reason as the search.</t>
  </si>
  <si>
    <t>S008-E05</t>
  </si>
  <si>
    <t>Add address</t>
  </si>
  <si>
    <t>opens the 'Add address' dialog; R5: + Add address opens the 'Add address' dialog</t>
  </si>
  <si>
    <t>S008-E06</t>
  </si>
  <si>
    <t>Grid columns (Name, Address, Contact, Belongs to, Tag, Actions)</t>
  </si>
  <si>
    <t>the header row shows Name, Address, Contact, Belongs to, Tag, Actions; Name, Address (street with city, state, postal code and country beneath), Contact, Belongs to (Shared badge), Tag, Actions; em dashes for the empty optional columns; the count line below reads '1 saved address' / '2 saved addresses'; R5: Name (with company beneath), Address (street, then city, state, postal code, country), Contact, Belongs to (Shared badge), Tag, Actions; sanitation: name 'QA-1013-R5 &lt;script&gt;...&lt;/script&gt; "&gt;&lt;img src=x onerror=...&gt;' and company '=HYPERLINK(...)' render as text in the grid, the edit heading and the remove dialog - no img or script element created, nothing executed</t>
  </si>
  <si>
    <t>No row has ever been displayed, because the list call fails (BUG-044).</t>
  </si>
  <si>
    <t>S008-E07</t>
  </si>
  <si>
    <t>Row actions (edit / delete)</t>
  </si>
  <si>
    <t>edit opens the dialog headed 'Edit QA-1012 Retest Recipient' with every saved value filled in; Cancel closes it with nothing changed; remove asks 'Remove QA-1012 Retest Recipient (1 Retest Way, Chicago) from the address book? Shipments already made are not affected.'; Keep leaves the row alone; Remove deletes it and reports 'Removed QA-1012 Retest Recipient.'; R5: Edit opens 'Edit &lt;name&gt;' with every saved value; saving reports 'Updated QA-1013-R5 Retest Recipient.'; Remove asks 'Remove QA-1013-R5 Retest Recipient (1 Retest Way, Chicago) from the address book? Shipments already made are not affected.' with Keep / Remove; Keep keeps it, Remove deletes it (DELETE /recipients/4 -&gt; 200)</t>
  </si>
  <si>
    <t>No row has ever been displayed, so the row actions could not be reached (BUG-044).</t>
  </si>
  <si>
    <t>S008-E08</t>
  </si>
  <si>
    <t>Belongs to: 'Shared - every client can use it', MKL246, THB000; required fields marked and checked: Name, Street address, City, Postal code, Country ('Enter a name.', 'Enter the street address.' and so on); State / province is not required, and no format or length rule is applied to it or to the postal code; Country list holds 250 countries, far more than the 12 on the client wizard (BUG-046); Tag free text and a Residential address tick box; Cancel closes with nothing saved; a valid address is created (POST 200) but reported as a server failure (BUG-045); retest of fix; required fields marked and checked: Name, Street address, City, Postal code, Country; State / province is not required and has no format or length rule; a valid address is created and listed straight away; R5: required Name, Street, City, Postal code, Country; Country is a native select of 250 countries (not the shared 50-country list - BUG-046); no format check on phone, email, state or postal code (BUG-082); no length limit; a 299-character name -&gt; PUT 500 (BUG-083)</t>
  </si>
  <si>
    <t>see BUG-082, BUG-083, BUG-046 | BUG-082 verified fixed in R7</t>
  </si>
  <si>
    <t>BUG-045, BUG-082, BUG-083</t>
  </si>
  <si>
    <t>S008-E09</t>
  </si>
  <si>
    <t>Empty state and error state</t>
  </si>
  <si>
    <t>the empty state reads 'No saved addresses yet...' and the no-match state 'No saved addresses match "QA-1012".'; both are shown when the call actually failed, so a broken list is indistinguishable from an empty one (BUG-044); 'No saved addresses yet...' is now shown only when the book really is empty; 'No saved addresses match "zzz".' for a real no-match; retest of fix; R5: empty state 'No saved addresses yet...' only when the list really is empty; no-match state names the term</t>
  </si>
  <si>
    <t>S008-E10</t>
  </si>
  <si>
    <t>the first load shows two red toasts with a support reference; a repeat of the same failure after Refresh shows nothing at all; a successful save is covered by the failure of the reload that follows it (BUG-045); green Done toasts naming the address on remove; no spurious server-error toast on a successful save; retest of fix; R5: no false server-error toast after a successful save (BUG-045 fixed); a real 500 shows the support reference</t>
  </si>
  <si>
    <t>S009-E01</t>
  </si>
  <si>
    <t>title 'Users', breadcrumb and highlighted menu item are right; the descriptions carry internal developer notes (BUG-049); retest of fix; R5: page description 'Assign each user account to a client, deactivate revoked accounts, and audit the changes.' and panel description 'Manage user accounts, assign each USER to a client, and revoke access.' - no developer notes (BUG-049 fix holds)</t>
  </si>
  <si>
    <t>BUG-049 verified fixed in R4</t>
  </si>
  <si>
    <t>S009-E02</t>
  </si>
  <si>
    <t>re-requests GET /api/v1/admin/users and the audit list, both 200; the grid is redrawn; R5: one click re-requests users, the audit list and the pending invites (all 200) and redraws the grid</t>
  </si>
  <si>
    <t>S009-E03</t>
  </si>
  <si>
    <t>matches on username ('manoj') and on email, case-insensitively ('MULTISHIP.LOCAL'); no match shows 'No users.' and 'No rows'; clearing restores both rows; a request per keystroke, each with a second call for the audit list (BUG-047); retest of fix; R5: 'manoj' sends one request after typing settles (BUG-047 fix holds); 'SUYOGINDIA' finds manoj7000 by email, case-insensitively; '%' and '_' each list both users - wildcards passed through (BUG-022, Users added to its affected screens)</t>
  </si>
  <si>
    <t>S009-E04</t>
  </si>
  <si>
    <t>Role filter (All roles / ...)</t>
  </si>
  <si>
    <t>All roles / ADMIN / USER / TENANT; ADMIN shows only the admin row, TENANT shows none; the choice reaches the server as role=ADMIN; R5: TENANT -&gt; role=TENANT, 'No users.' / 'No rows'; ADMIN -&gt; role=ADMIN, only admin, 'Showing 1 row - page 1'; All roles restores both</t>
  </si>
  <si>
    <t>S009-E05</t>
  </si>
  <si>
    <t>Active only tick box</t>
  </si>
  <si>
    <t>ticking sends activeOnly=true; both users are Active, so the list is unchanged; unticking clears the parameter; R5: ticking sends activeOnly=true, both users still listed (both Active); unticking clears it</t>
  </si>
  <si>
    <t>S009-E06</t>
  </si>
  <si>
    <t>Invite user</t>
  </si>
  <si>
    <t>opens the 'Invite user' dialog; R5: opens 'Invite user' as role=dialog with aria-modal=true; X and Cancel close it</t>
  </si>
  <si>
    <t>S009-E07</t>
  </si>
  <si>
    <t>Grid columns and values (Username, Email, Role, Client, Status, Actions)</t>
  </si>
  <si>
    <t>Username (monospaced, with a YOU badge on the signed-in admin), Email, Role badge, Client (or '- unassigned -' in amber), Status with a tick, and the row actions; the row actions differ by role: on the ADMIN row Assign client is disabled with 'ADMIN is always org-wide' and the role control reads 'ADMIN (locked)'; 'Showing 2 rows - page 1'; R5: Username (YOU badge on admin), Email, Role badge, Client ('- unassigned -' on admin), Status 'Active', Actions; admin row: Assign client disabled, 'ADMIN (locked)', Deactivate greyed out</t>
  </si>
  <si>
    <t>S009-E08</t>
  </si>
  <si>
    <t>Row action &gt; History (audit trail)</t>
  </si>
  <si>
    <t>opens 'Audit trail for &lt;username&gt;' for either user; shows 'No admin actions recorded for this user.'; Close and X both shut it; R5: History on manoj7000 shows the four client moves with reasons (BUG-052 fixed); History on admin reads 'No admin actions recorded for this user.'; Close, X and Escape all close it and focus returns to the History button</t>
  </si>
  <si>
    <t>It never has anything to show - see BUG-052.</t>
  </si>
  <si>
    <t>S009-E09</t>
  </si>
  <si>
    <t>Row action &gt; Assign client</t>
  </si>
  <si>
    <t>dialog 'Assign client for manoj7000' with a free-text 'Client code (leave blank to clear)' pre-filled with the current code and an optional Reason; a code that does not exist is refused: 'Client not found - The client you tried to assign doesn't exist. Refresh the client dropdown and try again.' and the record is unchanged; saving the original code works and reports 'Done - Updated manoj7000.'; Cancel closes with nothing saved; the user's original client THB000 was restored; R5: 'Assign client for manoj7000' opens with the current code THB000 and an optional Reason; the code box now offers the three clients as suggestions (datalist MKL246, QA-1013-R5-CL01, THB000); Cancel closes it with no request sent; not saved: the account belongs to a real person</t>
  </si>
  <si>
    <t>Opened and cancelled only. The dialog has no dialog role and focus stays on the button behind it (see the accessibility suggestion).</t>
  </si>
  <si>
    <t>S009-E10</t>
  </si>
  <si>
    <t>Row action &gt; Role select</t>
  </si>
  <si>
    <t>Blocked</t>
  </si>
  <si>
    <t>options USER, TENANT, ADMIN (promote); locked on the ADMIN row; R5: options USER, TENANT, ADMIN (promote) on manoj7000; not offered on the ADMIN row</t>
  </si>
  <si>
    <t>Not changed: the only candidate is a real person's account (manoj7000).</t>
  </si>
  <si>
    <t>S009-E11</t>
  </si>
  <si>
    <t>Row action &gt; Reset password (emails a link)</t>
  </si>
  <si>
    <t>present and enabled on the USER row, absent on the ADMIN row; R5: present on manoj7000 with the tooltip 'Email a password-reset link to this user'; absent on the ADMIN row</t>
  </si>
  <si>
    <t>Not clicked: it would email a real person (manoj7000).</t>
  </si>
  <si>
    <t>S009-E12</t>
  </si>
  <si>
    <t>enabled on the signed-in admin's own row, which is the only ADMIN (BUG-051) - not clicked, at the user's request; not exercised on the USER row either, for the same reason as the role control; retest of fix; R5: on the admin row disabled=true with 'You can't deactivate your own account - ask another admin.' (BUG-051 fixed); enabled on manoj7000 - not clicked (real account)</t>
  </si>
  <si>
    <t>BUG-051 verified fixed in R3</t>
  </si>
  <si>
    <t>S009-E13</t>
  </si>
  <si>
    <t>Page size and Prev / Next</t>
  </si>
  <si>
    <t>page size 25 / 50 / 100 / 200; Prev and Next disabled with a single page; R5: page size 25 / 50 / 100 / 200; 25 sends size=25, set back to 50</t>
  </si>
  <si>
    <t>Paging between pages was not exercised: only two users exist and the smallest page size is 25.</t>
  </si>
  <si>
    <t>S009-E14</t>
  </si>
  <si>
    <t>'Showing N rows - page N' count</t>
  </si>
  <si>
    <t>'Showing 2 rows - page 1'; 'Showing 1 row - page 1' (singular) after a search; 'No rows' with no match; R5: 'Showing 2 rows - page 1' with both users, 'Showing 1 row - page 1' after a search</t>
  </si>
  <si>
    <t>S009-E15</t>
  </si>
  <si>
    <t>the panel is present and reloads with every change; it never shows anything (BUG-052); retest of fix; R5: invites are now listed ('admin invited ...') with the address shown escaped as text (BUG-052 fix holds for invites); resend and revoke of an invite add no entry (BUG-085)</t>
  </si>
  <si>
    <t>see BUG-085 | BUG-085 verified fixed in R7</t>
  </si>
  <si>
    <t>BUG-052, BUG-085</t>
  </si>
  <si>
    <t>S009-E16</t>
  </si>
  <si>
    <t>fields Email, Client and Role, all required; roles offered are USER and TENANT only, not ADMIN; an empty form is refused ('Email and client are required.'); a malformed email is refused in the page with no request sent; the invite is created and the accept link is shown, with 'Invite emailed to ... (or logged in dev)'; a bad email is reported under the heading 'This shipment needs attention' (BUG-048); the invited person is never listed and the invitation is not audited (BUG-050); retest of fix; R5: Email is type=email with no maxlength; Client lists MKL246, QA-1013-R5-CL01, THB000; Role offers only USER and TENANT; empty form -&gt; 'Something went wrong - Email and client are required.', no request (BUG-036 heading); 'not-an-email' -&gt; POST /admin/user-invites 400, 'Check the form for errors - Email must be a well-formed email address.' (BUG-048 fixed); 273-character address -&gt; 400 with the same message; quoted local part with HTML, "qa-1013-r5-&lt;i&gt;x&lt;/i&gt;"@example.com -&gt; 201, shown escaped as text in the dialog, toast, list, audit and confirmation; the confirmation shows the accept link with Copy link and Done; the same address in capitals is accepted again and a second live invite is issued (BUG-084)</t>
  </si>
  <si>
    <t>see BUG-084 | BUG-084 verified fixed in R6</t>
  </si>
  <si>
    <t>BUG-048, BUG-050, BUG-084, BUG-123, BUG-145</t>
  </si>
  <si>
    <t>S009-E17</t>
  </si>
  <si>
    <t>green Done toasts for a successful save; 'Client not found' is a clear, well-written refusal; 'Something went wrong' used for a missing required field, and 'This shipment needs attention' for a bad email on the same small form (BUG-036, BUG-048); R5: 'Check the form for errors' heading for a malformed email; 'Something went wrong' heading still used for the empty invite form (BUG-036); green 'Done' toasts for invite, copy link, resend and revoke</t>
  </si>
  <si>
    <t>see BUG-036</t>
  </si>
  <si>
    <t>Organization &gt; Roles</t>
  </si>
  <si>
    <t>Roles list</t>
  </si>
  <si>
    <t>S010</t>
  </si>
  <si>
    <t>S010-E01</t>
  </si>
  <si>
    <t>title 'Roles', breadcrumb and highlighted menu item are right; the description tells the user to 'add roles via SQL today' (BUG-049); R5: title 'Roles', Roles highlighted in the menu, description 'Platform-wide role registry. Read-only.' - the 'add roles via SQL today' note is gone (BUG-049 fixed here)</t>
  </si>
  <si>
    <t>S010-E02</t>
  </si>
  <si>
    <t>one GET /api/v1/admin/roles (200) per click; the grid is redrawn with the same three rows; R5: one GET /api/v1/admin/roles -&gt; 200 per click, same three rows redrawn</t>
  </si>
  <si>
    <t>S010-E03</t>
  </si>
  <si>
    <t>Roles grid (Code, Name, Invitable)</t>
  </si>
  <si>
    <t>three rows: USER / Operator / yes, TENANT / Tenant (customer) / yes, ADMIN / Administrator / no; codes in monospace, Invitable as a yes/no badge; no sorting, search, filter, paging or export on this screen, and none is offered; R5: USER / Operator / yes, TENANT / Tenant (customer) / yes, ADMIN / Administrator / no; no sorting, search or paging offered</t>
  </si>
  <si>
    <t>S010-E04</t>
  </si>
  <si>
    <t>Read-only: no add, edit or delete control</t>
  </si>
  <si>
    <t>no Add, Edit or Delete control anywhere on the page; no row menu; matches the stated 'Read-only'; R5: the only control on the page is Refresh - no add, edit, delete or row menu</t>
  </si>
  <si>
    <t>S010-E05</t>
  </si>
  <si>
    <t>Agreement with the roles offered elsewhere (Users list, invite, role change)</t>
  </si>
  <si>
    <t>the Users role filter offers exactly these three codes; the Invite user dialog offers only the two marked Invitable (USER, TENANT), not ADMIN; the per-row role control offers USER, TENANT and 'ADMIN (promote)', and is locked on the ADMIN row; R5: Users role filter offers ADMIN, USER, TENANT; Invite offers only USER and TENANT (the Invitable ones); the row role control offers USER, TENANT, ADMIN (promote) and is absent on the ADMIN row</t>
  </si>
  <si>
    <t>All settings</t>
  </si>
  <si>
    <t>All settings overview</t>
  </si>
  <si>
    <t>S005</t>
  </si>
  <si>
    <t>S005-E01</t>
  </si>
  <si>
    <t>title 'All settings' and the description 'Everything that shapes how Multiship ships, grouped by what it controls.'; breadcrumb 'Settings'; All settings highlighted in the menu; R5: title 'All settings' with the description 'Everything that shapes how Multiship ships, grouped by what it controls.'; breadcrumb SETTINGS &gt; Settings; browser tab still 'multiship-react' on this page (only the client wizard sets its own title)</t>
  </si>
  <si>
    <t>S005-E02</t>
  </si>
  <si>
    <t>Settings menu (groups, items, highlighting, collapse)</t>
  </si>
  <si>
    <t>Sidebar</t>
  </si>
  <si>
    <t>eight groups in the menu: Organization, Carriers &amp; services, International, Labels &amp; documents, Email &amp; alerts, Integrations, System, Activity &amp; logs; the item for the open screen is highlighted on every settings page visited in this run; the collapse chevron is present; R5: eight groups (Organization, Carriers &amp; services, International, Labels &amp; documents, Email &amp; alerts, Integrations, System, Activity &amp; logs); 35 sidebar links including All settings; collapse chevron 'Collapse settings menu to icons' present</t>
  </si>
  <si>
    <t>S005-E03</t>
  </si>
  <si>
    <t>Search settings box</t>
  </si>
  <si>
    <t>'cutoff' narrows the menu to Cutoffs &amp; Holidays under its group heading; no match shows 'No setting matches "zzz".'; the clear (x) button restores the full menu; matching is case-insensitive and on part of a word; R5: 'CUTOFF' (upper case) and '  holi  ' (padded, partial) both narrow the menu to Cutoffs &amp; Holidays; no match shows 'No setting matches "..."'; sanitation: the payload &lt;img src=x onerror=...&gt;"' is echoed as text in the no-match line - no img element created, no script run; Esc clears the box and restores all 35 links</t>
  </si>
  <si>
    <t>The box filters the sidebar only; the group cards in the page body are not narrowed. That reads as deliberate, since the box sits in the sidebar.</t>
  </si>
  <si>
    <t>S005-E04</t>
  </si>
  <si>
    <t>Group cards and their links</t>
  </si>
  <si>
    <t>eight cards, each with a one-line description of what the group controls; 35 links in total, every one pointing at a /settings/... route; the links match the sidebar items one for one; R5: eight cards, 34 links, every one a /settings/... route; unknown /settings/... routes now land here (BUG-062 fix)</t>
  </si>
  <si>
    <t>S005-E05</t>
  </si>
  <si>
    <t>Agreement between the cards and the sidebar menu</t>
  </si>
  <si>
    <t>the 35 card links and the 35 sidebar links are the same set, in the same order and the same groups; every route reached during this run matched the label that led to it; R5: card links and sidebar links are the same 34 routes in the same order and groups</t>
  </si>
  <si>
    <t>S009-E18</t>
  </si>
  <si>
    <t>Pending invites panel (Copy link, Resend, Revoke)</t>
  </si>
  <si>
    <t>R5: 'Pending invites (N)' panel appears when an invite is pending, with address, client, role, inviter and expiry; Copy link -&gt; 'Done - Accept link copied.'; Resend -&gt; POST /admin/user-invites/5/resend 200, 'Invite resent and expiry extended.', expiry moved forward; Revoke -&gt; in-app 'Please confirm' naming the address; Cancel sends nothing; Revoke -&gt; DELETE /admin/user-invites/5 200, 'Invite revoked.', row removed</t>
  </si>
  <si>
    <t>S041-E01</t>
  </si>
  <si>
    <t>title 'Carrier Accounts', menu item highlighted, description 'Connect + verify live UPS / FedEx / USPS accounts (platform + client).'</t>
  </si>
  <si>
    <t>S041-E02</t>
  </si>
  <si>
    <t>one GET /api/v1/carrier-accounts -&gt; 200 per click, grid redrawn</t>
  </si>
  <si>
    <t>S041-E03</t>
  </si>
  <si>
    <t>Summary tiles (Ready to ship, Unverified, Platform accounts, Client accounts)</t>
  </si>
  <si>
    <t>READY TO SHIP 3/5 matches the three Verified rows (BUG-054 fixed); UNVERIFIED 2 = Check failed + Unverified; drops to 1 while the QA account is Inactive; PLATFORM ACCOUNTS 1, CLIENT ACCOUNTS 4; tiles are static, not clickable</t>
  </si>
  <si>
    <t>S041-E04</t>
  </si>
  <si>
    <t>Search account #, name, client</t>
  </si>
  <si>
    <t>searches in the page, no request; 'fedex' -&gt; FedEx 740561111; '746w05' (lower case) -&gt; UPS 746W05; 'qa-1013' -&gt; the QA client's account; 'ups' -&gt; 2 rows; '%' -&gt; 0 rows, 'No accounts match the current filters.'; '&lt;b&gt;x&lt;/b&gt;' -&gt; no match, nothing rendered as HTML</t>
  </si>
  <si>
    <t>S041-E05</t>
  </si>
  <si>
    <t>seven filters: Account type, Carrier (UPS/FedEx/USPS/DHL), Client, Status, Environment, Verification, Client default; Verification Unverified -&gt; USPS TEST (Check failed) + UPS QA13R5; Verified -&gt; the 3 verified; Environment Production -&gt; 0 rows; Client QA-1013-R5-CL01 -&gt; 1 row; badge counts active filters; Clear resets to 5 of 5; client names with = &amp; quotes shown as text</t>
  </si>
  <si>
    <t>S041-E06</t>
  </si>
  <si>
    <t>hiding Usage and Customs clearance removes them and is stored in the browser; pin Carrier -&gt; sticky first column; Reset layout restores all eight columns and clears the pin</t>
  </si>
  <si>
    <t>S041-E07</t>
  </si>
  <si>
    <t>Compact 54.5 px rows / Comfortable 66.5 px, choice stored and restored</t>
  </si>
  <si>
    <t>S041-E08</t>
  </si>
  <si>
    <t>Export</t>
  </si>
  <si>
    <t>CSV of the current view: only visible columns (Clearance and Usage left out when hidden) and only filtered rows ('ups' -&gt; 2 rows); file name carrier-accounts-&lt;UTC timestamp&gt;.csv (download intercepted in the page, nothing saved); Purpose exported as the code SAMPLE while the grid shows 'Sample'; a name starting with '=' is exported unescaped (BUG-076, Carrier Accounts added to its affected screens)</t>
  </si>
  <si>
    <t>S041-E09</t>
  </si>
  <si>
    <t>drawer: account type, carrier (UPS/FedEx/USPS/DHL Express), credentials, environment, international defaults, return-label scope, billing currency, label format and stock, Verify &amp; save; opens with Consumer Key 'admin' and Consumer Secret filled from the browser's saved Multiship login (BUG-086) - cleared, nothing saved; empty save -&gt; 'Account number is required', 'Consumer Key is required', 'Consumer Secret is required', no request; toast headed 'Something went wrong' (BUG-036); Run verification disabled until account number, key and secret are filled; Cancel closes with nothing saved; retest of fix</t>
  </si>
  <si>
    <t>see BUG-086. Help text under Return-label scope says 'Domestic only matches the pre-V95 default' (migration number, see BUG-061). | BUG-086 verified fixed in R7</t>
  </si>
  <si>
    <t>S041-E10</t>
  </si>
  <si>
    <t>10 / 25 / 50 / 100 per page; 10 still '1 of 1' with five rows; Previous/Next disabled; set back to 25</t>
  </si>
  <si>
    <t>S041-E11</t>
  </si>
  <si>
    <t>Grid columns and values (Carrier, Account name, Type, Environment, Purpose, Clearance, Status, Usage)</t>
  </si>
  <si>
    <t>Carrier with logo and account number, Account name, Type (Platform / client chip), Environment, Purpose, Clearance, Status (switch + verification badge, USPS balance chip $158.53), Usage, row menu; 'Showing 5 of 5 accounts'</t>
  </si>
  <si>
    <t>S041-E12</t>
  </si>
  <si>
    <t>Default-account star</t>
  </si>
  <si>
    <t>filled star = 'Default account for &lt;client&gt;' (not a button); empty star = button 'Make this MKL246's default account'; not clicked: it would change the real client MKL246's default</t>
  </si>
  <si>
    <t>S041-E13</t>
  </si>
  <si>
    <t>Account name inline edit ('Unnamed - click to add')</t>
  </si>
  <si>
    <t>'Unnamed - click to add' opens 'Update QA13R5' with focus in Account name; 41+ characters refused: 'Max 40 characters' (input has no maxlength); '&lt;b&gt;UPS&lt;/b&gt;' refused: 'Cannot contain &lt; or &gt;'; 'QA-1013-R5 UPS &amp; "q" é' saved (POST /carrier-accounts 200, 'Account QA13R5 saved to the account book.') and shown correctly; closing the drawer with an unsaved name change gives no warning</t>
  </si>
  <si>
    <t>S041-E14</t>
  </si>
  <si>
    <t>Status toggle (enable / disable)</t>
  </si>
  <si>
    <t>switch on the QA account: POST /carrier-accounts/11/toggle-active 200 -&gt; 'Inactive', again -&gt; active; no confirmation; Unverified tile follows the change</t>
  </si>
  <si>
    <t>S041-E15</t>
  </si>
  <si>
    <t>Row menu &gt; Re-verify</t>
  </si>
  <si>
    <t>Verify on the QA account: POST /carrier-accounts/11/verify -&gt; UPS refusal shown in words: 'UPS rejected the Client ID (10401: ClientId is Invalid). Confirm the Client ID / Secret are UPS OAuth keys for the SANDBOX (wwwcie.ups.com) environment...'; badge -&gt; Check failed; not run on the real clients' accounts</t>
  </si>
  <si>
    <t>S041-E16</t>
  </si>
  <si>
    <t>Update drawer locks account type, client, carrier and account number with reasons; credentials shown masked: 'Consumer Key: qa-1•••id', secret dots, 'Credentials never leave the backend'; Rotate credentials pre-fills the replacement fields with the saved Multiship login (BUG-086); its Cancel restores 'Credentials on file'</t>
  </si>
  <si>
    <t>see BUG-086</t>
  </si>
  <si>
    <t>S041-E17</t>
  </si>
  <si>
    <t>Delete disabled on accounts with labels: 'This account has generated labels - deactivate it instead to keep the audit trail.'; on the QA account it asks with the browser's native confirm 'Delete account QA13R5 (UPS)? This can't be undone.' (BUG-075); Cancel sends nothing</t>
  </si>
  <si>
    <t>see BUG-075</t>
  </si>
  <si>
    <t>S041-E18</t>
  </si>
  <si>
    <t>at 1442 px the ⋮ buttons sit at x 1747-1775, outside the window, until the grid is scrolled sideways (BUG-087); retest of fix</t>
  </si>
  <si>
    <t>see BUG-087 | BUG-087 verified fixed in R7</t>
  </si>
  <si>
    <t>S041-E19</t>
  </si>
  <si>
    <t>label counts 0 / 25353 / 7929 / 98 / 0; every row reads 'never used'; lastUsedAt is empty on all accounts (BUG-088)</t>
  </si>
  <si>
    <t>see BUG-088</t>
  </si>
  <si>
    <t>S042-E01</t>
  </si>
  <si>
    <t>title 'Carriers (platform)', description 'Platform-wide carrier registry - toggle enabled org-wide and flip LIVE/TEST mode without a code deploy.'</t>
  </si>
  <si>
    <t>S042-E02</t>
  </si>
  <si>
    <t>GET /api/v1/admin/carriers/platform -&gt; 200, six rows redrawn unchanged</t>
  </si>
  <si>
    <t>S042-E03</t>
  </si>
  <si>
    <t>Carrier grid (Code, Display name, Family, Mode, Enabled, Actions)</t>
  </si>
  <si>
    <t>USPS_DIRECT LIVE disabled, FEDEX LIVE enabled, STAMPS_COM LIVE enabled, USPS TEST enabled, DHL TEST disabled, UPS LIVE enabled; codes in monospace, family chips, enabled/disabled badges</t>
  </si>
  <si>
    <t>S042-E04</t>
  </si>
  <si>
    <t>Mode select (LIVE / TEST)</t>
  </si>
  <si>
    <t>writes blocked in the page before testing; TEST -&gt; LIVE asks 'Enable LIVE for USPS?' with the real-charges warning and a red 'Enable LIVE' (BUG-055 fixed); LIVE -&gt; TEST asks 'Return UPS to TEST?'; Cancel restores the old value; no request attempted</t>
  </si>
  <si>
    <t>S042-E05</t>
  </si>
  <si>
    <t>Enable / Disable</t>
  </si>
  <si>
    <t>Disable on FedEx asks 'Please confirm - Disable FEDEX org-wide?' with Cancel / Confirm; Cancel sends nothing; Enable offered on the disabled rows (USPS_DIRECT, DHL) - not clicked</t>
  </si>
  <si>
    <t>The disable dialog does not say what follows (every client on that carrier stops shipping); a sentence like the LIVE dialog's would help.</t>
  </si>
  <si>
    <t>S043-E01</t>
  </si>
  <si>
    <t>title 'Shipping Catalog', description 'Carrier services + packages per origin, and each item's allowed clients. Two sub-tabs share the origin filter and allowlist model.' (the shared-origin claim does not hold - BUG-090)</t>
  </si>
  <si>
    <t>S043-E02</t>
  </si>
  <si>
    <t>GET shipping-services, package-presets and allowlist-usage/services (200) per click</t>
  </si>
  <si>
    <t>S043-E03</t>
  </si>
  <si>
    <t>Sub-tabs (Shipping services / Packages)</t>
  </si>
  <si>
    <t>Shipping services / Packages switch the panel; role=tab</t>
  </si>
  <si>
    <t>S043-E04</t>
  </si>
  <si>
    <t>Ship from origin select (services)</t>
  </si>
  <si>
    <t>Services</t>
  </si>
  <si>
    <t>15 origins (AU ... US); US: 20/21 services; CA: 0/0 with 'No UPS services from Canada yet.' and 'Sync from carrier' per carrier; set back to US</t>
  </si>
  <si>
    <t>S043-E05</t>
  </si>
  <si>
    <t>Summary tiles (Services from &lt;origin&gt;, Package links)</t>
  </si>
  <si>
    <t>'SERVICES FROM US 20/21' follows the service switches (21/21 while a service was on); 'PACKAGE LINKS 154' stays 154 for Canada where no service exists (noted in BUG-090)</t>
  </si>
  <si>
    <t>S043-E06</t>
  </si>
  <si>
    <t>Carrier panels (UPS / FedEx / USPS): on count, last sync, warnings</t>
  </si>
  <si>
    <t>UPS 7/7 ON, FedEx 8/8 ON, USPS 5/6 ON; 'LIVE CARRIER API - 45D AGO' / '5D AGO'; enabling a service without packages shows '1 need packages' in the panel header</t>
  </si>
  <si>
    <t>S043-E07</t>
  </si>
  <si>
    <t>SYNC / Sync from carrier (pull services)</t>
  </si>
  <si>
    <t>present per carrier: 'Pull UPS's available services from United States'</t>
  </si>
  <si>
    <t>Not run: it rewrites the catalog from the carrier API and cannot be undone from this screen.</t>
  </si>
  <si>
    <t>S043-E08</t>
  </si>
  <si>
    <t>Service switch (enable / disable)</t>
  </si>
  <si>
    <t>switching on USPS First-Class Package Intl: PATCH /shipping-services/29, 'Done - Enabled USPS First-Class Package Intl.'; switching it off asks 'Switch off USPS First-Class Package Intl? No ship via rule points at it.' (Leave it on / Switch it off); confirmed, PATCH sent, catalog back to 20/21</t>
  </si>
  <si>
    <t>S043-E09</t>
  </si>
  <si>
    <t>chip opens 'Allowed packages' for the service with Allow branded packaging, service limits (UPS: 150 lb, 165" L+girth, 108" length) and the package list; Cancel and X close it with nothing saved; Escape does not close it; UPS Ground allows UPS Express packaging - query BUG-089</t>
  </si>
  <si>
    <t>S043-E10</t>
  </si>
  <si>
    <t>CUSTOM packaging tag (ground-family services)</t>
  </si>
  <si>
    <t>FEDEX_GROUND and GROUND_HOME_DELIVERY tagged CUSTOM ('no branded packaging by design (Ground-family default)'); the dialog opens with branded packaging off and only THB-PACKAGE</t>
  </si>
  <si>
    <t>S043-E11</t>
  </si>
  <si>
    <t>every service and package chip reads 0 / 'Assigned to: No clients allowed yet.'; the chip is plain text with no editor; allowlist-usage endpoints return empty lists (query BUG-091); retest of fix</t>
  </si>
  <si>
    <t>see BUG-091 | BUG-091 verified fixed in R6</t>
  </si>
  <si>
    <t>S043-E12</t>
  </si>
  <si>
    <t>Carrier filter UPS lists only UPS packaging; All carriers restores; Rows per page 10 -&gt; Page 1 of 3, Next -&gt; Page 2 of 3; 50 -&gt; 22 cards, no pager; origin is not shared with the services tab (BUG-090)</t>
  </si>
  <si>
    <t>see BUG-090</t>
  </si>
  <si>
    <t>BUG-090, BUG-154</t>
  </si>
  <si>
    <t>S043-E13</t>
  </si>
  <si>
    <t>spec sheet: name, type, L/W/H with unit, internal L/W/H, max and tare weight with unit, box cost, pick priority, status; number fields min 0; empty -&gt; 'Give the package a name.'; L -5 / W 0 -&gt; 'A custom box needs length, width and height.' (toast headed 'Something went wrong', no field marked - BUG-036); name with &lt;i&gt;x&lt;/i&gt; saved and shown as text everywhere; tare 25 lb above max 20 lb accepted (BUG-092); dim weight computed 2.3 lb (10x8x4 / 139); retest of fix</t>
  </si>
  <si>
    <t>see BUG-092 | BUG-092 verified fixed in R7</t>
  </si>
  <si>
    <t>S043-E14</t>
  </si>
  <si>
    <t>Package Edit</t>
  </si>
  <si>
    <t>Edit ('REVISION') reopens with all saved values; tare changed to 0.5, PUT /package-presets/23 200, 'Package ... saved.'</t>
  </si>
  <si>
    <t>S043-E15</t>
  </si>
  <si>
    <t>Package Delete</t>
  </si>
  <si>
    <t>in-app 'Delete package ... ?' with Cancel / Delete; DELETE /package-presets/23 200, 'Package ... removed.', card gone</t>
  </si>
  <si>
    <t>S043-E16</t>
  </si>
  <si>
    <t>Package Make default</t>
  </si>
  <si>
    <t>present on every card</t>
  </si>
  <si>
    <t>Not clicked: it changes the platform-wide default package for every client.</t>
  </si>
  <si>
    <t>S043-E17</t>
  </si>
  <si>
    <t>Sync carrier packaging</t>
  </si>
  <si>
    <t>present: 'Pull UPS/FedEx/USPS predefined packaging for United States'</t>
  </si>
  <si>
    <t>Not run: it rewrites carrier packaging from the carrier APIs.</t>
  </si>
  <si>
    <t>S044-E01</t>
  </si>
  <si>
    <t>title 'Code Maps', description 'Per-client ERP ship-via / service / country / package aliases...', Code maps -&gt; Routing Rules diagram; tab hints name internal classes and fields: 'skips ShipViaMapping rules', 'ERP package SKU -&gt; PackagePreset ... before the packagingCode name lookup' (see BUG-061)</t>
  </si>
  <si>
    <t>S044-E02</t>
  </si>
  <si>
    <t>one GET of the open tab's aliases (200) per click</t>
  </si>
  <si>
    <t>S044-E03</t>
  </si>
  <si>
    <t>Client select and 'Include deactivated clients'</t>
  </si>
  <si>
    <t>clients MKL246, QA-1013-R5-CL01 (name with = &amp; quotes shown as text), THB000; switching client reloads its aliases; Include deactivated clients re-requests GET /api/v1/clients (no deactivated clients exist, list unchanged)</t>
  </si>
  <si>
    <t>S044-E04</t>
  </si>
  <si>
    <t>Tabs (Shipvia / Service code / Destination country / Package)</t>
  </si>
  <si>
    <t>Shipvia, Service code (placeholder F77-2DAY), Destination country (ISO-2 select, 250 countries), Package (only the client's carriers' packaging + custom boxes) each with its own form and list</t>
  </si>
  <si>
    <t>S044-E05</t>
  </si>
  <si>
    <t>Form</t>
  </si>
  <si>
    <t>disabled Add alias explains what is missing (BUG-056 fixed); codes are upper-cased on save (qa13 -&gt; QA13); '&lt;b&gt;x&lt;/b&gt;' accepted as a code and shown as text; a 41+ character code -&gt; 400 with the raw text 'Erp code size must be between 0 and 40.' (BUG-094); an existing code is silently re-pointed by Add alias (BUG-093); Destination country 'Great Britain QA' -&gt; GB saved as 'GREAT BRITAIN QA'; retest of fix</t>
  </si>
  <si>
    <t>see BUG-093, BUG-094 | BUG-094 verified fixed in R7</t>
  </si>
  <si>
    <t>BUG-093, BUG-094</t>
  </si>
  <si>
    <t>S044-E06</t>
  </si>
  <si>
    <t>Alias list filter</t>
  </si>
  <si>
    <t>List</t>
  </si>
  <si>
    <t>'gb' matches by target; 'zzz' -&gt; 'No aliases match "zzz".'; clearing restores</t>
  </si>
  <si>
    <t>S044-E07</t>
  </si>
  <si>
    <t>Alias row &gt; Edit (inline)</t>
  </si>
  <si>
    <t>pencil opens an inline editor: target service, origin warehouse ('Any origin warehouse'), package chips, save / cancel; cancel leaves the row unchanged</t>
  </si>
  <si>
    <t>S044-E08</t>
  </si>
  <si>
    <t>Alias row &gt; Remove</t>
  </si>
  <si>
    <t>in-app 'Remove alias '&lt;B&gt;X&lt;/B&gt;' from QA-1013-R5-CL01?' (Cancel / Remove); DELETE .../shipvia/9 and /8 and .../dest-country/1 -&gt; 200, 'Alias removed.', rows gone</t>
  </si>
  <si>
    <t>S045-E01</t>
  </si>
  <si>
    <t>title 'Carrier Limits'; page and panel descriptions explain caps, FORWARD/RETURN and that edits apply on the next shipment call</t>
  </si>
  <si>
    <t>S045-E02</t>
  </si>
  <si>
    <t>one GET /api/v1/admin/carrier-shipping-limits -&gt; 200 per click</t>
  </si>
  <si>
    <t>S045-E03</t>
  </si>
  <si>
    <t>Filter by carrier</t>
  </si>
  <si>
    <t>filters in the page, no request; 'fedex' -&gt; 4 FEDEX rows; '%' and '_' -&gt; 'No limit rows.'</t>
  </si>
  <si>
    <t>S045-E04</t>
  </si>
  <si>
    <t>Scope filter (All / BOTH / DOMESTIC / INTERNATIONAL)</t>
  </si>
  <si>
    <t>All scopes / BOTH / DOMESTIC / INTERNATIONAL; DOMESTIC -&gt; FEDEX (default) and UPS GROUND_SAVER</t>
  </si>
  <si>
    <t>S045-E05</t>
  </si>
  <si>
    <t>12 rows: DHL, FEDEX x4, STAMPS, UPS x6 with caps, status and notes (notes shown as text); FEDEX_PAK 5 lb here vs 3 lb in Shipping Catalog - query BUG-097</t>
  </si>
  <si>
    <t>S045-E06</t>
  </si>
  <si>
    <t>dialog: carrier code (max 32), service code (max 60), scope, direction, max packages 1..9999, max commodities, max weight, free declared value, Active, effective until, notes (max 500); empty -&gt; 'Carrier code is required.' shown in the dialog; max packages 0 -&gt; 'Max packages must be an integer between 1 and 9999.'; weight -10 -&gt; 'Max weight must be &gt; 0 lb.'; unknown carrier QA1013R5 accepted (BUG-095); past 'Effective until' 01-01-2020 accepted, row shown Active (BUG-096); note with &lt;b&gt;test&lt;/b&gt; stored and shown as text; 'Done - Created QA1013R5/QA_R5_SVC.'; retest of fix</t>
  </si>
  <si>
    <t>see BUG-095, BUG-096 | BUG-096 verified fixed in R7</t>
  </si>
  <si>
    <t>BUG-095, BUG-096</t>
  </si>
  <si>
    <t>S045-E07</t>
  </si>
  <si>
    <t>'Edit carrier limit' reopens with every saved value; max packages 5 -&gt; 6, PUT .../13 200, 'Updated QA1013R5/QA_R5_SVC.'</t>
  </si>
  <si>
    <t>S045-E08</t>
  </si>
  <si>
    <t>Row &gt; Deactivate</t>
  </si>
  <si>
    <t>Deactivate: PATCH .../13/active 200, row greyed 'Inactive', button becomes Activate; no confirmation (reversible)</t>
  </si>
  <si>
    <t>S045-E09</t>
  </si>
  <si>
    <t>Row &gt; Delete</t>
  </si>
  <si>
    <t>in-app 'Delete carrier limit - Delete QA1013R5/QA_R5_SVC / DOMESTIC? This can't be undone - use Deactivate instead if you want to keep it for history.'; Delete -&gt; DELETE .../13 200, 'Row deleted.', 12 rows again</t>
  </si>
  <si>
    <t>S045-E10</t>
  </si>
  <si>
    <t>Edit / Deactivate / Delete at x 1384-1566 in a 1442 px window, scroller 1080 over 1253 px (BUG-087)</t>
  </si>
  <si>
    <t>see BUG-087</t>
  </si>
  <si>
    <t>S046-E01</t>
  </si>
  <si>
    <t>title 'Carrier Dropdowns', description 'Per-carrier vocabularies the /orders/new wizard uses - label formats, pickup types, clearance options. Read-only.'; no add, edit or delete control</t>
  </si>
  <si>
    <t>S046-E02</t>
  </si>
  <si>
    <t>one click re-requests label-formats, pickup-types and clearance-options (all 200); 16 label rows redrawn</t>
  </si>
  <si>
    <t>S046-E03</t>
  </si>
  <si>
    <t>Label formats tab (Carrier, Code, Label, Stock type)</t>
  </si>
  <si>
    <t>Tabs</t>
  </si>
  <si>
    <t>16 rows: DHL PDF/ZPL; FEDEX COMMON2D, LABEL_DATA_ONLY, PDF, PNG, ZPLII; UPS GIF, PDF, PNG, ZPL, EPL; USPS PDF, ZPL, PNG, JPG; stock/plain badges</t>
  </si>
  <si>
    <t>S046-E04</t>
  </si>
  <si>
    <t>Pickup types tab</t>
  </si>
  <si>
    <t>16 rows: DHL 2, FEDEX 9 (USE_SCHEDULED_PICKUP ... CONTACT_FEDEX_TO_SCHEDULE), UPS 01/03/06, USPS PICKUP / HOLD_FOR_PICKUP</t>
  </si>
  <si>
    <t>S046-E05</t>
  </si>
  <si>
    <t>Clearance options tab</t>
  </si>
  <si>
    <t>11 rows: DHL DAP/DDP/EXW, FEDEX SENDER/RECIPIENT/THIRD_PARTY, UPS SENDER/RECEIVER/THIRD_PARTY, USPS DDU/DDP</t>
  </si>
  <si>
    <t>S046-E06</t>
  </si>
  <si>
    <t>Agreement with /orders/new dropdowns</t>
  </si>
  <si>
    <t>UPS and USPS label types on /orders/new match the registry; FedEx label types still differ (BUG-057 still failing)</t>
  </si>
  <si>
    <t>see BUG-057</t>
  </si>
  <si>
    <t>S047-E01</t>
  </si>
  <si>
    <t>title 'Cutoffs &amp; Holidays', description explains SHIP_DATE roll-forward; holiday panel description says 'Seeded with Dec 24 + Jan 1 ... on migration' (see BUG-061, BUG-102)</t>
  </si>
  <si>
    <t>S047-E02</t>
  </si>
  <si>
    <t>Refresh (page header)</t>
  </si>
  <si>
    <t>header Refresh disabled with 'Nothing to refresh on this page' - the panel has its own Reload</t>
  </si>
  <si>
    <t>S047-E03</t>
  </si>
  <si>
    <t>Cutoff rules: Reload</t>
  </si>
  <si>
    <t>Cutoff rules</t>
  </si>
  <si>
    <t>Reload -&gt; GET /admin/cutoffs/rules and /holidays (200)</t>
  </si>
  <si>
    <t>S047-E04</t>
  </si>
  <si>
    <t>Cutoff rules: Seed for all combos</t>
  </si>
  <si>
    <t>present and enabled</t>
  </si>
  <si>
    <t>Not clicked: it creates cutoff rules for every source x carrier x warehouse combination on the live configuration.</t>
  </si>
  <si>
    <t>S047-E05</t>
  </si>
  <si>
    <t>17 rules: MANUAL/BULK FEDEX any America/New_York; 15 rules on warehouse 1 in client tz; all active, 20:00:00; warehouse shown as its internal number (BUG-101); retest of fix</t>
  </si>
  <si>
    <t>see BUG-101 | BUG-101 verified fixed in R7</t>
  </si>
  <si>
    <t>S047-E06</t>
  </si>
  <si>
    <t>new row: Source (any/MANUAL/BULK/API/WMS/DTC), Carrier (any/FEDEX/UPS/USPS/DHL/STAMPS_COM/USPS_DIRECT), Warehouse number, Cutoff time, Timezone, Add; warehouse 999 -&gt; 500 (BUG-099); timezone 'Mars/Olympus' accepted, rule #20 listed active (BUG-100); deleted</t>
  </si>
  <si>
    <t>see BUG-099, BUG-100</t>
  </si>
  <si>
    <t>BUG-099, BUG-100, BUG-146</t>
  </si>
  <si>
    <t>S047-E07</t>
  </si>
  <si>
    <t>Cutoff rules: delete (trash)</t>
  </si>
  <si>
    <t>in-app 'Delete cutoff rule #N? Source - Carrier - Warehouse ... roll forward using the next-matching rule' (BUG-058 fixed); Cancel sends nothing; Delete on the QA rule #20 -&gt; DELETE .../rules/20 200</t>
  </si>
  <si>
    <t>S047-E08</t>
  </si>
  <si>
    <t>Holidays</t>
  </si>
  <si>
    <t>four seeded holidays shown with date, name, active; names shown as text; Christmas Day missing - query BUG-102</t>
  </si>
  <si>
    <t>BUG-102, BUG-156</t>
  </si>
  <si>
    <t>S047-E09</t>
  </si>
  <si>
    <t>Add stays disabled until date and name are filled; 'QA-1013-R5 Test Holiday &lt;i&gt;x&lt;/i&gt;' on 2026-11-27 -&gt; 'Holiday added.', shown as text; same date again -&gt; 500 (BUG-098); the 'Holiday added.' toast covers the row's + Add button for a few seconds; retest of fix</t>
  </si>
  <si>
    <t>see BUG-098 | BUG-098 verified fixed in R7</t>
  </si>
  <si>
    <t>S047-E10</t>
  </si>
  <si>
    <t>Holiday delete (trash)</t>
  </si>
  <si>
    <t>in-app 'Delete holiday? ... Shipments due that day will no longer roll forward.' (BUG-058 fixed); Cancel keeps it; Delete -&gt; DELETE .../holidays/6 200</t>
  </si>
  <si>
    <t>S048-E01</t>
  </si>
  <si>
    <t>title 'Pickups &amp; End-of-Day', description 'Schedule carrier pickups and close out the day (FedEx manifest / UPS End of Day / USPS SCAN form). Automate the close via the DTC Scheduler.'</t>
  </si>
  <si>
    <t>S048-E02</t>
  </si>
  <si>
    <t>header Refresh disabled with 'Nothing to refresh on this page'</t>
  </si>
  <si>
    <t>S048-E03</t>
  </si>
  <si>
    <t>End-of-day close: Carrier, Close date, Client, Warehouse code</t>
  </si>
  <si>
    <t>End-of-day close</t>
  </si>
  <si>
    <t>Carrier FEDEX/UPS/USPS, Close date (today), Client (All clients / MKL246 / QA-1013-R5-CL01 / THB000, names shown as text), optional Warehouse code; explanatory text on what Close out does</t>
  </si>
  <si>
    <t>S048-E04</t>
  </si>
  <si>
    <t>Close out (confirmation)</t>
  </si>
  <si>
    <t>writes blocked in the page before testing; Close out asks 'Close out FEDEX 2026-10-13? ... Scope: EVERY client ... It cannot be undone from this screen.' (BUG-059 fixed); with a client picked: 'Scope: client QA-1013-R5-CL01'; Cancel sends nothing; the label count is not shown</t>
  </si>
  <si>
    <t>S048-E05</t>
  </si>
  <si>
    <t>Schedule a pickup</t>
  </si>
  <si>
    <t>writes blocked in the page; empty form -&gt; 'Missing fields - Contact, phone, address, city and postal code are required.', no request; reversed window, past date, 0 packages, phone 'abc', postal 'ZZZZZ' -&gt; POST /api/v1/pickups attempted (BUG-103); no pickup booked; Country box maxlength 2, defaults US</t>
  </si>
  <si>
    <t>see BUG-103</t>
  </si>
  <si>
    <t>BUG-103, BUG-157</t>
  </si>
  <si>
    <t>S048-E06</t>
  </si>
  <si>
    <t>Recent activity panel and its refresh</t>
  </si>
  <si>
    <t>Recent activity</t>
  </si>
  <si>
    <t>'No pickups or close-outs yet.'; its refresh -&gt; GET /api/v1/manifests/events 200</t>
  </si>
  <si>
    <t>S049-E01</t>
  </si>
  <si>
    <t>title 'Importer / Broker', description 'Customs identities - importer/broker profiles applied per destination country.' (viewport 1920 x 855)</t>
  </si>
  <si>
    <t>S049-E02</t>
  </si>
  <si>
    <t>GET /api/v1/customs-profiles and /stats (200) per click</t>
  </si>
  <si>
    <t>S049-E03</t>
  </si>
  <si>
    <t>Summary tiles (Profiles, Destinations covered, Clients configured)</t>
  </si>
  <si>
    <t>0 / 0 / 0 with no profile, 1 / 1 / 1 after creating the QA profile, back to 0 after deleting it</t>
  </si>
  <si>
    <t>S049-E04</t>
  </si>
  <si>
    <t>server-side search; 'QA-1013' and 'CA' find the profile; 'importer' (importer name), 'canada' and 'toronto' find nothing (BUG-105); 'No profiles match your filters.' when nothing matches; R6: 'importer', 'Sons', 'THB', 'CA' find the profile; 'canada' and 'toronto' find nothing (BUG-105); retest of fix</t>
  </si>
  <si>
    <t>see BUG-105 | BUG-105 verified fixed in R7</t>
  </si>
  <si>
    <t>S049-E05</t>
  </si>
  <si>
    <t>Filters (client, region, country)</t>
  </si>
  <si>
    <t>Client (All / MKL246 / QA-1013-R5-CL01 / THB000), Region (8), Country (full ISO list)</t>
  </si>
  <si>
    <t>S049-E06</t>
  </si>
  <si>
    <t>CSV with Client code, Client name, Countries, Importer type, Importer, Importer city, Broker, Broker city, Account carrier, Account no, Incoterms, Currency (download intercepted in the page); client name beginning with '=' exported unescaped (BUG-076)</t>
  </si>
  <si>
    <t>see BUG-076. This export was started from a script call on the button, not a pointer click.</t>
  </si>
  <si>
    <t>S049-E07</t>
  </si>
  <si>
    <t>empty Create profile -&gt; inline 'Choose a client.', 'Select at least one destination country.', 'Name is required.', 'Address line 1 is required.', 'City is required.', no request; region chips, country list; first pick locks the customs territory ('Locked to Canada ... Use Clear to start over.'); importer Country offers only the destination (CA); Tax identity switches to Canada: Business Number + RM account; name with &lt; &gt; refused: 'Name cannot contain the characters &lt; or &gt;.'; BN 'ABC' accepted (BUG-104); save toast '(1 destinations)' (BUG-106); R6: destination country list cut to one letter per code at 1401 px (BUG-148); R6: BN 'ABC' still saved (BUG-104); singular '(1 destination)' now correct (BUG-106 part)</t>
  </si>
  <si>
    <t>see BUG-104, BUG-148</t>
  </si>
  <si>
    <t>BUG-104, BUG-106, BUG-148</t>
  </si>
  <si>
    <t>S049-E08</t>
  </si>
  <si>
    <t>Grid (Client, Destinations, Importer, Broker, Account) and row menu</t>
  </si>
  <si>
    <t>row shows client code + name (as text), CA '1 country', importer + city, 'Carrier clears', account '-'; row menu Edit / Delete; row actions visible at 1920 px</t>
  </si>
  <si>
    <t>S049-E09</t>
  </si>
  <si>
    <t>Edit profile (Save changes, Cancel)</t>
  </si>
  <si>
    <t>Edit profile reopens every saved value, client locked ('Client is fixed while editing.'); Save changes -&gt; PUT .../customs-profiles/1 200; Cancel with an unsaved change returns to the list without asking (no native confirm here)</t>
  </si>
  <si>
    <t>S049-E10</t>
  </si>
  <si>
    <t>Delete profile</t>
  </si>
  <si>
    <t>in-app 'Delete this QA-1013-R5-CL01 importer/broker profile (1 destinations)?' with Cancel / Delete; DELETE .../customs-profiles/1 200, 'Profile deleted.'</t>
  </si>
  <si>
    <t>S050-E01</t>
  </si>
  <si>
    <t>title 'Countries', description 'ISO country list with US-territory flag. Read-only.' - the 'edit via SQL today' note is gone</t>
  </si>
  <si>
    <t>S050-E02</t>
  </si>
  <si>
    <t>one GET /api/v1/admin/countries -&gt; 200, 249 rows redrawn</t>
  </si>
  <si>
    <t>S050-E03</t>
  </si>
  <si>
    <t>Country grid (Code, Name, US territory)</t>
  </si>
  <si>
    <t>249 rows (V151 seed), no duplicate codes, US included; six US territories flagged yes (PR, VI, GU, AS, MP, UM) listed first, then A-Z by code (AD ... ZW)</t>
  </si>
  <si>
    <t>S050-E04</t>
  </si>
  <si>
    <t>Read-only: no add, edit, delete, search or paging</t>
  </si>
  <si>
    <t>no add, edit or delete control, matching 'Read-only'; no search, filter or paging on a 249-row list - finding a country means scrolling</t>
  </si>
  <si>
    <t>Reasons for Export</t>
  </si>
  <si>
    <t>S051</t>
  </si>
  <si>
    <t>S051-E01</t>
  </si>
  <si>
    <t>title 'Reasons for Export', description 'Reason-for-export codes used on commercial invoices (Sale / Gift / Sample / ...). Read-only.' - the 'edit via SQL today' note is gone</t>
  </si>
  <si>
    <t>S051-E02</t>
  </si>
  <si>
    <t>one GET /api/v1/admin/refdata/reasons-for-export -&gt; 200</t>
  </si>
  <si>
    <t>S051-E03</t>
  </si>
  <si>
    <t>Reasons grid (Code, Label, Sort)</t>
  </si>
  <si>
    <t>8 rows SALE, GIFT, SAMPLE, REPAIR_AND_RETURN, DOCUMENTS, MERCHANDISE, PERSONAL_USE, RETURN with sort 10-80; the same eight appear, in this order, as 'Shipping purpose' on Add carrier account; read-only, no controls</t>
  </si>
  <si>
    <t>S052-E01</t>
  </si>
  <si>
    <t>title 'Currencies', description 'ISO 4217 currency catalog. Read-only; per-tenant allowlist can be set under System settings.' - the settings key path is gone</t>
  </si>
  <si>
    <t>S052-E02</t>
  </si>
  <si>
    <t>one GET /api/v1/admin/refdata/currencies -&gt; 200</t>
  </si>
  <si>
    <t>S052-E03</t>
  </si>
  <si>
    <t>Currency grid (Code, Name)</t>
  </si>
  <si>
    <t>178 rows (V152 seed): USD, EUR, GBP, CAD, INR, AUD, SGD, JPY, CNY, AED first, then A-Z; no duplicates, all three-letter codes; includes the non-trade codes XXX and XTS; no search or paging</t>
  </si>
  <si>
    <t>S053-E01</t>
  </si>
  <si>
    <t>title 'Templates', description 'Per-client shipping label, packing slip and commercial invoice templates. Fall back to platform defaults when a client hasn't set one.'</t>
  </si>
  <si>
    <t>S053-E02</t>
  </si>
  <si>
    <t>re-reads GET /api/v1/label-templates (200)</t>
  </si>
  <si>
    <t>S053-E03</t>
  </si>
  <si>
    <t>Search tenant id, Filters, Columns, Density, Export, paging</t>
  </si>
  <si>
    <t>same shared grid toolbar as Carrier Accounts: search, Filters, Columns, Density, Export, page size; '0 templates' / 'No templates yet - add the platform default or a tenant override.'</t>
  </si>
  <si>
    <t>Toolbar functions exercised in depth on Carrier Accounts (S041), the same component.</t>
  </si>
  <si>
    <t>S053-E04</t>
  </si>
  <si>
    <t>row: Tenant, Type, Header (shown as text), Logo Yes, Color swatch + value, Items Show, Updated 'just now'; row menu Edit / Preview / Delete; wording 'Tenant', 'Search tenant id...' and raw 'PACKING_SLIP' (BUG-110); R6: list now headed 'Client' with 'Search client code...', type chip still raw PACKING_SLIP (BUG-110); R6: row menu off-screen at 1401 px (x 1483, no pinning) - reachable only by scrolling the grid sideways (BUG-087)</t>
  </si>
  <si>
    <t>see BUG-110, BUG-087</t>
  </si>
  <si>
    <t>S053-E05</t>
  </si>
  <si>
    <t>Add template: scope (applies to, document type)</t>
  </si>
  <si>
    <t>Editor</t>
  </si>
  <si>
    <t>Applies to: Platform default / MKL246 / QA-1013-R5-CL01 / THB000; Document type: Shipping label / Packing slip / Commercial invoice / Return cover; after save: 'Tenant + type are locked after creation (unique per pair).'</t>
  </si>
  <si>
    <t>S053-E06</t>
  </si>
  <si>
    <t>file</t>
  </si>
  <si>
    <t>352 KB PNG refused: 'Logo must be under 200 KB. Try compressing the image.' (toast headed 'Something went wrong' - BUG-036); SVG accepted and stored as data:image/svg+xml (BUG-107); text file named .png accepted, broken image (BUG-107); Remove logo offered after a logo is added</t>
  </si>
  <si>
    <t>see BUG-107</t>
  </si>
  <si>
    <t>S053-E07</t>
  </si>
  <si>
    <t>colour picker, hex box and six swatches; 'zzz' accepted and saved as primaryColor (BUG-108); retest of fix</t>
  </si>
  <si>
    <t>see BUG-108 | BUG-108 verified fixed in R6</t>
  </si>
  <si>
    <t>S053-E08</t>
  </si>
  <si>
    <t>Add template: header line, footer note, order-lines table</t>
  </si>
  <si>
    <t>header line counter 12/200 with maxlength 200; footer note maxlength 500 with counter; 'QA-1013-R5 &lt;b&gt;bold&lt;/b&gt; &amp; "slip"' kept as text in the live preview (upper-cased) and in the list; Order-lines table switch on by default</t>
  </si>
  <si>
    <t>S053-E09</t>
  </si>
  <si>
    <t>Live preview panel</t>
  </si>
  <si>
    <t>live preview follows header, colour and logo edits with sample data; Layout Studio (advanced): toolbox of 10 blocks, artboard, inspector with position/size/content and field tokens; a Text block with '{{order.number}} | {{7*7}} | ${7*7} | &lt;b&gt;B&lt;/b&gt;' renders server-side (POST /label-templates/preview) as 'QA ORD-000123 | {{7*7}} | ${7*7} | &lt;b&gt;B&lt;/b&gt;' - tokens resolved, no expression evaluated, HTML escaped; Open as PDF / Download ZPL not clicked (downloads)</t>
  </si>
  <si>
    <t>S053-E10</t>
  </si>
  <si>
    <t>Save template / Save changes</t>
  </si>
  <si>
    <t>Save template -&gt; POST /api/v1/label-templates 200, opens 'Edit template #1'; second template for the same client + type -&gt; 500 (BUG-098, Templates added); leaving the editor with unsaved changes gives no warning</t>
  </si>
  <si>
    <t>see BUG-098</t>
  </si>
  <si>
    <t>S053-E11</t>
  </si>
  <si>
    <t>Preview dialog asks for an order number; 934193 renders a packing-slip PDF in the dialog; the PDF uses the order's own client template, not the one being previewed (BUG-109); retest of fix</t>
  </si>
  <si>
    <t>see BUG-109 | BUG-109 verified fixed in R7</t>
  </si>
  <si>
    <t>S053-E12</t>
  </si>
  <si>
    <t>in-app 'Delete template for QA-1013-R5-CL01 (PACKING_SLIP)? Orders will fall back to the resolution order (tenant -&gt; platform default).'; Delete -&gt; DELETE /api/v1/label-templates/1 200, 'Template deleted.'</t>
  </si>
  <si>
    <t>S054-E01</t>
  </si>
  <si>
    <t>title 'Custom Fields', description 'Per-tenant metadata on orders (PO number, department, marketplace order id) - flows through the form and order detail.'</t>
  </si>
  <si>
    <t>S054-E02</t>
  </si>
  <si>
    <t>re-reads GET /api/v1/custom-fields?tenantId=QA-1013-R5-CL01 (200)</t>
  </si>
  <si>
    <t>S054-E03</t>
  </si>
  <si>
    <t>Tenant scope selector</t>
  </si>
  <si>
    <t>select</t>
  </si>
  <si>
    <t>options Platform-wide (all tenants) / MKL246 / QA-1013-R5-CL01 / THB000; the QA client's name with quotes, '=', accents and Chinese shown as text; page opens on Platform-wide after a reload ('No custom fields defined for this scope yet.'); switching to the QA client lists its fields; wording 'Tenant scope' / 'Platform-wide (all tenants)' (BUG-110)</t>
  </si>
  <si>
    <t>see BUG-110. Platform-wide scope was only viewed, not written to.</t>
  </si>
  <si>
    <t>S054-E04</t>
  </si>
  <si>
    <t>Field grid (Order, Key, Label, Type, Required, Options, Active, Actions)</t>
  </si>
  <si>
    <t>columns Order, Key, Label, Type, Required, Options, Active, Actions; label 'QA-1013-R5 &lt;i&gt;Note&lt;/i&gt;' and options '&lt;b&gt;Beta&lt;/b&gt;' shown as text, not markup; empty state 'No custom fields defined for this scope yet.'</t>
  </si>
  <si>
    <t>S054-E05</t>
  </si>
  <si>
    <t>Dialog</t>
  </si>
  <si>
    <t>placeholder po_number, hint 'snake_case. Immutable once orders reference it.', focus lands here when the dialog opens; 'QA Field!' saved as 'QAField!' (BUG-112); duplicate key -&gt; 500 (BUG-098)</t>
  </si>
  <si>
    <t>see BUG-112, BUG-098</t>
  </si>
  <si>
    <t>S054-E06</t>
  </si>
  <si>
    <t>HTML in the label stored and shown as text in the grid and on the order form; 255 and 296 characters -&gt; 500; 14 characters saves (BUG-113); retest of fix</t>
  </si>
  <si>
    <t>see BUG-113 | BUG-113 verified fixed in R6</t>
  </si>
  <si>
    <t>S054-E07</t>
  </si>
  <si>
    <t>New field: Type and Options (comma-separated)</t>
  </si>
  <si>
    <t>types Text / Number / Date (YYYY-MM-DD) / Select; Options box (placeholder 'S, M, L, XL') appears only for Select; Select with no options refused: 'SELECT fields need comma-separated options.' under 'Something went wrong' (BUG-036); options stored verbatim with duplicates and a blank (BUG-112)</t>
  </si>
  <si>
    <t>see BUG-036, BUG-112</t>
  </si>
  <si>
    <t>S054-E08</t>
  </si>
  <si>
    <t>New field: Position</t>
  </si>
  <si>
    <t>defaults to the next free position (110, 120, 130); '-' cannot be typed (min 0); -5 becomes 05; 99999999999 refused with 400 'Request not understood - The request body isn't valid for this endpoint - check the field names and value types.' (no 500)</t>
  </si>
  <si>
    <t>S054-E09</t>
  </si>
  <si>
    <t>New field: Required on new shipments, Active</t>
  </si>
  <si>
    <t>Required ticked -&gt; the order form marks the field with '*'; Active ticked by default; active fields appear on the order form for that client</t>
  </si>
  <si>
    <t>Required was checked on the form only; no order was submitted to test enforcement, and an inactive field was not created (Edit is broken - BUG-111).</t>
  </si>
  <si>
    <t>S054-E10</t>
  </si>
  <si>
    <t>New field: Save, Cancel, close and Escape</t>
  </si>
  <si>
    <t>Save on an empty form: no request, toast 'Something went wrong - Key and label are both required.' (BUG-036); Save creates the definition: toast 'Done - Definition saved.', grid refreshes; Cancel closes without a request; Escape does not close the dialog; container has no role=dialog (accessibility suggestion)</t>
  </si>
  <si>
    <t>see BUG-036; accessibility gaps go in the accessibility suggestion</t>
  </si>
  <si>
    <t>S054-E11</t>
  </si>
  <si>
    <t>opens 'Edit custom field' prefilled; Save sends POST (create) -&gt; 500, references a6ebe214 and 3d12f9fb (BUG-111)</t>
  </si>
  <si>
    <t>see BUG-111</t>
  </si>
  <si>
    <t>S054-E12</t>
  </si>
  <si>
    <t>Row Move up / Move down</t>
  </si>
  <si>
    <t>both arrows disabled with a single row; with two rows Move down sends POST -&gt; 500, no message, order unchanged (BUG-111)</t>
  </si>
  <si>
    <t>S054-E13</t>
  </si>
  <si>
    <t>Row Delete (trash)</t>
  </si>
  <si>
    <t>native confirm 'Delete definition "QA-1013-R5 &lt;i&gt;Note&lt;/i&gt;"? Historic values remain on orders but no new values can be captured.' (BUG-075); Cancel sends nothing; OK sends DELETE /api/v1/custom-fields/{id} (200), toast 'Definition deleted.'</t>
  </si>
  <si>
    <t>S054-E14</t>
  </si>
  <si>
    <t>Order form 'Custom fields' section (where definitions are used)</t>
  </si>
  <si>
    <t>Integration</t>
  </si>
  <si>
    <t>Orders &gt; New, client QA-1013-R5-CL01: section 'Custom fields - Tenant-defined metadata' shows each active definition; label and Select options shown as text; Required marked '*'; GET /api/v1/custom-fields/applicable?tenantId=QA-1013-R5-CL01</t>
  </si>
  <si>
    <t>'Tenant-defined' wording is part of BUG-110.</t>
  </si>
  <si>
    <t>S055-E01</t>
  </si>
  <si>
    <t>title 'Printers', description 'Register network label and invoice printers, choose which printer each client prints on, and send test pages. Used by Send to printer on the Orders page.'</t>
  </si>
  <si>
    <t>S055-E02</t>
  </si>
  <si>
    <t>re-reads GET /api/v1/printers, /printers/assignments and /printers/tags/distinct (200)</t>
  </si>
  <si>
    <t>S055-E03</t>
  </si>
  <si>
    <t>Section tabs (Printers, Scanners, Labels, Invoices, Copies)</t>
  </si>
  <si>
    <t>each tab swaps the section and its intro text (Printers, Scanners, Labels, Invoices, Copies)</t>
  </si>
  <si>
    <t>S055-E04</t>
  </si>
  <si>
    <t>Printer search</t>
  </si>
  <si>
    <t>'199' matches by host; '%' -&gt; 'No printers match "%". Clear search' and counter 0 of 1; Clear search restores the list; filters in the page, no request</t>
  </si>
  <si>
    <t>S055-E05</t>
  </si>
  <si>
    <t>Printer grid (Printer, Connection, Address, Prints, Tags, Status, Actions)</t>
  </si>
  <si>
    <t>name, location and tags containing HTML shown as text; status values Not tested / Test failed (reason in tooltip) / Test OK / Switched off; new printer's tags appear once the list re-reads them</t>
  </si>
  <si>
    <t>S055-E06</t>
  </si>
  <si>
    <t>Add / Edit printer: Name and Location</t>
  </si>
  <si>
    <t>Printer form</t>
  </si>
  <si>
    <t>empty Save -&gt; 'Give the printer a name, e.g. "Dock 1 Zebra".' under Name; 'QA-1013-R5-PR01 &lt;b&gt;x&lt;/b&gt;' and location 'QA &lt;i&gt;bay&lt;/i&gt; "R5"' stored and shown as text</t>
  </si>
  <si>
    <t>S055-E07</t>
  </si>
  <si>
    <t>empty -&gt; 'Enter the printer's IP address or hostname.' under the box; 'not a host!' -&gt; 400, message shown under Name (BUG-114); 127.0.0.1 and localhost refused: 'is this server itself, not a printer'; 169.254.169.254 refused: 'link-local address ... that range holds the cloud metadata service' (SSRF guard); retest of fix</t>
  </si>
  <si>
    <t>see BUG-114 | BUG-114 verified fixed in R7</t>
  </si>
  <si>
    <t>S055-E08</t>
  </si>
  <si>
    <t>Add / Edit printer: Port</t>
  </si>
  <si>
    <t>text box; 'abc' becomes 0 -&gt; 'Port must be between 1 and 65535.'; 9100 and 80 accepted</t>
  </si>
  <si>
    <t>S055-E09</t>
  </si>
  <si>
    <t>Add / Edit printer: Connection, Prints, Paper</t>
  </si>
  <si>
    <t>Connection Network port (9100) / IPP; Prints ZPL / PDF / PCL; Paper 4x6 label / Letter / A4; edit to PDF + Letter saved and shown 'PDF Letter'; a PDF printer appears on the Invoices tab</t>
  </si>
  <si>
    <t>S055-E10</t>
  </si>
  <si>
    <t>Add / Edit printer: Detect formats</t>
  </si>
  <si>
    <t>192.0.2.12 (documentation range, no device) -&gt; after ~10 s 'The printer didn't answer, so its formats are unknown. If it's a label printer, choose Network port (9100) and ZPL.'</t>
  </si>
  <si>
    <t>S055-E11</t>
  </si>
  <si>
    <t>Add / Edit printer: Active and Tags</t>
  </si>
  <si>
    <t>Active ticked by default; tags added with comma or Enter; '&lt;img src=x&gt;' stored and shown as text; chip x removes a tag on Edit (PUT /printers/{id}/tags); tags removed with the printer (distinct tag list empty afterwards)</t>
  </si>
  <si>
    <t>S055-E12</t>
  </si>
  <si>
    <t>Add / Edit printer: Save printer, Cancel, close and Escape</t>
  </si>
  <si>
    <t>Save printer -&gt; 'Done - QA-1013-R5-PR01 &lt;b&gt;x&lt;/b&gt; saved.'; Cancel and x close without saving; dialog role=dialog with aria-label; focus stays on the button behind and Escape does not close it (accessibility suggestion)</t>
  </si>
  <si>
    <t>S055-E13</t>
  </si>
  <si>
    <t>Row Test print</t>
  </si>
  <si>
    <t>QA printer at 192.0.2.10:9100: POST /api/v1/printers/2/test -&gt; ~10 s -&gt; 'Test failed', tooltip 'Could not reach 192.0.2.10:9100 - Connect timed out'</t>
  </si>
  <si>
    <t>Not run on the real Samsung printer, which would print a page.</t>
  </si>
  <si>
    <t>S055-E14</t>
  </si>
  <si>
    <t>opens 'Edit QA-1013-R5-PR01 &lt;b&gt;x&lt;/b&gt;' prefilled; changes saved ('QA-1013-R5-PR01 edited saved.'); old test result kept after the address changed (BUG-115); retest of fix</t>
  </si>
  <si>
    <t>see BUG-115 | BUG-115 verified fixed in R7</t>
  </si>
  <si>
    <t>S055-E15</t>
  </si>
  <si>
    <t>Row Delete</t>
  </si>
  <si>
    <t>in-app 'Delete printer - Remove QA-1013-R5-PR01 edited? Keep / Delete'; printer, its tags and its column on Labels / Invoices removed</t>
  </si>
  <si>
    <t>S055-E16</t>
  </si>
  <si>
    <t>Row selection and bulk bar (Test, Deactivate, Delete)</t>
  </si>
  <si>
    <t>row tick shows '1 selected - Test 1 / Deactivate 1 / Delete 1 / x'; Deactivate: in-app 'Deactivate 1 printer? They'll stay in the list but stop receiving print jobs.' -&gt; status 'Switched off', active false</t>
  </si>
  <si>
    <t>Only the QA printer was ever selected; bulk Test and Delete were not run (delete was done from the row).</t>
  </si>
  <si>
    <t>S055-E17</t>
  </si>
  <si>
    <t>Scanners</t>
  </si>
  <si>
    <t>tenant picker lists the clients; panel 'Auto-detect (LAN scanner)' with Refresh, Enroll scanner, Scan for printers (disabled until a scanner exists: 'Enroll a LAN scanner first - nothing to nudge.'), Pick from scan ('Nothing here yet...'); Enroll shows the key once ('Scanner key (shown once)... We do not store the raw key anywhere retrievable'); Scan for printers -&gt; 'Scan requested - Nudged 1 scanner.'; any id / hostname accepted (BUG-117); 'tenant' wording (BUG-110); 'Add printers from scan' dialog does not close on Escape (accessibility suggestion); the scanner lists (GET /tenants/{client}/printer-scan-agents and /revoked) return apiKeyHash for every scanner (BUG-141); after the QA client was deleted the Tenant picker offers MKL246 and THB000 only; retest of fix</t>
  </si>
  <si>
    <t>see BUG-117, BUG-141 | BUG-117 verified fixed in R7</t>
  </si>
  <si>
    <t>BUG-117, BUG-141</t>
  </si>
  <si>
    <t>S055-E18</t>
  </si>
  <si>
    <t>Scanners: revoke and reactivate</t>
  </si>
  <si>
    <t>Revoke: in-app dialog, 'QA 1013 R5 &lt;b&gt;sc&lt;/b&gt; revoked - The scanner's key is now invalid.', moved under 'Revoked (1)'; Reactivate: in-app dialog warns the original key is re-armed and to re-enroll after a leak; answered Cancel</t>
  </si>
  <si>
    <t>The revoke dialog says 'You'll need to re-enroll ... to resume', which is not strictly true since Reactivate re-arms the key; minor wording only. Revoked scanners have no delete.</t>
  </si>
  <si>
    <t>S055-E19</t>
  </si>
  <si>
    <t>Labels</t>
  </si>
  <si>
    <t>Add a client adds a row; cell opens 'Route which docs from ... to ...?' with a Labels tick box; routing saved (assignment QA-1013-R5-CL01 LABEL -&gt; printer 2) and removed again by unticking; pop-over clipped inside the grid; Escape does not close it (BUG-116); retest of fix</t>
  </si>
  <si>
    <t>see BUG-116 | BUG-116 verified fixed in R7</t>
  </si>
  <si>
    <t>S055-E20</t>
  </si>
  <si>
    <t>Invoices routing grid (Add a client, cell pop-over)</t>
  </si>
  <si>
    <t>Invoices</t>
  </si>
  <si>
    <t>only PDF-capable printers shown (ZPL column absent); THB000 row routed to Samsung shows 'I'; same clipped pop-over (BUG-116); opened for the QA client and cancelled, nothing saved</t>
  </si>
  <si>
    <t>see BUG-116</t>
  </si>
  <si>
    <t>S055-E21</t>
  </si>
  <si>
    <t>Copies grid (per client and carrier)</t>
  </si>
  <si>
    <t>Copies</t>
  </si>
  <si>
    <t>boxes take 1..20: 0 and 21 refused with 'Invalid copies - Copies must be between 1 and 20' and kept as unsaved; 3 saved on Enter (rule QA-1013-R5-CL01 / FEDEX / 3); clearing the box removes the rule; THB000 rules (2 / 2) untouched</t>
  </si>
  <si>
    <t>'Tenant-wide' wording is part of BUG-110.</t>
  </si>
  <si>
    <t>S056-E01</t>
  </si>
  <si>
    <t>title 'Output Destinations', description 'Deliver generated labels + commercial invoices per client to a folder or an SFTP server. Every dispatch is also copied to the database. Printers are set up under Printers.'; link to Settings &gt; Printers in the panel intro</t>
  </si>
  <si>
    <t>S056-E02</t>
  </si>
  <si>
    <t>re-reads GET /api/v1/admin/output-destinations (200)</t>
  </si>
  <si>
    <t>S056-E03</t>
  </si>
  <si>
    <t>Filter by client code</t>
  </si>
  <si>
    <t>filter sent to the server encoded: ?clientCode=%25%27%3Cb%3E for "%'&lt;b&gt;" -&gt; 200, no error</t>
  </si>
  <si>
    <t>S056-E04</t>
  </si>
  <si>
    <t>Destination grid (Client, Doc type, Destination, Config summary, Active, Actions)</t>
  </si>
  <si>
    <t>columns Client, Doc type, Destination, Config summary, Active, Actions; empty state 'No destinations configured.'</t>
  </si>
  <si>
    <t>S056-E05</t>
  </si>
  <si>
    <t>No destination can be created (BUG-118), so there is no row to edit, switch or delete; existing list is empty.</t>
  </si>
  <si>
    <t>S056-E06</t>
  </si>
  <si>
    <t>New destination: Client code</t>
  </si>
  <si>
    <t>empty -&gt; 'Client code is required.' with no request (heading 'Something went wrong' - BUG-036); unknown code -&gt; 400 'Client QA-1013-R5-NOPE was not found. Create the client first, or fix the code (case-insensitive match).'</t>
  </si>
  <si>
    <t>Free-text box rather than a client picker.</t>
  </si>
  <si>
    <t>S056-E07</t>
  </si>
  <si>
    <t>New destination: Doc type and Destination type</t>
  </si>
  <si>
    <t>Doc type LABEL / COMMERCIAL_INVOICE and Destination type LOCAL_FS / SFTP shown as raw codes (BUG-110); switching type swaps the LOCAL_FS and SFTP fields</t>
  </si>
  <si>
    <t>see BUG-110</t>
  </si>
  <si>
    <t>S056-E08</t>
  </si>
  <si>
    <t>placeholder /var/labels/acme; '../../../../etc/qa-1013-r5' and '/tmp/qa-1013-r5' both end in 500 (BUG-118), so whether a path that climbs out of the folder is refused could not be judged</t>
  </si>
  <si>
    <t>see BUG-118; re-test path handling once Create works.</t>
  </si>
  <si>
    <t>S056-E09</t>
  </si>
  <si>
    <t>New destination: SFTP host, port, username, auth type, password, remote directory, known hosts</t>
  </si>
  <si>
    <t>password box type=password, autocomplete=new-password, not filled by the browser; hint 'Encrypted at rest. Never echoed back after save.'; Known hosts warns 'Without a pinned key the driver accepts any host on first connect (MITM-vulnerable).'; complete SFTP request still 500 (BUG-118)</t>
  </si>
  <si>
    <t>SFTP form now saves (BUG-118 fixed): host, port, username, auth type, password, remote directory, known hosts; the password is not echoed back. But host '' + username '' + port 99999 is accepted with 201 (BUG-159).</t>
  </si>
  <si>
    <t>S056-E10</t>
  </si>
  <si>
    <t>Create -&gt; 500 for every valid combination (BUG-118); Cancel and x close without saving; Escape does not close; container has no role=dialog (accessibility suggestion); retest of fix; Create saves LOCAL_FS and SFTP (201); Cancel and x close without saving; Escape closes the Edit dialog; Active toggle saved (inactive row shows 'Inactive')</t>
  </si>
  <si>
    <t>Container still has no role=dialog (accessibility suggestion from R5).</t>
  </si>
  <si>
    <t>S057-E01</t>
  </si>
  <si>
    <t>R5: description 'Outbound email provider - pick SMTP, SendGrid, SES or Postmark, edit host/port/creds, and send a live test message.' - the 'Config lives in mail_provider + mail_config' note is gone (BUG-049 fix holds)</t>
  </si>
  <si>
    <t>S057-E02</t>
  </si>
  <si>
    <t>re-reads GET /api/v1/admin/mail-providers/kinds, /mail-providers and /notification-templates (200)</t>
  </si>
  <si>
    <t>S057-E03</t>
  </si>
  <si>
    <t>Active mail provider panel</t>
  </si>
  <si>
    <t>Provider</t>
  </si>
  <si>
    <t>'No provider active - outbound emails are logged only. Add + activate one below.' while no provider is active (also after adding an inactive one)</t>
  </si>
  <si>
    <t>S057-E04</t>
  </si>
  <si>
    <t>Add provider: Kind, Display name, Preset</t>
  </si>
  <si>
    <t>Provider dialog</t>
  </si>
  <si>
    <t>Kind POSTMARK / SENDGRID / SES / SMTP shown as raw codes (BUG-110); SMTP presets (15): Gmail fills smtp.gmail.com : 587 and the hint 'Requires an App Password (2FA-enabled accounts only).'; display name with HTML stored and shown as text</t>
  </si>
  <si>
    <t>S057-E05</t>
  </si>
  <si>
    <t>Add provider: configuration fields (from address, token / SMTP host, port, username, password)</t>
  </si>
  <si>
    <t>opens with from_address 'admin' and the token filled by the browser's saved Multiship login; SMTP host 'admin' + password; kept after changing preset (BUG-086); labels are raw keys from_address / serverToken (BUG-110); password inputs have no autocomplete hint</t>
  </si>
  <si>
    <t>see BUG-086, BUG-110. Browser-filled values were replaced with test values before saving.</t>
  </si>
  <si>
    <t>S057-E06</t>
  </si>
  <si>
    <t>Add provider: Add provider, Cancel, close and Escape</t>
  </si>
  <si>
    <t>no display name -&gt; 'Something went wrong - Kind and display name are required.' (BUG-036); Add provider -&gt; 200 'Provider saved', active false; Escape closes this dialog; Cancel and x close without saving</t>
  </si>
  <si>
    <t>S057-E07</t>
  </si>
  <si>
    <t>Providers</t>
  </si>
  <si>
    <t>row: Kind, Name (HTML as text), Inactive chip, Updated, Edit / Activate / Delete; Updated shows UTC as local, 5 1/2 h behind (BUG-119); GET returns the token as '...' (masked), never the value; retest of fix</t>
  </si>
  <si>
    <t>see BUG-119 | BUG-119 verified fixed in R7</t>
  </si>
  <si>
    <t>S057-E08</t>
  </si>
  <si>
    <t>'Edit provider #1 - Change display name or update config. Kind cannot be moved.' Kind locked; secret box shows the mask with placeholder 'unchanged - type to replace'; saving a name change leaves the token out of the request; 'Provider updated.'</t>
  </si>
  <si>
    <t>S057-E09</t>
  </si>
  <si>
    <t>Row Activate</t>
  </si>
  <si>
    <t>Not clicked on purpose: activating the QA provider would send all of the platform's outbound email (invites, password resets) through a fake Postmark token.</t>
  </si>
  <si>
    <t>S057-E10</t>
  </si>
  <si>
    <t>in-app 'Please confirm - Delete this provider and all its config rows? Cancel / Confirm'; provider removed; list back to 'No providers yet.'</t>
  </si>
  <si>
    <t>S057-E11</t>
  </si>
  <si>
    <t>Notification templates list (Edit, Open editor)</t>
  </si>
  <si>
    <t>AUTH.VERIFY_EMAIL, AUTH.PASSWORD_RESET, AUTH.USER_INVITE (transactional), STAMPS.LOW_FUNDS_ALERT (opt-out) with their variables; Edit opens Settings &gt; Email Templates with that template selected; Open editor goes to the same page</t>
  </si>
  <si>
    <t>S057-E12</t>
  </si>
  <si>
    <t>Send test email (To, Subject, Body, Send test)</t>
  </si>
  <si>
    <t>Test email</t>
  </si>
  <si>
    <t>Send test is disabled with 'No active provider - add + activate one above first.'; nothing was sent</t>
  </si>
  <si>
    <t>The Subject placeholder reads 'shioai mail test', an internal name rather than Multiship (noted under BUG-061).</t>
  </si>
  <si>
    <t>Email Templates</t>
  </si>
  <si>
    <t>S058</t>
  </si>
  <si>
    <t>S058-E01</t>
  </si>
  <si>
    <t>title 'Email Templates', description 'Handlebars templates for every outbound email event (invite, verify, password reset, and future alerts). Live preview against a JSON var map before saving.'; reached from Mail &gt; Edit and Mail &gt; Open editor (/settings/notification-templates)</t>
  </si>
  <si>
    <t>S058-E02</t>
  </si>
  <si>
    <t>re-reads GET /api/v1/admin/notification-templates (200), keeps the selected template and resets the preview variables</t>
  </si>
  <si>
    <t>S058-E03</t>
  </si>
  <si>
    <t>Templates list</t>
  </si>
  <si>
    <t>AUTH.VERIFY_EMAIL, AUTH.PASSWORD_RESET, AUTH.USER_INVITE, STAMPS.LOW_FUNDS_ALERT; selecting one loads its key, Updated time, description, subject, body and sample variables</t>
  </si>
  <si>
    <t>S058-E04</t>
  </si>
  <si>
    <t>+ New (template key dialog)</t>
  </si>
  <si>
    <t>dialog 'New notification template - Key uses UPPERCASE.DOTTED convention (e.g. OPS.LOW_FUNDS)... Uppercase letters, digits, dots and underscores only.'</t>
  </si>
  <si>
    <t>Opened and cancelled. Create was not clicked: templates are platform-wide and the owner asked for no new templates in this run, so key validation and creation are untested.</t>
  </si>
  <si>
    <t>S058-E05</t>
  </si>
  <si>
    <t>Editor: Description, Users can opt out, Subject template, Body template</t>
  </si>
  <si>
    <t>fields show the stored values; subject and body use {{vars}} and {{#if}} blocks; 'Users can opt out' explained: visible under /settings/notifications, keep OFF for transactional events</t>
  </si>
  <si>
    <t>Read only; nothing typed into the stored fields.</t>
  </si>
  <si>
    <t>S058-E06</t>
  </si>
  <si>
    <t>Editor: Save and Delete</t>
  </si>
  <si>
    <t>Save and Delete not clicked: they change the platform's live email templates, which the owner asked to leave untouched in this run.</t>
  </si>
  <si>
    <t>S058-E07</t>
  </si>
  <si>
    <t>Preview: Variables (JSON) and Render preview</t>
  </si>
  <si>
    <t>Preview</t>
  </si>
  <si>
    <t>sample variables per template; Render preview -&gt; POST /api/v1/admin/notification-templates/preview shows SUBJECT and BODY; variables holding '&lt;b&gt;USER&lt;/b&gt;', 'QA&amp;&lt;i&gt;R5&lt;/i&gt;' and an &lt;img onerror&gt; are shown as plain text in the page; nothing rendered or ran; invalid JSON -&gt; box outlined red and 'Something went wrong - Vars must be valid JSON.' (BUG-036)</t>
  </si>
  <si>
    <t>see BUG-036. The renderer returns variable values unescaped ('&lt;b&gt;USER&lt;/b&gt;'), which is right for plain-text mail but would inject markup if these bodies are ever sent as HTML - checked further on the Email Delivery Log.</t>
  </si>
  <si>
    <t>Notifications</t>
  </si>
  <si>
    <t>S059</t>
  </si>
  <si>
    <t>S059-E01</t>
  </si>
  <si>
    <t>title 'Notifications', description 'Turn off alert-style emails you don't want to receive. Transactional emails (invite, verify, password reset) always send.' (repeated almost word for word in the panel below)</t>
  </si>
  <si>
    <t>S059-E02</t>
  </si>
  <si>
    <t>re-reads GET /api/v1/me/notification-subscriptions (per signed-in user)</t>
  </si>
  <si>
    <t>S059-E03</t>
  </si>
  <si>
    <t>Notification preferences list (event, description)</t>
  </si>
  <si>
    <t>Preferences</t>
  </si>
  <si>
    <t>one opt-out event listed, matching the only template with 'Users can opt out' on Email Templates; event shown by its raw key and developer description with the template variables (BUG-110)</t>
  </si>
  <si>
    <t>S059-E04</t>
  </si>
  <si>
    <t>On / off toggle per event</t>
  </si>
  <si>
    <t>checkbox ticked ('On') for admin; labelled only 'On', not by the event it controls (accessibility suggestion)</t>
  </si>
  <si>
    <t>Not switched: it is the admin account's own preference and the run keeps account settings unchanged.</t>
  </si>
  <si>
    <t>S060-E01</t>
  </si>
  <si>
    <t>title 'External Systems', description 'DB-driven connection manager for external systems (Oracle WMS today, REST/gRPC/SFTP later). Set host/port/creds/pool params + per-tenant login overrides + test the connection live.'; panel: 'DB-driven connections to systems outside multiship: Oracle WMS (NDS today), REST integrations, SFTP, etc. Registered connectors: NDS_ORACLE, REST_JSON'</t>
  </si>
  <si>
    <t>Road-map and implementation wording of the kind BUG-061 covers; listed under BUG-061.</t>
  </si>
  <si>
    <t>S060-E02</t>
  </si>
  <si>
    <t>Refresh and Reload</t>
  </si>
  <si>
    <t>Reload and the page Refresh both re-read GET /api/v1/admin/external-systems and /connectors (200)</t>
  </si>
  <si>
    <t>The first Reload of the morning came back 401 because the overnight session had expired; the app returned to the sign-in page, as expected.</t>
  </si>
  <si>
    <t>S060-E03</t>
  </si>
  <si>
    <t>Connection grid (Name, System type, Active, Health, Updated, Actions)</t>
  </si>
  <si>
    <t>one row: nds-default with PROD and DEFAULT chips, NDS_ORACLE, Inactive, Health 'Check', Updated 10/8/2026 12:28:59 PM by admin, actions Test / Edit / Delete</t>
  </si>
  <si>
    <t>S060-E04</t>
  </si>
  <si>
    <t>Row Check health and Test (dial the connection)</t>
  </si>
  <si>
    <t>Check and Test ('Dial the connection') not clicked: they open a live connection to the production Oracle WMS at 192.168.3.8:1521.</t>
  </si>
  <si>
    <t>S060-E05</t>
  </si>
  <si>
    <t>Delete not clicked: it would remove the production connection.</t>
  </si>
  <si>
    <t>S060-E06</t>
  </si>
  <si>
    <t>Add connection drawer (Name, System type, Active, Environment, Use DEV, Config JSON)</t>
  </si>
  <si>
    <t>Drawer</t>
  </si>
  <si>
    <t>New connection drawer: Name, System type (NDS_ORACLE / REST_JSON), Active, Environment (PROD / DEV), Use DEV, Config (JSON) with a 'valid JSON' check; note 'Passwords go in the Secrets tab, not here.'; opened and cancelled; nothing saved</t>
  </si>
  <si>
    <t>System type options show Java class names ('NDS_ORACLE - NdsOracleConfig', 'REST_JSON - RestExternalConfig'); listed under BUG-061.</t>
  </si>
  <si>
    <t>S060-E07</t>
  </si>
  <si>
    <t>Edit drawer &gt; Details</t>
  </si>
  <si>
    <t>Name and Environment locked after create ('Name is immutable after create.', 'Delete + recreate to change.'); config holds host, port, serviceName, serverMode, productionUsername, clientCodePattern and pool settings - no password in the JSON; Active note: controls the Oracle DTC sync and the scheduled DTC_SYNC job</t>
  </si>
  <si>
    <t>Viewed only; Cancel.</t>
  </si>
  <si>
    <t>S060-E08</t>
  </si>
  <si>
    <t>fields to write back (tracking number, shipment date, status, carrier, service, freight) ticked; sources Manual, External API, WMS fetch, D2C History ticked, Bulk unticked; channels D2C and B2B; routed clients MKL274 and THB000 - MKL274 is not a client (BUG-121); on-void note names database tables and columns (CLIPPER, OE_TRACKING, TB_MANUAL_SHIPMENT, VOID_YN); retest of fix</t>
  </si>
  <si>
    <t>see BUG-121; the table names are listed under BUG-061. Viewed only. | BUG-121 verified fixed in R7</t>
  </si>
  <si>
    <t>S060-E09</t>
  </si>
  <si>
    <t>'Values are AES-256-GCM encrypted at rest. Existing secrets aren't shown'; secret key productionPassword; plaintext box type=password, autocomplete=new-password, not browser-filled; Save secret enabled while empty; empty save deletes the secret (BUG-122); retest of fix</t>
  </si>
  <si>
    <t>see BUG-122. Save secret not clicked. | BUG-122 verified fixed in R6</t>
  </si>
  <si>
    <t>S060-E10</t>
  </si>
  <si>
    <t>'No overrides set.'; Add override row (Client code, Username, Password - password type, not browser-filled); default per-client login rule 'username = password = clientCode' (BUG-120)</t>
  </si>
  <si>
    <t>see BUG-120. Nothing added.</t>
  </si>
  <si>
    <t>S061-E01</t>
  </si>
  <si>
    <t>title 'DTC Scheduler', description 'When the Oracle DTC order sync and the automatic label generation run, each on its own schedule. Set days, hours and how often; changes apply within a minute.'</t>
  </si>
  <si>
    <t>S061-E02</t>
  </si>
  <si>
    <t>Reload and Refresh re-read GET /api/v1/admin/dtc-scheduler (200)</t>
  </si>
  <si>
    <t>S061-E03</t>
  </si>
  <si>
    <t>Master switch (Scheduler is off / on)</t>
  </si>
  <si>
    <t>Scheduler</t>
  </si>
  <si>
    <t>'Scheduler is off - No job runs on its own while this is off. Run now still works for testing.'</t>
  </si>
  <si>
    <t>Not switched: turning it on starts the jobs against the production Oracle WMS and the carriers.</t>
  </si>
  <si>
    <t>S061-E04</t>
  </si>
  <si>
    <t>Time zone and Save</t>
  </si>
  <si>
    <t>placeholder 'Server time (Asia/Calcutta)'; Save disabled until something is typed</t>
  </si>
  <si>
    <t>Time zone not changed.</t>
  </si>
  <si>
    <t>S061-E05</t>
  </si>
  <si>
    <t>Reset to defaults</t>
  </si>
  <si>
    <t>Reset to defaults not clicked: it rewrites every job's schedule.</t>
  </si>
  <si>
    <t>S061-E06</t>
  </si>
  <si>
    <t>Job cards (DTC sync and labels, DTC label generation, Carrier end-of-day close, USPS postage auto-refill): switch, last run, status</t>
  </si>
  <si>
    <t>Jobs</t>
  </si>
  <si>
    <t>four jobs with descriptions; DTC sync and labels switched on (DTC_SYNC enabled), the other three off; each shows 'Last run: never' and 'Not scheduled - master switch is off.'</t>
  </si>
  <si>
    <t>S061-E07</t>
  </si>
  <si>
    <t>Job History drawer</t>
  </si>
  <si>
    <t>'DTC sync and labels - run history. Last 100 runs. Kept for 30 days.' columns Started, Status, Took, By, Result; 'No runs yet.'; GET /api/v1/admin/dtc-scheduler/jobs/DTC_SYNC/runs; Escape closes the drawer</t>
  </si>
  <si>
    <t>S061-E08</t>
  </si>
  <si>
    <t>Job Run now</t>
  </si>
  <si>
    <t>Run now not clicked on any job: it pulls live orders from Oracle WMS, generates labels, closes out at the carriers or buys USPS postage.</t>
  </si>
  <si>
    <t>S061-E09</t>
  </si>
  <si>
    <t>Schedule windows (On, Name, Days, Runs, Time, Every, delete), Add window, Discard, Save changes</t>
  </si>
  <si>
    <t>DTC sync windows: Weekday morning MO-FR 06:00-11:59 every 5 min, Weekday peak 12:00-21:59 every 1, Weekday night 22:00-05:59 every 30, Weekend SA-SU 00:00-23:59 every 5; footer 'Last changed by V132 . 10/8/2026, 8:01:21 AM' (V134, V135, V140 on the other jobs) - a migration number shown as the person who made the change</t>
  </si>
  <si>
    <t>Windows were read, not edited. The 'Last changed by V1xx' footers are listed under BUG-061.</t>
  </si>
  <si>
    <t>S061-E10</t>
  </si>
  <si>
    <t>Week at a glance</t>
  </si>
  <si>
    <t>heat map matches the windows (weekday daytime darkest at 1 min, nights lighter, weekend at 5 min); legend every 1 min / &lt;= 5 / &lt;= 15 / longer / once a day / off</t>
  </si>
  <si>
    <t>S061-E11</t>
  </si>
  <si>
    <t>Only lines from the last (hours) 24, Max batches per run 20 (min 1); Tenants: 'All tenants' pressed, 'ARHDEV' - not a Multiship client (query BUG-124)</t>
  </si>
  <si>
    <t>see BUG-124 (query). Viewed only.</t>
  </si>
  <si>
    <t>S062-E01</t>
  </si>
  <si>
    <t>title 'System', description 'Admin-managed encrypted secrets - OpenAI key and other overrides for env vars. AES-GCM at rest.'</t>
  </si>
  <si>
    <t>S062-E02</t>
  </si>
  <si>
    <t>re-reads GET /api/v1/admin/system-settings (200)</t>
  </si>
  <si>
    <t>S062-E03</t>
  </si>
  <si>
    <t>Tenant settings</t>
  </si>
  <si>
    <t>tenant picker lists the three clients with names shown as text; QA client: 'This tenant hasn't picked its order channels yet. Until you Save a choice below, every external API POST + WMS pull for QA-1013-R5-CL01 returns 403 TENANT_CHANNEL_NOT_ENABLED.'; choices D2C only / B2B only / Both; section text still 'Unconfigured tenants reject all intake with 403TENANT_CHANNEL_NOT_ENABLED.' (BUG-061, and the space before the code is missing); R6: picker shows '- pick a tenant -' but the warning names the deleted QA-1013-R5-CL01; Save (blocked in the page) sends PUT /tenants/QA-1013-R5-CL01/settings/enabled-channels (BUG-147)</t>
  </si>
  <si>
    <t>see BUG-061, BUG-147</t>
  </si>
  <si>
    <t>S062-E04</t>
  </si>
  <si>
    <t>NDS fallbacks (tenant, recipient phone, notify email, default weight, when weight is missing, Save)</t>
  </si>
  <si>
    <t>QA client: placeholders show the platform defaults (+1 616 772 3513, support@thbred.com, 1.0 lb); when weight is missing Use default (warn) / Block the order; Save disabled until a change</t>
  </si>
  <si>
    <t>Viewed only.</t>
  </si>
  <si>
    <t>S062-E05</t>
  </si>
  <si>
    <t>Ship-from defaults (tenant, name, phone, address, country code, Save shipper defaults)</t>
  </si>
  <si>
    <t>'Using platform default' chip; fields Name, Phone, Address 1-2, City, State / Region, Postal code, Country code (ISO-2) with the defaults as placeholders; R6: Save shipper defaults (blocked in the page) sends PUT /tenants/QA-1013-R5-CL01/settings/shipper-defaults for the deleted tenant while the picker shows '- pick a client -' (BUG-147)</t>
  </si>
  <si>
    <t>see BUG-147</t>
  </si>
  <si>
    <t>S062-E06</t>
  </si>
  <si>
    <t>openai.api-key (masked value, replace, Save)</t>
  </si>
  <si>
    <t>Secrets</t>
  </si>
  <si>
    <t>shows '****TGMA'; the API returns only maskedValue, never the key; replace box type=password, autocomplete=new-password, not browser-filled</t>
  </si>
  <si>
    <t>Save not clicked.</t>
  </si>
  <si>
    <t>S062-E07</t>
  </si>
  <si>
    <t>carrier.stamps.api-flavor (SWSIM / SERA, Apply)</t>
  </si>
  <si>
    <t>current SERA (default SWSIM); description explains both flavours</t>
  </si>
  <si>
    <t>Apply not clicked.</t>
  </si>
  <si>
    <t>S062-E08</t>
  </si>
  <si>
    <t>USPS_PROVIDER (STAMPS_COM / PROVISIONING_USPS_DIRECT / USPS_DIRECT, Apply)</t>
  </si>
  <si>
    <t>current STAMPS_COM; options STAMPS_COM / PROVISIONING_USPS_DIRECT / USPS_DIRECT; description reads like developer notes: '3-value state machine', 'seed USPS_PLATFORM_CLIENT_ID + USPS_PLATFORM_CLIENT_SECRET' (BUG-061)</t>
  </si>
  <si>
    <t>see BUG-061. Apply not clicked.</t>
  </si>
  <si>
    <t>S062-E09</t>
  </si>
  <si>
    <t>USPS_PLATFORM_CLIENT_ID and USPS_PLATFORM_CLIENT_SECRET (Save)</t>
  </si>
  <si>
    <t>both 'not set'; password-type boxes with autocomplete=new-password, not browser-filled</t>
  </si>
  <si>
    <t>S062-E10</t>
  </si>
  <si>
    <t>Deployment prerequisite note</t>
  </si>
  <si>
    <t>'Deployment prerequisite: the backend needs the SECRETS_ENCRYPTION_KEY environment variable set to a base64-encoded 32-byte random value. Without it, save will fail with a "not configured" error.' shown on the page (BUG-061)</t>
  </si>
  <si>
    <t>see BUG-061</t>
  </si>
  <si>
    <t>S063-E01</t>
  </si>
  <si>
    <t>R5: description 'Rules that turn raw carrier error payloads into humanized sentences. Read-only.' - the class name CarrierErrorMessages and 'edit via SQL today' are gone (BUG-061 fixed here)</t>
  </si>
  <si>
    <t>S063-E02</t>
  </si>
  <si>
    <t>re-reads GET /api/v1/admin/carrier-error-messages (200)</t>
  </si>
  <si>
    <t>S063-E03</t>
  </si>
  <si>
    <t>5 rules (10-50), carrier 'any', match patterns shown as separate chips, messages with a {carrier} placeholder; rule 30 points to 'Settings -&gt; Carriers' (BUG-126); read-only: no add, edit or delete controls; retest of fix</t>
  </si>
  <si>
    <t>see BUG-126 | BUG-126 verified fixed in R6</t>
  </si>
  <si>
    <t>S064-E01</t>
  </si>
  <si>
    <t>title 'Logs', description 'Error, shipment and user-activity logs in one table - who did what, which labels generated or failed, and why. Filter by category, order number, actor and date.'</t>
  </si>
  <si>
    <t>S064-E02</t>
  </si>
  <si>
    <t>re-reads GET /api/v1/audit-log and keeps the current page</t>
  </si>
  <si>
    <t>S064-E03</t>
  </si>
  <si>
    <t>Category tabs (All logs, Errors, Shipments, User activity)</t>
  </si>
  <si>
    <t>All logs 34,622 = Errors 993 + Shipments 33,399 + User activity 230 (category=ERROR / SHIPMENT / ACTIVITY); Errors holds CARRIER_REJECTED and LOGIN_FAILED rows ('Invalid username or password')</t>
  </si>
  <si>
    <t>S064-E04</t>
  </si>
  <si>
    <t>Order # filter</t>
  </si>
  <si>
    <t>934193 -&gt; orderNo=934193, one row: '#934193 ... FEDEX label on account 740561111 . billable 296.9100 USD'</t>
  </si>
  <si>
    <t>Amounts are shown with four decimals (296.9100 USD).</t>
  </si>
  <si>
    <t>S064-E05</t>
  </si>
  <si>
    <t>Search entity key</t>
  </si>
  <si>
    <t>'QA13R5' style keys found; '%' returns all 34,622 rows and 'QA13_5' matches QA13R5 - LIKE wildcards not escaped (BUG-022); R7: '%', '_' and 'QA-10__' return 0 entries (wildcards escaped); 'QA-1016' returns 6 and 'QA-1013' 22</t>
  </si>
  <si>
    <t>R7: search by entity key now treats % and _ literally (BUG-022 verified fixed on this screen too).</t>
  </si>
  <si>
    <t>S064-E06</t>
  </si>
  <si>
    <t>Actor, Entity type, Action, Since, Until; closes on Escape; type and action lists miss most logged values (BUG-129); R7: Entity type and Action lists compared with the entries in the log</t>
  </si>
  <si>
    <t>R7: AUTH, ORDER, LOGIN, LOGIN_FAILED and LABEL_GENERATED can now be picked, but ATTACH_WAREHOUSE (15 entries) and DETACH_WAREHOUSE (2) cannot, and LOGOUT and seven offered entity types never occur (BUG-129). Date boxes were not typed into.</t>
  </si>
  <si>
    <t>S064-E07</t>
  </si>
  <si>
    <t>Export CSV = link to /api/v1/audit-log/export: whole log, 5.8 MB, filters ignored; Export = current page only (25 rows, 7 columns); no cell starts with = + @ (CSV-injection safe); retest of fix; R7: 'Export all (CSV)' link follows category and order filters; 'Export' saves only the current page; tooltips read</t>
  </si>
  <si>
    <t>R7: the full export is now labelled 'Export all (CSV)' and follows the filters (BUG-127 fixed); residual: the plain 'Export' label does not say 'this page'. Downloads intercepted in the page.</t>
  </si>
  <si>
    <t>S064-E08</t>
  </si>
  <si>
    <t>Columns, Density, page size, paging, entry count</t>
  </si>
  <si>
    <t>25 / page default; &gt; goes to page 2 of 1385 (page=1); count '34622 entries'; Columns and Density are the shared grid controls exercised in depth on Carrier Accounts (S041)</t>
  </si>
  <si>
    <t>At 1442 px the Entity and Notes columns sit off to the right and need the grid's horizontal scroll.</t>
  </si>
  <si>
    <t>S064-E09</t>
  </si>
  <si>
    <t>row chevron opens 'Row #34620 . CARRIER_ACCOUNT . UPDATE . UPS . QA13R5' with the change as JSON in a panel below the grid; account snapshot shows clientIdPreview 'qa-1...id' - no secret values in the log; R7: times of the newest entries compared with the clock and with the API's createdAt</t>
  </si>
  <si>
    <t>R7: every entry is dated 5 1/2 hours in the future since the BUG-119 time-zone fix (BUG-160); row details and the change JSON unchanged.</t>
  </si>
  <si>
    <t>S064-E10</t>
  </si>
  <si>
    <t>changes on Shipping Catalog, Code Maps, Carrier Limits, Cutoffs &amp; Holidays, Importer / Broker, Templates, Custom Fields, Printers and Mail made in this run are absent (BUG-128); R7: created, edited and deleted QA records on ten Settings screens, then read Logs and queried every entity type</t>
  </si>
  <si>
    <t>R7: none of today's Settings changes (Custom Fields, Output Destinations, Mail, Templates, Code Maps, Cutoffs &amp; Holidays, Carrier Limits, Importer / Broker, Printers and scanner, External Systems) is in the log; only CLIENT, WAREHOUSE, CARRIER_ACCOUNT, AUTH and ORDER entries appear (BUG-128).</t>
  </si>
  <si>
    <t>S065-E01</t>
  </si>
  <si>
    <t>title 'Carrier API Log', description 'Per-request carrier API round-trips with request / response bodies. Infrastructure present; connector wiring lands as follow-ups.' (BUG-061)</t>
  </si>
  <si>
    <t>S065-E02</t>
  </si>
  <si>
    <t>re-reads the current page (GET /api/v1/admin/carrier-api-log?page=1&amp;size=50)</t>
  </si>
  <si>
    <t>S065-E03</t>
  </si>
  <si>
    <t>Carrier: 'UPS' -&gt; 412 rows, 'ups' -&gt; 0; a request per keystroke; Order no. 934193 -&gt; 0 rows; no row has an order or tracking number (BUG-131); retest of fix; R7: Carrier filter 'USPS' and 'unknown' (case-insensitive) return 162 and 915 rows</t>
  </si>
  <si>
    <t>R7: Order no. and Tracking now match (BUG-131 verified fixed); the Carrier filter accepts USPS and STAMPS for Stamps.com, but 915 older Stamps rows are labelled UNKNOWN (BUG-162).</t>
  </si>
  <si>
    <t>S065-E04</t>
  </si>
  <si>
    <t>1,731 rows, newest first: When, Carrier, Method, URL, Status, Order, Latency; times are UTC shown as local - 5 1/2 h behind (BUG-119); balance checks appear only in bursts at sign-in (07:32 and 07:45 local), no runaway polling; R7: Carrier column and times compared across all 1,831 rows (10 pages of 200 via the API)</t>
  </si>
  <si>
    <t>R7: times are right on this screen (BUG-119 verified fixed); 915 of 1,831 rows (every Stamps.com call before 12 Oct) read UNKNOWN in the Carrier column (BUG-162).</t>
  </si>
  <si>
    <t>S065-E05</t>
  </si>
  <si>
    <t>opening a row loads GET /api/v1/admin/carrier-api-log/{id} with request and response bodies; new token requests mask client_id, client_secret, refresh_token and access_token (BUG-065 fixed); 68 older token requests still show client_id in clear (BUG-130); R7: all 108 oauth/token rows read through the detail call and checked for field shape only (values not copied); R7: one older Stamps row opened in the page and its fields checked for shape; R7: 71 rows across every URL pattern checked for credential-like fields</t>
  </si>
  <si>
    <t>R7: client_id is masked on all 96 rows that carry one (BUG-130 fixed), and every token row from 12 Oct 10:42 on masks client_secret, refresh_token and access_token; the 68 older token exchanges (ids 1-1580) still show client_secret, refresh_token and access_token in clear (BUG-161). No Authorization header is stored; the other 71 sampled rows hold no credential-like field.</t>
  </si>
  <si>
    <t>BUG-130, BUG-161</t>
  </si>
  <si>
    <t>S065-E06</t>
  </si>
  <si>
    <t>Paging (Prev / Next, Showing N of M)</t>
  </si>
  <si>
    <t>'Showing 50 of 1731 . page 1 / 35'; Next -&gt; page 2 / 35 (page=1); Prev at the foot of the page</t>
  </si>
  <si>
    <t>S066-E01</t>
  </si>
  <si>
    <t>title 'Email Delivery Log', description 'Every outbound-email dispatch - SENT and FAILED - with template, provider, latency, and error. Retry any row to re-send the same message.'</t>
  </si>
  <si>
    <t>S066-E02</t>
  </si>
  <si>
    <t>re-reads GET /api/v1/admin/notification-delivery-log (200)</t>
  </si>
  <si>
    <t>S066-E03</t>
  </si>
  <si>
    <t>Filters (Template key, Status, Recipient contains, Reset filters)</t>
  </si>
  <si>
    <t>Recipient 'qa-1013' -&gt; 3 rows (server-side, recipient=qa-1013); Status FAILED -&gt; 'No delivery rows match those filters.'; Reset filters clears all three boxes and reloads 7 rows; '%' returns every row - LIKE wildcard not escaped (BUG-022)</t>
  </si>
  <si>
    <t>S066-E04</t>
  </si>
  <si>
    <t>7 rows, all AUTH.USER_INVITE; recipient '"qa-1013-r5-&lt;i&gt;x&lt;/i&gt;"@example.com' shown as text - escaped; SENT with no provider (BUG-132); times UTC shown as local (BUG-119); retest of fix</t>
  </si>
  <si>
    <t>see BUG-132, BUG-119 | BUG-132 verified fixed in R6</t>
  </si>
  <si>
    <t>S066-E05</t>
  </si>
  <si>
    <t>Row Retry</t>
  </si>
  <si>
    <t>Retry not clicked: it re-sends the stored message.</t>
  </si>
  <si>
    <t>S066-E06</t>
  </si>
  <si>
    <t>API rows hold subject and full body, including the invite link with its token (BUG-133); retest of fix</t>
  </si>
  <si>
    <t>see BUG-133 | BUG-133 verified fixed in R6</t>
  </si>
  <si>
    <t>S067-E01</t>
  </si>
  <si>
    <t>title 'Writeback Journal', description 'Every external-system writeback dispatch - PENDING, OK, SKIPPED and FAILED - with connection, order and latency. Retry any failed row to re-fire through the dispatcher.'</t>
  </si>
  <si>
    <t>S067-E02</t>
  </si>
  <si>
    <t>re-reads GET /api/v1/admin/writeback-journal (200)</t>
  </si>
  <si>
    <t>S067-E03</t>
  </si>
  <si>
    <t>Order no. 934193 -&gt; 1 row (orderNo=934193); OK -&gt; 1 row; Reset filters restores 280; SKIPPED never matches the stored SKIPPED_INACTIVE (BUG-134); retest of fix</t>
  </si>
  <si>
    <t>see BUG-134 | BUG-134 verified fixed in R7</t>
  </si>
  <si>
    <t>S067-E04</t>
  </si>
  <si>
    <t>Journal grid (When, Connection, Mode, Order, Status, Latency, Actions)</t>
  </si>
  <si>
    <t>280 rows: connection nds-default (NDS_ORACLE chip), mode GENERATE, orders 9341xx, status SKIPPED_INACTIVE (raw code), latency '-'; the two sandbox orders made in this run (#934192, #934193) are journalled and skipped because the connection is inactive; times UTC shown as local (BUG-119)</t>
  </si>
  <si>
    <t>see BUG-134, BUG-119</t>
  </si>
  <si>
    <t>S067-E05</t>
  </si>
  <si>
    <t>Retry shown on every row, OK and skipped alike (BUG-134)</t>
  </si>
  <si>
    <t>Not clicked: it re-fires a writeback to the production Oracle WMS connection.</t>
  </si>
  <si>
    <t>S068-E01</t>
  </si>
  <si>
    <t>title 'Alerts History', description 'Durable record of fired alerts (USPS fallback, Stamps SERA, future). Filter by source, tenant and order.' - the 'future' road-map note (BUG-061)</t>
  </si>
  <si>
    <t>S068-E02</t>
  </si>
  <si>
    <t>re-reads GET /api/v1/admin/alerts/history (200)</t>
  </si>
  <si>
    <t>S068-E03</t>
  </si>
  <si>
    <t>Filters (Source, Tenant code, Order no.)</t>
  </si>
  <si>
    <t>Source STAMPS_SERA_REFRESH_FAILED -&gt; 1 row (exact code, source=...); clearing the box restores 9 rows</t>
  </si>
  <si>
    <t>Tenant and Order filters cannot match anything because no alert stores them (BUG-135).</t>
  </si>
  <si>
    <t>S068-E04</t>
  </si>
  <si>
    <t>9 alerts: Fired, Source (raw code), Tenant, Order, Reason; Reason humanised, raw text in the tooltip (BUG-066 fixed); no tenant or order on any alert (BUG-135)</t>
  </si>
  <si>
    <t>see BUG-135</t>
  </si>
  <si>
    <t>S001-E48</t>
  </si>
  <si>
    <t>Return tab: Reason, RMA #, Return of #, Print / Email to customer</t>
  </si>
  <si>
    <t>Return tab: 'Reverse label - the customer ships back to your address. Billed to your account.'; Print / Email to customer; RMA # and Return of # optional; Reason* with red asterisk: Wrong item / Defective / No longer needed / Size / Other; no reason -&gt; 'Return reason required ...' toast, no request (BUG-067 fixed); changing the reason after a check asks to validate again</t>
  </si>
  <si>
    <t>S001-E49</t>
  </si>
  <si>
    <t>customer block opens pre-filled with the client's warehouse (8191 Logistics Dr, Zeeland MI 49464, +1 616-772-3513); no customer email -&gt; 'Return labels need the customer's email (in "Return from - customer")...' (blocks Generate); origin = destination accepted (BUG-136); keyboard entry of a real customer address is sent correctly in the validate and label requests</t>
  </si>
  <si>
    <t>see BUG-136</t>
  </si>
  <si>
    <t>BUG-136, BUG-149</t>
  </si>
  <si>
    <t>S069-E01</t>
  </si>
  <si>
    <t>title 'Returns Analytics', description 'Weekly rollup of return reasons (Wrong item, Defective, No longer needed, Size, Other, Unknown) over a chosen lookback window.'</t>
  </si>
  <si>
    <t>S069-E02</t>
  </si>
  <si>
    <t>re-reads GET /api/v1/admin/analytics/returns/reason-rollup?weeks=12</t>
  </si>
  <si>
    <t>S069-E03</t>
  </si>
  <si>
    <t>Lookback window (4 / 12 / 26 / 52 weeks) and return count</t>
  </si>
  <si>
    <t>4 / 12 / 26 / 52 weeks; 4 -&gt; 'Since 2026-09-16', one week row; 12 -&gt; 'Since 2026-07-22'; count reads '1 returns' (BUG-106)</t>
  </si>
  <si>
    <t>see BUG-106. Put back to 12 weeks.</t>
  </si>
  <si>
    <t>S069-E04</t>
  </si>
  <si>
    <t>Reason rollup grid (week, Wrong item, Defective, No longer needed, Size, Other, Unknown, Total, Totals)</t>
  </si>
  <si>
    <t>week 2026-10-12: Defective 1, Total 1 - the sandbox return #934194 made in this run (BUG-067 fixed); week 2026-09-07: Unknown 11 (old returns, unchanged); Totals 0 / 1 / 0 / 0 / 0 / 11 / 12</t>
  </si>
  <si>
    <t>S070-E01</t>
  </si>
  <si>
    <t>404 message that names the requested path</t>
  </si>
  <si>
    <t>/this-does-not-exist, /orders/not-a-real-page/xyz and /settingsx/foo each keep the typed address and read 'Nothing lives at &lt;path&gt;. Check the link, or jump back to the dashboard.'</t>
  </si>
  <si>
    <t>S070-E02</t>
  </si>
  <si>
    <t>Actions</t>
  </si>
  <si>
    <t>Link goes to /dashboard; Label colour rgb(31, 21, 12) on navy oklch(0.208 0.042 265.755): contrast about 1:1 - BUG-152</t>
  </si>
  <si>
    <t>S070-E03</t>
  </si>
  <si>
    <t>Back button</t>
  </si>
  <si>
    <t>Label readable</t>
  </si>
  <si>
    <t>Status</t>
  </si>
  <si>
    <t>Elements</t>
  </si>
  <si>
    <t>N/A</t>
  </si>
  <si>
    <t>Bugs</t>
  </si>
  <si>
    <t>Partial</t>
  </si>
  <si>
    <t>Client, carrier, ship from, ship to, service, packages, customs, importer, items, shipment check, Validate / Generate label; Return tab added in R5 | Left untested: Duties paid by, AES ITN, Pickup type (FedEx) and Item SKU stayed on their defaults in the R1 combination run, and R5 re-walked this form only for the bug steps</t>
  </si>
  <si>
    <t>/orders/new (dialog opened from Importer of record &amp; customs broker &gt; Add)</t>
  </si>
  <si>
    <t>Left untested: Tax ID and EORI left empty; not exercised</t>
  </si>
  <si>
    <t>Left untested: Download PDF, Download .zpl and Print Label - a download needs Manoj's go-ahead and Print can reach a real printer. Commercial Invoice, Copy ZPL, Track and Track live were exercised in R5.</t>
  </si>
  <si>
    <t>Done</t>
  </si>
  <si>
    <t>Checked with the browser session for all 128 orders of the run</t>
  </si>
  <si>
    <t>/settings</t>
  </si>
  <si>
    <t>/settings/clients</t>
  </si>
  <si>
    <t>/settings/warehouses</t>
  </si>
  <si>
    <t>/settings/address-book</t>
  </si>
  <si>
    <t>/settings/users</t>
  </si>
  <si>
    <t>/settings/roles</t>
  </si>
  <si>
    <t>/settings/clients/new ; /settings/clients/{code}</t>
  </si>
  <si>
    <t>8 steps: Identity, Ship From, Return, Carriers, Mapping, Markup, Importer, Summary. Edit mode: Cancel / Save changes ('Identity + addresses only'); Carriers, Mapping, Markup and Importer steps save on their own.</t>
  </si>
  <si>
    <t>/settings/carriers-platform</t>
  </si>
  <si>
    <t>/settings/shipping-catalog</t>
  </si>
  <si>
    <t>/settings/code-maps</t>
  </si>
  <si>
    <t>/settings/carrier-limits</t>
  </si>
  <si>
    <t>/settings/carrier-dropdowns</t>
  </si>
  <si>
    <t>/settings/cutoffs</t>
  </si>
  <si>
    <t>/settings/pickups</t>
  </si>
  <si>
    <t>/settings/importer-broker</t>
  </si>
  <si>
    <t>/settings/countries</t>
  </si>
  <si>
    <t>/settings/reasons-for-export</t>
  </si>
  <si>
    <t>/settings/currencies</t>
  </si>
  <si>
    <t>/settings/templates</t>
  </si>
  <si>
    <t>/settings/custom-fields</t>
  </si>
  <si>
    <t>/settings/printers</t>
  </si>
  <si>
    <t>/settings/output-destinations</t>
  </si>
  <si>
    <t>/settings/mail</t>
  </si>
  <si>
    <t>/settings/notification-templates</t>
  </si>
  <si>
    <t>/settings/notifications</t>
  </si>
  <si>
    <t>/settings/external-systems</t>
  </si>
  <si>
    <t>/settings/dtc-scheduler</t>
  </si>
  <si>
    <t>/settings/system</t>
  </si>
  <si>
    <t>/settings/carrier-error-messages</t>
  </si>
  <si>
    <t>/settings/audit-log</t>
  </si>
  <si>
    <t>/settings/carrier-api-log</t>
  </si>
  <si>
    <t>/settings/notification-delivery-log</t>
  </si>
  <si>
    <t>/settings/writeback-journal</t>
  </si>
  <si>
    <t>/settings/alerts-history</t>
  </si>
  <si>
    <t>/settings/returns-analytics</t>
  </si>
  <si>
    <t>Found in R7 while retesting BUG-068; the in-shell NotFoundPage.</t>
  </si>
  <si>
    <t>Flow ID</t>
  </si>
  <si>
    <t>Flow</t>
  </si>
  <si>
    <t>What was done and verified</t>
  </si>
  <si>
    <t>F01</t>
  </si>
  <si>
    <t>Canada · FedEx: International Economy and Priority × every packaging → label</t>
  </si>
  <si>
    <t>1. IE, 2 boxes: Pak, Tube, THB, Custom generated (#934064-#934067); Envelope failed 'package count exceeds limit' (#934063)
2. IP, 2 boxes: Pak, Tube, THB, Custom generated (#934071-#934074); Envelope, 10kg and 25kg box failed (#934068-#934070)
3. Envelope (IE and IP), 10kg and 25kg box as 1 box generated (#934075-#934078)
4. Every check needed 'NO EEI 30.36' typed into Export declaration ref (no FTR exemption field for Canada)</t>
  </si>
  <si>
    <t>BUG-003, BUG-005, BUG-004</t>
  </si>
  <si>
    <t>F02</t>
  </si>
  <si>
    <t>Canada · UPS: Worldwide Saver, Expedited and Express × every packaging → label</t>
  </si>
  <si>
    <t>1. Saver: Pak, Large, Medium, Small Express Box, Tube, THB, Custom (2 boxes) and Letter (1 box) generated (#934081-#934088); 10KG and 25KG Box with 2 boxes failed (#934079, #934080)
2. Expedited: THB and Custom generated (#934089, #934090)
3. Express: same packagings generated (#934095-#934102); 10KG and 25KG Box with 2 boxes failed (#934091, #934092)
4. 10KG and 25KG Box as 1 box generated: Saver #934103, #934104; Express #934093, #934094</t>
  </si>
  <si>
    <t>F03</t>
  </si>
  <si>
    <t>Canada · USPS: Priority Mail Intl and Express Intl × THB, Custom → label</t>
  </si>
  <si>
    <t>1. Default sender 'MKL': PMI THB failed (#934105) and PMEI THB failed (#934109) on the fullname rule
2. Sender 'MKL Shipping', both lines in box 1: package 2 failed 'Missing customs lines' (#934106)
3. Sender fixed, 1 box: generated (#934107)
4. Sender fixed, two lines spread across the 2 boxes: PMI THB, PMI Custom, PMEI THB, PMEI Custom generated (#934108, #934110-#934112)</t>
  </si>
  <si>
    <t>BUG-001, BUG-002</t>
  </si>
  <si>
    <t>F04</t>
  </si>
  <si>
    <t>United Kingdom · FedEx: International Economy and Priority × every packaging → label</t>
  </si>
  <si>
    <t>1. 12 of 12 generated (#934113-#934124); Envelope, 10kg and 25kg box run as 1 box
2. FTR exemption NOEEI 30.37(a) and Label size Paper 4x6 set by hand
3. International Priority checks showed the false 'did not quote' issue; labels still generated
4. Billed-weight notes of 68 / 52 / 22 lb on Tube, Pak and Custom (not reproduced on retest)</t>
  </si>
  <si>
    <t>BUG-004, BUG-019</t>
  </si>
  <si>
    <t>F05</t>
  </si>
  <si>
    <t>United Kingdom · UPS: Worldwide Saver, Expedited and Express × every packaging → label</t>
  </si>
  <si>
    <t>1. 22 of 22 generated (#934125-#934146); 10KG, 25KG Box and Letter as 1 box; every check 'All checks passed'</t>
  </si>
  <si>
    <t>F06</t>
  </si>
  <si>
    <t>United Kingdom · USPS: Priority Mail Intl and Express Intl × THB, Custom → label</t>
  </si>
  <si>
    <t>1. Default sender 'MKL': PMI THB failed on the fullname rule (#934147)
2. Sender fixed and lines spread across the boxes: 4 of 4 generated (#934148-#934151)
3. Every check: 'USPS normalised the address; review before shipping.'</t>
  </si>
  <si>
    <t>BUG-001, BUG-018</t>
  </si>
  <si>
    <t>F07</t>
  </si>
  <si>
    <t>Mexico · FedEx: International Economy and Priority × every packaging → label</t>
  </si>
  <si>
    <t>1. 12 of 12 generated (#934152-#934163); Envelope, 10kg and 25kg box as 1 box
2. State / region had to be the ISO code CMX
3. International Priority checks showed the false 'did not quote' issue; labels still generated
4. One Validate returned the raw toast 'HTTP error! status: 502'; the retry worked (#934153)</t>
  </si>
  <si>
    <t>BUG-004, BUG-008, BUG-016</t>
  </si>
  <si>
    <t>F08</t>
  </si>
  <si>
    <t>Mexico · UPS: Worldwide Saver, Expedited and Express × every packaging → label</t>
  </si>
  <si>
    <t>1. 22 of 22 generated (#934164-#934185); 10KG, 25KG Box and Letter as 1 box; every check 'All checks passed'
2. 'Add N boxes like the last' left box 2 without dimensions; Apply box 1 to all used instead</t>
  </si>
  <si>
    <t>F09</t>
  </si>
  <si>
    <t>Mexico · USPS: Priority Mail Intl and Express Intl × THB, Custom → label</t>
  </si>
  <si>
    <t>1. Default sender 'MKL': PMI THB failed on the fullname rule (#934186)
2. Sender fixed and lines spread across the boxes: 4 of 4 generated (#934187-#934190)</t>
  </si>
  <si>
    <t>F10</t>
  </si>
  <si>
    <t>Order API check of all 128 orders (GET /api/v1/orders/{id})</t>
  </si>
  <si>
    <t>1. 128 of 128 fetched: reference, status (115 GENERATED, 13 ERROR), package count, destination, label and tracking, and error text all match what the screens showed
2. 13 error messages match the toasts (FedEx package count ×4, UPS service/packaging ×4, USPS fullname ×4, USPS missing customs lines ×1)
3. shippingDetails.weight equals one box's weight on all 97 two-box orders (query)
4. #934118 labelFilePath holds a FedEx document link instead of the PDF</t>
  </si>
  <si>
    <t>BUG-017, BUG-007</t>
  </si>
  <si>
    <t>F11</t>
  </si>
  <si>
    <t>Register a client end to end (Clients &gt; Add Client, 8 steps)</t>
  </si>
  <si>
    <t>1. Settings &gt; Clients &gt; + Add Client
2. Step 1 Identity: code QA-1012-CL01, name with punctuation, email, phone, defaults CAD / KG / CM / CA / America/Toronto
3. Step 2 Ship From: warehouse 3PL-EAST, address card filled from the warehouse
4. Step 3 Return: own address, Chicago IL 60601
5. Step 4 Carriers: one UPS SANDBOX account staged as default
6. Step 5 Mapping: shipvia QA80 -&gt; UPS Ground staged
7. Step 6 Markup: not offered until the client exists
8. Step 7 Importer: skipped
9. Step 8 Summary: every section READY, Submit
10. Client, carrier account and mapping all created by one Submit; the page becomes Edit client
11. Markup 12.5% saved afterwards from the same wizard
12. Client deleted again at the end of the run</t>
  </si>
  <si>
    <t>F12</t>
  </si>
  <si>
    <t>Warehouse lifecycle (create, attach a client, verify, deactivate, edit, delete)</t>
  </si>
  <si>
    <t>1. Settings &gt; Warehouses &gt; + Add Warehouse: QA-1012-WH01, Springfield ILLINOIS 62704-1234
2. Created, then the follow-on 'Attach to clients' step skipped
3. Row menu &gt; Attach clients: THB000 ticked and attached, Attached count 0 -&gt; 1
4. Row menu &gt; Edit: name changed and saved
5. Address Verify run once against UPS, FedEx and USPS - all three answered NOT_SUPPORTED
6. Status toggled off and on again
7. Row menu &gt; Delete: dialog named the warehouse and warned the client would be unlinked; deleted
8. THB000 left as it was, with its original default warehouse</t>
  </si>
  <si>
    <t>BUG-040, BUG-041, BUG-042, BUG-043</t>
  </si>
  <si>
    <t>F13</t>
  </si>
  <si>
    <t>Save an address to the address book</t>
  </si>
  <si>
    <t>1. Settings &gt; Address book: the list never loads (GET /api/v1/recipients -&gt; 500) and the page shows 'No saved addresses yet'
2. + Add address: required fields all checked correctly
3. A valid shared address saved: POST /api/v1/recipients -&gt; 200
4. The screen reports 'Something went wrong on the server' and the grid still shows the empty state
5. Searching for the address returns 502 and is drawn as 'No saved addresses match'
6. The address exists in the database but cannot be seen, edited or deleted from the application</t>
  </si>
  <si>
    <t>BUG-044, BUG-045</t>
  </si>
  <si>
    <t>F14</t>
  </si>
  <si>
    <t>Invite a user and administer the account</t>
  </si>
  <si>
    <t>1. Settings &gt; Mail checked first: no active provider, outbound email logged only
2. Settings &gt; Users &gt; Invite user: qa-1012-invite@example.com, client THB000, role USER
3. Invitation created and an accept link shown once
4. Done: the invited person does not appear in the user list and 'Recent admin actions' stays empty
5. Assign client on the existing user: a code that does not exist is refused, the original code saves again
6. The reason typed for the audit is not recorded anywhere
7. Role change, Reset password and Deactivate could not be exercised - no test account exists and the only other row is a real person's</t>
  </si>
  <si>
    <t>BUG-050, BUG-052, BUG-051</t>
  </si>
  <si>
    <t>ID</t>
  </si>
  <si>
    <t>Record type</t>
  </si>
  <si>
    <t>Identifier</t>
  </si>
  <si>
    <t>Created on screen</t>
  </si>
  <si>
    <t>Current state</t>
  </si>
  <si>
    <t>D001</t>
  </si>
  <si>
    <t>Orders (Canada)</t>
  </si>
  <si>
    <t>#934063-#934112</t>
  </si>
  <si>
    <t>Orders &gt; New order &gt; New order form (international)</t>
  </si>
  <si>
    <t>left in system</t>
  </si>
  <si>
    <t>50 orders: 39 GENERATED (sandbox labels), 11 ERROR; references QA-1011-R13-CA-*</t>
  </si>
  <si>
    <t>D002</t>
  </si>
  <si>
    <t>Orders (United Kingdom)</t>
  </si>
  <si>
    <t>#934113-#934151</t>
  </si>
  <si>
    <t>39 orders: 38 GENERATED, 1 ERROR (#934147); references QA-1011-R13-GB-*</t>
  </si>
  <si>
    <t>D003</t>
  </si>
  <si>
    <t>Orders (Mexico)</t>
  </si>
  <si>
    <t>#934152-#934190</t>
  </si>
  <si>
    <t>39 orders: 38 GENERATED, 1 ERROR (#934186); references QA-1011-R13-MX-*</t>
  </si>
  <si>
    <t>D004</t>
  </si>
  <si>
    <t>QA-1012-CL01</t>
  </si>
  <si>
    <t>deleted</t>
  </si>
  <si>
    <t>Created through the 8-step wizard with one UPS sandbox carrier account, one shipvia mapping (QA80 -&gt; UPS Ground), a 12.5% markup and its own return address; deleted at the end of the Clients tests.</t>
  </si>
  <si>
    <t>D005</t>
  </si>
  <si>
    <t>Warehouse</t>
  </si>
  <si>
    <t>QA-1012-WH01</t>
  </si>
  <si>
    <t>Platform warehouse, Springfield ILLINOIS 62704-1234; attached to client THB000 then deleted, which unlinked it. THB000's default warehouse was never changed.</t>
  </si>
  <si>
    <t>D006</t>
  </si>
  <si>
    <t>Address book entry</t>
  </si>
  <si>
    <t>QA-1012 Test Recipient</t>
  </si>
  <si>
    <t>Settings &gt; Organization &gt; Address book &gt; Address book list</t>
  </si>
  <si>
    <t>Shared address, 290 Bremner Blvd, Chicago, IL 60601, US, created in R2 while the address list returned 500 (BUG-044, BUG-045). No longer present: on 14 Oct (R5) GET /api/v1/recipients returns 0 addresses and a search for QA-1012 finds nothing, so it was removed outside these runs.</t>
  </si>
  <si>
    <t>D007</t>
  </si>
  <si>
    <t>MKL246</t>
  </si>
  <si>
    <t>restored</t>
  </si>
  <si>
    <t>Opened in the edit wizard and its steps read; the only typed change (client name) was discarded with Leave. Importer / Broker dialogs were cancelled. No field was saved.</t>
  </si>
  <si>
    <t>D008</t>
  </si>
  <si>
    <t>THB000</t>
  </si>
  <si>
    <t>Attached to the test warehouse QA-1012-WH01 and unlinked again when that warehouse was deleted. 'Set as this client's default warehouse' was never ticked.</t>
  </si>
  <si>
    <t>D009</t>
  </si>
  <si>
    <t>User invitation</t>
  </si>
  <si>
    <t>qa-1012-invite@example.com</t>
  </si>
  <si>
    <t>Settings &gt; Organization &gt; Users &gt; Users list</t>
  </si>
  <si>
    <t>Invited as role USER for client THB000, with the user's go-ahead, after confirming Settings &gt; Mail has no active provider (outbound email is logged only). The invitation does not appear anywhere in the UI (BUG-050), so it cannot be revoked from the application - please clear it in the database if it matters. Accept link: http://localhost:5173/invite/8881caf518742688c83dfa1d688cecd03d6c748867028fee Revoked from the new Pending invites panel during run R4 on 2026-10-13, so nothing is left behind.</t>
  </si>
  <si>
    <t>D010</t>
  </si>
  <si>
    <t>User</t>
  </si>
  <si>
    <t>manoj7000</t>
  </si>
  <si>
    <t>Client code was changed to NOSUCHCLIENT (refused by the server, no change), then saved again as its original value THB000. Role, status and password were not touched.</t>
  </si>
  <si>
    <t>D011</t>
  </si>
  <si>
    <t>admin</t>
  </si>
  <si>
    <t>Read only. Its audit trail was opened. Password, role and status were never changed; Deactivate was deliberately not clicked (BUG-051).</t>
  </si>
  <si>
    <t>D012</t>
  </si>
  <si>
    <t>QA-1012-WH02 (QA-1012 Retest Warehouse)</t>
  </si>
  <si>
    <t>Created during the retest to re-check BUG-041 and BUG-043: Platform-owned, 742 Evergreen Terrace, Springfield IL 62704-1234 US. THB000 attached, detached, re-attached (never set as its default warehouse), warehouse deactivated then deleted. THB000's own settings unchanged.</t>
  </si>
  <si>
    <t>D013</t>
  </si>
  <si>
    <t>qa-1012-retest@example.com (client THB000, role USER)</t>
  </si>
  <si>
    <t>Sent during the retest of BUG-050 with Manoj's permission. Settings &gt; Mail has no provider active, so the message is logged only and the address is on the reserved example.com domain. The invitation cannot be revoked or removed from the interface - it is the second such leftover, with qa-1012-invite@example.com from the earlier run. Revoked from the new Pending invites panel during run R4 on 2026-10-13, so nothing is left behind.</t>
  </si>
  <si>
    <t>D014</t>
  </si>
  <si>
    <t>Order</t>
  </si>
  <si>
    <t>#934191</t>
  </si>
  <si>
    <t>The one SANDBOX label generation Manoj approved, used to confirm BUG-001. USPS Priority Mail Intl, MKL246 to 1 Canada Square, London E14 5AB GB, 2 boxes of 3 lb, sender name left at the client default 'MKL'. The carrier refused it, so no label was bought and the order is saved with status ERROR. Left in place as evidence.</t>
  </si>
  <si>
    <t>D015</t>
  </si>
  <si>
    <t>QA-1013-CL01 (QA-1013 Retest Client)</t>
  </si>
  <si>
    <t>Created to re-walk the client wizard findings, with one UPS SANDBOX carrier account and one shipping mapping. Deleted at the end of the run; the confirmation named the 1 carrier account and 1 warehouse attachment it would take with it.</t>
  </si>
  <si>
    <t>D016</t>
  </si>
  <si>
    <t>QA-1013-WH01 (QA-1013 Retest Warehouse)</t>
  </si>
  <si>
    <t>Created to re-walk BUG-040 to BUG-043, with QA-1013-CL01 attached. Deleted at the end of the run.</t>
  </si>
  <si>
    <t>D017</t>
  </si>
  <si>
    <t>QA-1013 Test Recipient (later renamed with a markup payload)</t>
  </si>
  <si>
    <t>Created to re-walk BUG-044 and BUG-045, then reused for the output-encoding test - name set to QA-1013 &lt;script&gt;alert(1)&lt;/script&gt; "&gt;&lt;b&gt;x&lt;/b&gt;, company to =1+1, tag to a SQL-like string. Removed afterwards; the address book is empty again.</t>
  </si>
  <si>
    <t>D018</t>
  </si>
  <si>
    <t>Holiday</t>
  </si>
  <si>
    <t>QA-1013 Test Holiday (2026-11-27)</t>
  </si>
  <si>
    <t>Added and removed to test the holiday add/delete path, which is how BUG-058 was found. The four real holidays were not touched.</t>
  </si>
  <si>
    <t>D019</t>
  </si>
  <si>
    <t>User invitations</t>
  </si>
  <si>
    <t>qa-1012-invite@example.com and qa-1012-retest@example.com</t>
  </si>
  <si>
    <t>The two leftovers from the earlier runs, revoked through the new Pending invites panel now that BUG-050 is fixed.</t>
  </si>
  <si>
    <t>D020</t>
  </si>
  <si>
    <t>Order (USPS Priority Mail Intl, SANDBOX label)</t>
  </si>
  <si>
    <t>#934192 / QA-1013-R5-GB-US-PMI-MKL</t>
  </si>
  <si>
    <t>Generated in R5 with Manoj's permission to retest BUG-001 and BUG-017: 2 x 5 lb THB-PACKAGE, MKL246 to London E14 5AB, sender name 'MKL'</t>
  </si>
  <si>
    <t>D021</t>
  </si>
  <si>
    <t>Order (FedEx International Priority, SANDBOX label)</t>
  </si>
  <si>
    <t>#934193 / QA-1013-R5-GB-FX-IP-TUBE-2B</t>
  </si>
  <si>
    <t>Generated in R5 with Manoj's permission to retest BUG-007 (label stored as PDF) and BUG-017 (weight 6 = 2 x 3 lb)</t>
  </si>
  <si>
    <t>D022</t>
  </si>
  <si>
    <t>QA-1013-R5-CL01</t>
  </si>
  <si>
    <t>Settings &gt; Organization &gt; Clients &gt; Client wizard (Add / Edit)</t>
  </si>
  <si>
    <t>Name '=1+1 QA-1013-R5 O'Brien &amp; Sons "quoted" 100% #1 éè 中文' (CSV formula and character test), UPS account QA13R5 SANDBOX with test client id/secret, ship-via map QA80 -&gt; UPS Ground, warehouse 3PL-EAST attached, return address QA-1013-R5 Returns, 100 Return Way, Chicago il 60601-1234. Deleted at the end of the run with Delete permanently (DELETE /clients/QA-1013-R5-CL01) after its carrier account; afterwards no QA-1013-R5 client, warehouse or carrier account is listed and its code-map endpoints answer 404. Its revoked LAN scanner stays behind (D037, BUG-140).</t>
  </si>
  <si>
    <t>D023</t>
  </si>
  <si>
    <t>QA-1013-R5-CL02</t>
  </si>
  <si>
    <t>Minimal client to re-check BUG-032 (Heads up message); UPS account QA13R6 SANDBOX test values; ship-via QA81 -&gt; UPS Ground. Deleted in the Delete test with Delete permanently (the dialog listed 1 carrier account and 1 warehouse attachment); GET /clients/QA-1013-R5-CL02 -&gt; 404, audit log CLIENT DELETE.</t>
  </si>
  <si>
    <t>D024</t>
  </si>
  <si>
    <t>QA-1013-R5-WH01</t>
  </si>
  <si>
    <t>742 Evergreen Terrace, Springfield il 62704-1234 US, Platform-owned, attached to QA-1013-R5-CL01. Deleted in the Delete test (audit log 'Warehouse QA-1013-R5-WH01 deleted', 15:33 on 13 Oct); not in GET /warehouses afterwards.</t>
  </si>
  <si>
    <t>D025</t>
  </si>
  <si>
    <t>Carrier account (UPS, SANDBOX)</t>
  </si>
  <si>
    <t>QA13R5 / client QA-1013-R5-CL01</t>
  </si>
  <si>
    <t>Settings &gt; Carriers &amp; Services &gt; Carrier Accounts</t>
  </si>
  <si>
    <t>Renamed to '=1+1 QA-1013-R5' (CSV export check), switched Inactive and back, verified once against the UPS sandbox (refused, now 'Check failed'). Deleted at the end of the run (DELETE /carrier-accounts/11) before its client; no longer in GET /carrier-accounts.</t>
  </si>
  <si>
    <t>D026</t>
  </si>
  <si>
    <t>Package preset</t>
  </si>
  <si>
    <t>QA-1013-R5 Box &lt;i&gt;x&lt;/i&gt; (id 23)</t>
  </si>
  <si>
    <t>Created to test the spec sheet (tare 25 &gt; max 20 accepted), edited, then deleted through the UI.</t>
  </si>
  <si>
    <t>D027</t>
  </si>
  <si>
    <t>Shipping service setting</t>
  </si>
  <si>
    <t>USPS First-Class Package Intl (id 29)</t>
  </si>
  <si>
    <t>Switched on and back off within a minute to test the service switch and its confirmation.</t>
  </si>
  <si>
    <t>D028</t>
  </si>
  <si>
    <t>Code map aliases</t>
  </si>
  <si>
    <t>QA-1013-R5-CL01: shipvia QA13, &lt;B&gt;X&lt;/B&gt;; destination country GREAT BRITAIN QA</t>
  </si>
  <si>
    <t>Settings &gt; Carriers &amp; Services &gt; Code Maps</t>
  </si>
  <si>
    <t>Created to test add, duplicate, sanitation and remove; all removed through the UI. QA80 -&gt; UPS Ground (from the client wizard) left until the client is deleted.</t>
  </si>
  <si>
    <t>D029</t>
  </si>
  <si>
    <t>Carrier limit row</t>
  </si>
  <si>
    <t>QA1013R5 / QA_R5_SVC / DOMESTIC (id 13)</t>
  </si>
  <si>
    <t>Settings &gt; Carriers &amp; Services &gt; Carrier Limits</t>
  </si>
  <si>
    <t>Created to test validation (unknown carrier, past effective-until), edited, deactivated, deleted through the UI.</t>
  </si>
  <si>
    <t>D030</t>
  </si>
  <si>
    <t>2026-11-27 QA-1013-R5 Test Holiday &lt;i&gt;x&lt;/i&gt; (id 6)</t>
  </si>
  <si>
    <t>Settings &gt; Carriers &amp; Services &gt; Cutoffs &amp; Holidays</t>
  </si>
  <si>
    <t>Added for BUG-058; duplicate-date add returned 500; deleted through the trash confirmation.</t>
  </si>
  <si>
    <t>D031</t>
  </si>
  <si>
    <t>Cutoff rule</t>
  </si>
  <si>
    <t>#20 MANUAL / DHL / any / Mars/Olympus</t>
  </si>
  <si>
    <t>Created to test timezone validation (accepted), deleted at once through the confirmation.</t>
  </si>
  <si>
    <t>D032</t>
  </si>
  <si>
    <t>Importer/broker profile</t>
  </si>
  <si>
    <t>QA-1013-R5-CL01 -&gt; CA (customs profile id 1)</t>
  </si>
  <si>
    <t>Settings &gt; International &gt; Importer / Broker</t>
  </si>
  <si>
    <t>Created with BN 'ABC' (accepted), corrected, deleted through the UI.</t>
  </si>
  <si>
    <t>D033</t>
  </si>
  <si>
    <t>Label template</t>
  </si>
  <si>
    <t>#1 QA-1013-R5-CL01 / PACKING_SLIP</t>
  </si>
  <si>
    <t>Settings &gt; Labels &amp; Documents &gt; Templates</t>
  </si>
  <si>
    <t>Created with an SVG logo and colour 'zzz' (both accepted), previewed, deleted through the UI. A second unsaved draft with a Layout Studio text block was discarded.</t>
  </si>
  <si>
    <t>D034</t>
  </si>
  <si>
    <t>Custom field definitions</t>
  </si>
  <si>
    <t>QAField!, qa_r5_pos, qa_r5_req, qa_r5_a, qa_r5_b (client QA-1013-R5-CL01)</t>
  </si>
  <si>
    <t>Settings &gt; Labels &amp; Documents &gt; Custom Fields</t>
  </si>
  <si>
    <t>Created to test key, label, type, options, position, Edit and Move; each deleted through the row trash with the confirm answered OK. Scope shows 'No custom fields defined for this scope yet.'</t>
  </si>
  <si>
    <t>D035</t>
  </si>
  <si>
    <t>Printer</t>
  </si>
  <si>
    <t>QA-1013-R5-PR01 (id 2, 192.0.2.10 / 192.0.2.11 - documentation range)</t>
  </si>
  <si>
    <t>Created, test-printed (timed out, nothing printed), edited, deactivated and deleted through the UI; its tags went with it.</t>
  </si>
  <si>
    <t>D036</t>
  </si>
  <si>
    <t>Label routing and invoice copies rule</t>
  </si>
  <si>
    <t>QA-1013-R5-CL01 -&gt; QA printer (LABEL); QA-1013-R5-CL01 / FEDEX / 3 copies</t>
  </si>
  <si>
    <t>Both set through the grids and removed again; assignments list back to THB000 only, copies rules back to THB000 only.</t>
  </si>
  <si>
    <t>D037</t>
  </si>
  <si>
    <t>LAN scanner enrolment</t>
  </si>
  <si>
    <t>'QA 1013 R5 &lt;b&gt;sc&lt;/b&gt;' for tenant QA-1013-R5-CL01 (agent id 1)</t>
  </si>
  <si>
    <t>Enrolled to test the one-time key, nudged once, then revoked. Revoked scanners have no delete in the UI, and deleting the QA client did not remove it: GET /tenants/QA-1013-R5-CL01/printer-scan-agents/revoked still returns it (BUG-140), while the Tenant picker no longer offers that client. Revoked, so its key does not work; needs removing on the server side.</t>
  </si>
  <si>
    <t>D038</t>
  </si>
  <si>
    <t>Mail provider</t>
  </si>
  <si>
    <t>#1 'QA-1013-R5 &lt;b&gt;mail&lt;/b&gt;' (Postmark, inactive; renamed 'QA-1013-R5 mail edited')</t>
  </si>
  <si>
    <t>Saved with test values only (from qa-1013-r5@example.com, dummy token) after clearing the browser-filled login; never activated; deleted through the UI.</t>
  </si>
  <si>
    <t>D039</t>
  </si>
  <si>
    <t>Return order (FedEx Ground SANDBOX label)</t>
  </si>
  <si>
    <t>#934194 / MKL246, reason Defective, customer QA-1013-R5 Returner</t>
  </si>
  <si>
    <t>The one test return allowed for BUG-067. Sandbox label marked TEST LABEL - DO NOT SHIP; left in place like #934192 and #934193. A second attempt was stopped in the page before the purchase request, so no second label exists.</t>
  </si>
  <si>
    <t>D040</t>
  </si>
  <si>
    <t>Client wizard draft (browser storage only)</t>
  </si>
  <si>
    <t>QA1013R5W 'QA-1013-R5 wizard check', staged UPS account QA13R7 and mapping QA82</t>
  </si>
  <si>
    <t>Used for the BUG-086 wizard check and to find BUG-138 / BUG-139. Never saved: the one Submit was blocked in the page before it reached the server. The draft was removed from the browser's localStorage (clientEditorDraft:admin) at the end; + Add Client opens an empty step 1 again.</t>
  </si>
  <si>
    <t>D041</t>
  </si>
  <si>
    <t>QA-1014-R6-WH01</t>
  </si>
  <si>
    <t>QA-1014-R6 Retest Warehouse, Platform-owned, 742 Evergreen Terrace, Springfield, state typed 'il' (saved as 'il' - BUG-079), 62704-1234 US. Created at 14:02 to retest BUG-079 and BUG-081; renamed '=1+1 QA-1014-R6 Retest Warehouse' for the BUG-076 export check and renamed back; deleted at 15:40 through Delete warehouse. It was never attached to a client, because no QA client could be created for BUG-080.</t>
  </si>
  <si>
    <t>D042</t>
  </si>
  <si>
    <t>QA-1014-R6 Retest Recipient (id 5)</t>
  </si>
  <si>
    <t>Shared address saved with phone 'abc', email 'x@', state ILLINOIS, ZIP ABCDE to retest BUG-082, then edited with a 300-character name for BUG-083 (refused with 400), then removed through Remove address.</t>
  </si>
  <si>
    <t>D043</t>
  </si>
  <si>
    <t>qa-1014-r6-invite (example.com), client THB000, role USER</t>
  </si>
  <si>
    <t>Sent to retest BUG-084 (a second invite in capitals was refused with 409) and BUG-085 (resent, then revoked). Settings &gt; Mail has no active provider, so nothing was emailed; the invite was revoked through Pending invites. The developers' own pending invite verify-dup (example.com) was left alone.</t>
  </si>
  <si>
    <t>D044</t>
  </si>
  <si>
    <t>QA-1014-R6 Box (id 24)</t>
  </si>
  <si>
    <t>Custom box 10 x 8 x 4 in, max 20 lb, tare 25 lb - saved to retest BUG-092 (accepted), then deleted through the UI.</t>
  </si>
  <si>
    <t>D045</t>
  </si>
  <si>
    <t>QA1014R6 / QA_R6_SVC / DOMESTIC (id 14)</t>
  </si>
  <si>
    <t>Created with an unknown carrier code and an Effective until of 1 Jan 2020 to retest BUG-095 and BUG-096 (both accepted), then deleted through the UI.</t>
  </si>
  <si>
    <t>D046</t>
  </si>
  <si>
    <t>#21-#24 MANUAL / DHL (QA-1014-R6)</t>
  </si>
  <si>
    <t>Added while retesting BUG-099/BUG-100 and finding BUG-146; each deleted through the trash button (DELETE 200)</t>
  </si>
  <si>
    <t>D047</t>
  </si>
  <si>
    <t>2026-11-27 QA-1014-R6 Test Holiday (id 7)</t>
  </si>
  <si>
    <t>Used for the BUG-098 duplicate check; deleted afterwards</t>
  </si>
  <si>
    <t>D048</t>
  </si>
  <si>
    <t>QA-1014-R6-PR01 (id 3, 192.0.2.10 / 192.0.2.11 - documentation range)</t>
  </si>
  <si>
    <t>Created for BUG-114 / BUG-115 (a first attempt with 'not a host!' was refused with 400), test-printed (timed out, nothing printed), edited to 192.0.2.11:80, used as the column for the BUG-116 pop-over check (cancelled, no routing saved), then deleted through Delete printer.</t>
  </si>
  <si>
    <t>D049</t>
  </si>
  <si>
    <t>THB000 -&gt; CA, 'QA-1014-R6 Importer &amp; Sons "Q" é' (customs profile id 2)</t>
  </si>
  <si>
    <t>Created at 15:15 with BN 'ABC' to retest BUG-104 to BUG-106 (no QA client could be made: the client editor did not compile), deleted at 15:17 through Delete profile. THB000 had no customs profile before, so nothing was overwritten.</t>
  </si>
  <si>
    <t>D050</t>
  </si>
  <si>
    <t>QAField! (id 7, Text) and qa_r6_sel (id 8, Select), THB000, inactive</t>
  </si>
  <si>
    <t>Created inactive at 15:19-15:21 to retest BUG-111 to BUG-113 and BUG-075 (no QA client could be made); a 255-character label attempt was refused with 400. Both deleted through the row Delete at 15:22. THB000 had no custom fields before.</t>
  </si>
  <si>
    <t>D051</t>
  </si>
  <si>
    <t>#3 THB000 / PACKING_SLIP, header 'QA-1014-R6 PREVIEW CHECK'</t>
  </si>
  <si>
    <t>Created at 15:24 to retest BUG-109 (Preview with order 934193), deleted at 15:26 through Delete label template. THB000 had no template before.</t>
  </si>
  <si>
    <t>D052</t>
  </si>
  <si>
    <t>Code map alias</t>
  </si>
  <si>
    <t>THB000 shipvia QA14R6 (alias id 10)</t>
  </si>
  <si>
    <t>Created at 15:28 to retest BUG-093 (re-added with another target, which replaced it silently) and removed at 15:30 through Remove alias. THB000 had no shipvia aliases before. The over-long code for BUG-094 was refused (400).</t>
  </si>
  <si>
    <t>D053</t>
  </si>
  <si>
    <t>QA-1016-CL01</t>
  </si>
  <si>
    <t>Deleted through Settings &gt; Clients &gt; Delete permanently at the end of R7 (BUG-080 / BUG-140 retest): its 1 carrier account (QA16R7), 2 warehouse attachments and revoked scanner went with it.</t>
  </si>
  <si>
    <t>D054</t>
  </si>
  <si>
    <t>User invite</t>
  </si>
  <si>
    <t>qa-1016-r7-invite@example.com</t>
  </si>
  <si>
    <t>R7 invite for QA-1016-CL01, resent once and revoked (BUG-085, BUG-145)</t>
  </si>
  <si>
    <t>D055</t>
  </si>
  <si>
    <t>QA-1016-WH01</t>
  </si>
  <si>
    <t>Deleted through Settings &gt; Warehouses &gt; Delete after the client delete had cleared its attachment (Attached 0).</t>
  </si>
  <si>
    <t>D056</t>
  </si>
  <si>
    <t>Return label (sandbox)</t>
  </si>
  <si>
    <t>#934195 (FedEx Ground return, MKL246, customer QA-1016 Returner, tracking ...1248)</t>
  </si>
  <si>
    <t>R7 sandbox label bought to retest BUG-136 and BUG-137; first attempt, address typed after a first Validate; shows BUG-149</t>
  </si>
  <si>
    <t>D057</t>
  </si>
  <si>
    <t>#934196 (FedEx Ground return, MKL246, customer QA-1016 Returner, tracking ...1454)</t>
  </si>
  <si>
    <t>R7 sandbox label bought to retest BUG-137; clean run, address typed before the first Validate; shows BUG-149 and BUG-137</t>
  </si>
  <si>
    <t>D058</t>
  </si>
  <si>
    <t>Importer/Broker profile for QA-1016-CL01 (Canada, importer QA-1016 Importer &amp; Sons, BN 'ABC')</t>
  </si>
  <si>
    <t>customs profile id 3</t>
  </si>
  <si>
    <t>Created to retest BUG-076, 104, 105, 106, 148; deleted through Delete profile in the same run.</t>
  </si>
  <si>
    <t>D059</t>
  </si>
  <si>
    <t>LAN scanner enrolment 'qa-1016-r7-sc' (hostname qa-scan.example.test) for QA-1016-CL01, enrolled then revoked</t>
  </si>
  <si>
    <t>printer-scan-agent row id 2</t>
  </si>
  <si>
    <t>Removed with its client: GET /api/v1/tenants/QA-1016-CL01/printer-scan-agents/revoked returned 1 row before the client delete and 0 after (BUG-140).</t>
  </si>
  <si>
    <t>D060</t>
  </si>
  <si>
    <t>Printer 'QA-1016-PR01 &lt;b&gt;x&lt;/b&gt;' (192.0.2.10:9100 then 192.0.2.11:80, ZPL 4x6)</t>
  </si>
  <si>
    <t>printer id 4</t>
  </si>
  <si>
    <t>Created to retest BUG-114, 115, 116; test print to the documentation address timed out as expected; deleted through the in-app Delete printer dialog.</t>
  </si>
  <si>
    <t>D061</t>
  </si>
  <si>
    <t>Code Maps shipvia alias QA16A (client QA-1016-CL01; added twice to test the overwrite message)</t>
  </si>
  <si>
    <t>alias id 12</t>
  </si>
  <si>
    <t>Removed through the in-app 'Remove alias' confirmation (DELETE 200). The wizard alias QA82 on the same client stays until the client is deleted.</t>
  </si>
  <si>
    <t>D062</t>
  </si>
  <si>
    <t>Carrier Limits row UPS / QA_R7_SVC / DOMESTIC (5 packages, 100 lb)</t>
  </si>
  <si>
    <t>QA_R7_SVC</t>
  </si>
  <si>
    <t>Created to test the past 'Effective until' on Edit; deleted through the in-app 'Delete carrier limit' confirmation ('Row deleted.').</t>
  </si>
  <si>
    <t>D063</t>
  </si>
  <si>
    <t>Global holiday 2026-11-27 'QA-1016 Test Holiday'</t>
  </si>
  <si>
    <t>holiday id 12</t>
  </si>
  <si>
    <t>Added to test the duplicate-date message; the second add of the same date was refused with 400; the QA holiday was deleted through 'Delete holiday?'.</t>
  </si>
  <si>
    <t>D064</t>
  </si>
  <si>
    <t>Cutoff rules MANUAL/DHL (America/Chicago), BULK/DHL, API/DHL/QA-1016-WH01 and WMS/DHL used to test the time zone box</t>
  </si>
  <si>
    <t>rules 26, 27, 28, 29</t>
  </si>
  <si>
    <t>All four deleted through the in-app 'Delete cutoff rule' confirmation (DELETE 200).</t>
  </si>
  <si>
    <t>D065</t>
  </si>
  <si>
    <t>Label templates for QA-1016-CL01: PACKING_SLIP (UI, PNG logo), COMMERCIAL_INVOICE (API, SVG logo probe) and RETURN_COVER (API, text-as-PNG logo probe)</t>
  </si>
  <si>
    <t>templates 4, 5, 6</t>
  </si>
  <si>
    <t>All three deleted through the in-app 'Delete label template' confirmation ('Template deleted.').</t>
  </si>
  <si>
    <t>D066</t>
  </si>
  <si>
    <t>Custom field definition (Text, key qa_field) for QA-1016-CL01</t>
  </si>
  <si>
    <t>custom-fields id 9</t>
  </si>
  <si>
    <t>Created to test Edit/Move (BUG-111) and the key rule (BUG-112); deleted through the in-app 'Delete custom field' dialog.</t>
  </si>
  <si>
    <t>D067</t>
  </si>
  <si>
    <t>Custom field definition (Select, key qa_sel, options 'Alpha, &lt;b&gt;Beta&lt;/b&gt;, Alpha, ') for QA-1016-CL01</t>
  </si>
  <si>
    <t>custom-fields id 10</t>
  </si>
  <si>
    <t>Created to test option de-duplication (BUG-112) and Move up/down (BUG-111); deleted after checking the order form lists Alpha twice.</t>
  </si>
  <si>
    <t>D068</t>
  </si>
  <si>
    <t>Output destination LOCAL_FS /tmp/qa-1016-r7 (Label) for QA-1016-CL01</t>
  </si>
  <si>
    <t>output-destinations id 1</t>
  </si>
  <si>
    <t>Settings &gt; Labels &amp; Documents &gt; Output Destinations</t>
  </si>
  <si>
    <t>Created to retest BUG-118; deleted through Delete (native confirm, BUG-158).</t>
  </si>
  <si>
    <t>D069</t>
  </si>
  <si>
    <t>Output destination SFTP qa-1016-r7@192.0.2.20:22/upload (Commercial invoice) for QA-1016-CL01</t>
  </si>
  <si>
    <t>output-destinations id 2</t>
  </si>
  <si>
    <t>Created to retest BUG-118 with a dummy password; deleted straight afterwards. Test was not used.</t>
  </si>
  <si>
    <t>D070</t>
  </si>
  <si>
    <t>Output destinations created inactive to check path and host validation (traversal path, relative path, empty path, empty SFTP host)</t>
  </si>
  <si>
    <t>output-destinations ids 3, 4, 5, 6, 7</t>
  </si>
  <si>
    <t>Each deleted straight after creation (BUG-159). Nothing was dispatched to them.</t>
  </si>
  <si>
    <t>D071</t>
  </si>
  <si>
    <t>Mail provider (Postmark, inactive, dummy values) 'QA-1016 R7 mail'</t>
  </si>
  <si>
    <t>mail-providers id 2</t>
  </si>
  <si>
    <t>Created only to read the Updated column for BUG-119; deleted through the in-app 'Please confirm' dialog. Nothing was sent and no test email was requested.</t>
  </si>
  <si>
    <t>D072</t>
  </si>
  <si>
    <t>External system connection 'qa-1016-r7' (Rest Json, DEV, inactive) with a routed-client entry for QA-1016-CL01</t>
  </si>
  <si>
    <t>external-systems id 3</t>
  </si>
  <si>
    <t>Settings &gt; Integrations &gt; External Systems</t>
  </si>
  <si>
    <t>Created to test routed-client validation without touching nds-default (BUG-121); deleted through the in-app 'Delete external system' dialog. nds-default was opened for viewing only and never saved.</t>
  </si>
  <si>
    <t>qa-ledger-zlib-b64-v1</t>
  </si>
  <si>
    <t>eNrsvYtX48i1L/yv1O2cjOyMjN+Yx3QnNNDTnKGBAD2PfHNulrAFKG1bjiRDM7nnf7/7VQ/JMjIGJueu9WWtTBtbj6pdu3bt52//6006vA0nwZsd1fbVm2ESBlk4gr/edFqdzUa71Wh3Llvtnf5gp7f1Bq4IZjP49V9vpsEkxMs+zcdZlN5GM/xxnozxu9ssm+00m+N4GIxv4zTb6bcHXfw9nN5FSTydhNMMrzvGC9QovFO18zAYZs0foyxUn4981QxmUfOurWZJ/DUKRyqLVXYbqv8M7gJ1FQy/hNNRfVeFd2HyoIZBkkRhooLhMJ5PMxVN1cXeycH705/VJB6F+N4kvA6TcDoMU3ztSawuzi+aH84PVDqfzcbwgg11+HUWDmHq6iq8De6ieJ6oLID3qOsknph37J0dqSRMZ/E0DVOfxgQE8VIV30/VJEzT4CZMVTAdqXFwFY7hEvw8hMujNIMBPMDjs/sQHjsOpnKlPDt989840vkUx/j//etNRKtw3sbxp1mQFJeFfxjGM1qG02QEj1Dv1El4r2L8YwcIkYXJNMiieApkxjVCwqfqOk7UEGYNtPr0w3Gnt4nk3Q+mwSjw1edphFT4IZrejGDiOMBP4ddoGPsFcn9VaZjcRcMQPs1gSYIbuEXVPoSjw6/wmLML+M/F2QUsE5OCHkXDJCoC18EyjlRwDYO8D5JRuiG/2sVSf92DqbbbjfN2t/EnWsh4TNMNRhNY5trewaejkzr+cDWPxkQf/CMLgdgJ/rU/DuajUNX24/s4+VKnqX8KpvE/8LL7aDqK7/Gydm/Q/rrV7uC30zijV+zHk6uIqadgVZQlvKrFTO0/bHd7rc1uA/9tb7fqajaep+ouGEcj2EWNeDp+AKJFI5wM0ChN7UM6vB1Gi3uts9Np7XS6yA2GCTrLmICu78P2zHPDRZhlsBrID6fJTTCNfuN51PZp2YEtfwqS8DaeExfvjUbA06m6iuMvsGiwrPDlOVA6re/IoofjEHlHxdcKNuqtGgM7A2+PRs1wFGVIVmaVUZgF0VjdReH9Lm4UusOMZgJ7BZc8g60ynasxPHv8qqva2/y61Wu5q7qU7H2QbzudrRzZu8vJ3u7stLZ22v0c2c/DTKYcjMeq31HXMBaaOQmR8zbR6LzDTE/SQ4QZ0Qreg/fat+wwsa/mN/B74z4Y44bJbpN4fnOrooylDhBllqLQw8fRlr8OhuFrkrXV6gNZB6uQtd3d6fZ3Ots5svaWkbWL3AzT7m3myPphDtQUAhjidi1xNUWAAFFiaeLzdgzgwgRWJQ2H8yTKHphPgyxopLAxMt4YuDlRYM7mcKH9Gi+N5xl+C3s4xtf5eM7gbgGhngGF6RoQ7QGePGk8pht9egGtxo15Z5rFCRwP6vbhBjZhyEcDbMCUbsiSYArnCrAAfh0mCRD/Fj6O4Z2rLeZYn6a+ZaHumhtns7XaCsOKwQpv7vQ7uRXuP7LCWyjfWP4VV/gmYWroRd4c2EWuvf/8faPVauNZRR83B3Wf90fV3oh5byQhkipTRDDNHFMt2hpXDw0t5UhUo6gj2WfEVzq/AoViPgYCulLVh7OTT3D1DVxMZyIw35F7+vrqmA/Bb9RBPJxPWAgfTlBYfqP2xmGSyS03Cd0Cf108wPAnIJ6HWXSHTPSNOo5v0rq6j7Jbw87Mag05dDTTFvmbTluiBFEsBT0vnD6DrVRNU5NF2XlvF2UcjB9ezkRKcRCwJiAC2h11dHFZX1eId1bjxR7yYq+/080L8c1lvNhDXgS5399aIsSRabY2LQumWQRMCZdN9az7qsHM2N5kZbDdkquuYWVJH2K2Hfiq1ab/bMF/Oh38zzb8p7uJ/8Hvevipj5dstussVOB5gz7QZQ5/wOLA2/hpm1t6E7R7nToM4Sm7gNYVZ9fuqdMhHOLETQFziJ71NIxubq9AB8YpyK6AzZLQUOht19HX9dmnJxpUg/QGzS5JOI6DkXDM4Dkc02qvyjFtEEXtnV47xzGDZRyzSdrZYKfVy3PMAMaOw9wh4m1uW5aZBAmuyIfoK1oWD/T7CNUeuBXkRY1/ANLxspg39X318XDvQPWv26NW2O84HKEOUD9O4LYibw1a8J8tZKZt+LPd6cJ/uu0VpeQiI7wyE2y+2OI69B8429VOuKF6uCZAanh/P79D4RsFD8LjHPSESXAF4p20NbHtxtGQROgubpgpGFf5E6kNT9abcbNT3yhntE3UL9uDnT6o9f9FrIPyN2foXcDZhjfzbrAmHXGaPnjIetUG3hvzoNzXrIzXcsZf3THOm2y8NGEuwufZnMziGTB8FIw1ZVNeFbQXfG30+WRFEn3kYwZ2odiBvpiBePgN56DtTOBDNEGdBu8EsxK/0GYo85mvfhRrSTXV96AVJfiRDMZdBZJ4noDUCq7Q0gi1EPw/6ji8zhSY+sg8ox11MM8ikB+zIMI9Bgfm4YU6ujzx1Vk0/DKHMT7MQjFMeR8dwVDUxQ+fgROCB3gui0bQHUfhdTAfZ0adBo19mDcDWWuDUbjbKUqZ6GTwIeOyoL3hnfWGzXqx5h1BA0veec6SHwltQTG4SuIv8CEGhSUBe1ONYCHjm/JVVzX+lU4yGD9xu3kWbPwkHMLV8FRZRf30d2gp1quZprA8l8FXdXRAdDs8PT8Csw9+Diez7GGXdl74NUyGUQpb5hFCdVciFClZeSLRV2qklS6XJMRmzX8RZU7i/37yxA5AeOKRpc4OPvj2r43fZmwVnIHkzFjxAxEUwCDkimkYjlKWbl6qbuJGcBvC1/aeIeilCYnYAP8dq1lC+3lD7ceTCZILvjua3sW07fbj2YP629mxry4T2IH0HP40ju5CdR8moSUyb6KNx2jdy9N67+xogdAO/Q2l2XsjHoDa94eX2ounee9f0ei/c5Jo8ef8GoziaZgXR+I0oqOKNlkS34P40WYUbT60HNqdLSVOGlFpcLKPzLmfn7PW+RcmvgcPT90fzfTdX2gjohPEnW3utuVzdEfZKYxyc8VR5pw+75R4ffLjlS/JlVM2zObQuWu94Q7WG671TeVHbL9fPuj7/L3rjXtrvXG7frQCbzi/LB97wFc1zP3rjX57vdGT3y8/bPpq+Xjn5o61BtpurTdQ8kzmB0pfLR9oYu5Ya6C91otvO5BgvwVwxtaAM0DzORxFWf2xTUjn9q5a/P5fw3gUVonNLVZEdtTRCG4ip8EFKm8fSI9jNct6MXw4mWYzUo0/gfkyn/lGO4D75hOwaR42aMgUX9nB0MEQjrimugjguBneBlMMgtQ8/Tb1rRLWDlPSkbz67vK3sYam1RG2XVN8sNHS4BjdeGy52isuV4nbprBWOurDkaW0fIV0+GZ1/uoVBtx54QED8WfjIEOdtP7omBv6smcMvvtSg0eWREYA1siK2qsZeSoXNYb2ojUH3nsxqsMuQC5ewh/wa2Miv6451P5Lc/RxNIke5+fG2Fyy5qA3X3rQB0k8Qx368XGP3KvWHPrgxYY+z+Lra/z9Y4x27sOSsfNlzxjx1kuNmG1m/P1wOmrE142D4KF0zDO+8BljXlVRyXnSl5jATfWejNTSoWonROPKXLPekPut5w95H48SWINl0sL5dc1Btp8/yPMwSOMppwocfkXqlStWfBn6cRuhuWzNYXdegLbzBDMHlhI39/Oaw1z1vFsM+OTHehlO8PRdMtTM/XXNkfZeaKT75AZSH6JwPFpGWLyicW2uWHPE/Rca8Rm7S8oHO3N+XHOcmy80zlOOLR+EaSY+xvIhcwy6MSpct+boVz3d8uHJ/Mg/wU+lQ53ID2uObesFxsa/Pb6/YDDRtbj2Gy+x2bZfYOAnzqCqh/2M0W4+5RzTEekCkb+SFB5LmLp8uKFc1EjtRWuOuP3sER9c7quL4W2IV5brCaNs2EjdK9Yc66onGZOuYAWZ7xZtH3v5euPqPmNcWgk/pMyUT5Lq+KgmTkksjYlz6ZrjXvUgK2RKFAIB8s2i220+irLGs2zJzf5LjHDfSTI9XmL/atoGs+iZQ958iSGzNDsIMdCQPCwddU7ajuTqZ45/8BLj/ymJshBz8NR/xvNE9MlFp7K+qvEPe9Waw956iWHz4aE+RphTVm6eBXRJ49ZesuaAt19iwOxjTNUeEO8hi4bpEnOCrmoE7lXrDXtQOOH2ZjOV3obj8cK4z0G5khw7R4HERD0MTnL2TW0+/TLFVIkELg5zPjWM/jZGcZg24HIwgsQH/cioP5iEnoG6v43GoWQvoOtL8nt2JZmzQUNWoBfQTTiqnOdzwOkEOjmjmE/QOGy1C6eLZBlQ6NO6o/GrL9GUbtT+E0r2BwMPv/sYBhJ9TsJ/zqMk1Bn8xZhpSkvG2WY4mjeSYJ7CECm7fjFARzeI5EMPvsIQaapsHjk5hDGVnN+vs7Mw+eS/nCwQIl2/q0C0gKzBV+ncGk5HvJrf8JDkQrpZE7JbiKEg6TpVpONBvxDtrkVvdmhXQgJJ3xNq0hMkCR+vsGn4SEidUaVmQFlTJEGlCcCR/1XIjsqRp91v5cgzKCFPt4I85zqNX9XOThvtTrfXr7u0ykA5fBkey1UJuOUDmPjBRAruMO8cKXJNYeqT+eQKkx2mzIjXbsC4BudvfSl9/uuRIDKSpVdBFvRyNyjlgpJeqYzmEapc6HybdQgzS+JrlC+S1qI82I0e0OAfUunywDyVrxPRiba0WHiH0o55j1KfZ86tK+zIVnvFHQl0qqJtf2XaSrxJ1bh6h2NuQo4cFwKZR1So8WJET0IM/Iecrcdv9lJKeyoMjRNHO/UViNjurEjEdqeSiJurEDGL1ckqnJnF65AoRIaTw8DUHf3g1Brt5jgNzwsTZVt3Xw5WnPZ+PJkF04d//8zXnunWijO9yOCS7JUmWjo5ldIrnWjwiy/z9oqTP7sVtewV5t5uNUbRTZSpKZ0yzixr5CFVt5jj5bVbii5LPRIBQKlOa7Dd22zB/5hoP6t+v99pbeHh+Wy+4HSLVXYAKPGvRJnLGGsEYh8shOmIKiei+SjAsjHDIXRS16hCEMax9jncbq/KCDGMGBhPKkVfYdKf+j+q7vG2rw7bPdXfe48p/rDI7lR/i2YYRF5/tp2VpRuGlx5AgwyS4a074WCexUOQfWM4iV5o4qR+iZhTzWJlaVMvOWmu0fCLHJnxDBURHv0U00kitNzi+xQ0DvXrvNPe7qj9PUwXfo/P+Bm+a7WuBuro5PJ4bfpVKbNnSXwXkS7L06lXaf3PINvpiVHwd5XRXPGWUMFvz1JP25Xqaca52El4QwWjn3/wZZ3qr3UkYiYwFs3OQ3U9Dm5uTH5nHKRcDUcnJkpOvPXgQ06DJS2LU8n3gRmMlCT6qD9xBQbbPbNxMAxv4zGmqZ78ohXdrVUUsNZWmQLWK9Fit6oUsHalFssWXSWH2cueTHJy1mnLMb6+Jp0EzUTacvMUs5vJ+lRHh8AMR2dshWJ+F4basVZ+RJuZPuNZzsXe6uzTEXx39umQU4azGB+Muu+PUWDL4DN6l37/8xi6Sp09mg7hqQnHHl6Jngd7Z8CDcRpO0aLMuzdeXpVtV6my+XqIl5o3urc48z0/e3cWlCAPJMDKIm101s7DYTRjAyx4SIE9Dg4+158y3yqF9ky7Paqmeib1KevvGethcXeN5mR34/RV7eiQy00G8PGszlsIlL6m6sD/2y3ZMh3XAXYVf4WVu8b6JFvNPIpglCkFtNZlmSq1+H38Vd1jvVfOHmD99aUoSKW7nZYaXz1bl+1U6bLH4fQGjpCm+ika0b8fX3tyHfVVbcP/e3gycD6ErKbZ/wwFMhM8E/gRGAFkwt5sNn6gP4lCICLWJkuV0ovZxgE8+JZZzSXH1TzL4hfbLWDhpTJDNHULm8cHGg3HcyyjUyn8Zxw2gCp4FCEmipzL3ZXO5VJ/b7fkXO5WncudKh26ZJ1ejX7EJqlsSa7oNkLAMk9Ng6hgXTeRuNPAX+jkWftI7XRX4KITYe5x9CUkHWwcpNlr0gORfdIww8m3d2X+N2GW0suFTvBOCtpQla2llzDU5koMtbkqQ21WMlSVrn0QDscBniGs/NbQBONqPKqVrPZTPoeibFL1WhtgiaLdN890KSCFnnAAqoZCrYOXrM9M/cowAaYQEtqCSSB87AznZLS1pnwRjEOtp9W0enIRoM1bf0RNq2Sadq9UCg0Wwyq9vBTaLKFXlT774fIci/kms+wx++yFKZfz4u2ok9PDwyPVbW10B7WgnrO59CUm5HACMl3V5ijmsTC37hG6htj6rCpp5Ucqz6cSD6UAbpTSnQJeIL4ErnDmbdhfaVf3V93V/cpdXaV9S/XxY9byqiuxisp9AvIO60npFKA4oMqzyH2QCtM/ZdtW6dycFAzLjCJMqqPD65eYdAn7eSenSnPcZj4KxRxk3ek0SFNgTD/kmHdtOValQUvq8cMr7sLz/o4EdsGKsLnMqgGGxIGvDj+f++r792Cr7+/Bn0cn8OfeZ/h08T385z/PfoEfTn7B8vgDuIVcLHAf+pZks+46IStdoEZmTqo+/XwCWwY4MSDsEHiiqv11jhoHybVOP39AHMfxFwb6wgWQSzaWkbu/SO5upYJPVdXoYXxFgp8dfDDnBTOaFmt/Ozs+OiLJQ9Z+u69B7sTlQdBOt2i8AXnhMeuyXbe9Eh3S6DeDcPCa9AjQ2u193dRUsbo9k8eAFGg6IcBCqi7B3pggBGEWg4DH+4n7kLy1dH5zg8kvIEBIAnce0TXeyBVVMrpbpcqXAEO8FNme4iY5D2/mID4Vl9I8hS2qVPQV4Bx2sF75cY1dP2UdXkFwCVbOV4Kp8E5/PDw/Pzo4ODzRDv3Lj0cX6uLj0dmnw5NLT28nAl76nNK2vwpGNyEDsQWjaKiNgSCZWuildmulAHtrRQWhXc18VWo/oY8chHBFZEIdyw7NI9bDhxb1IWLUh/paQdkYV1hdNtLbKEFIOw5GG+uRt++6oqq/yrwvfvj8SvNdeeORZvCUiW2uMrGPFxRD5AQrOP54P+t52m9eZ2U3263tNsWNtW60NMOAhk7DUY7s5QeAdR3jRksy5369kdorbaTSdJ+u+j+CV9ZbzVJqcfxW7qkymrqDVVboNIluot9xt32+WNxh4+iR1LsqPtxaZZZ/zQfvF72cLzvJDs4NTTycGYMjtdW38H/4Op2No4x+SP1nu3y726vMHmPM2p0Cym39dyUF+VKeO89ea5V5/pSp2vjqd51ea6P/Eq77XnuV+e1N0OFX6QB7lQUEFi5zi8HGUl8dBlubAJ1VCHD25eYPVSrpy84e3qj+oBiiuEOuVjCvL2YJIVMNkxjRq9npq80e2tkM54UIhuQYH6NLNpDIFjmjDeDbNeFCsZtlpazHVmdVr01l1mNvFZ92JEVPjyjEL0pxCpIEIjnRdx2w6zqLZ/rMXSkI0l41CNKuDIL0etWBwjDdWc4Xvxvt0jS6EQOD+ZCjIvBBWJjgJSmFZIj2Bl96HWMygOLRmRzc3kpU7q1K5V4llatUZQOKqDfP46T9QLNaK1l5LjQ0vlfJDdGbtuYkxhNick+8sxyewJM/Ce5VH/YqE1tIulKwpV0abNksIWllsKW3SlqzxZ1Us2Aa5uJ3UqZYTGqyt6y5wznR1WBj+gjlh6B92hh3OkAgpjPVrbKti8+6DsZpmIeSRojAmEDFozRFPYdFIPOw12mABEYWR2PEU6jh6iu2Oc0UJbM3jdEhE2k/vIzTw+iZfmJ7S6elXkXjMSZlcZBNft1eSYKvume4bELGaT5y5oe8r5IDqoyAPLzoa+0oxxd4Iy8kgxSEtF5mTl+zC40+wkC2j0E25MQ/RnQV1W4dhaNTWgPWyRHmktxg7zFGg4UJTXUeDkMs0ax0ii26mdYhmXkzQavKuyUPlK4134lnCPOtJHtWQ7sgcUeKHEJ1yf2DI4oSaUh7SyUBdtHf2K70Nz5emNIpLRXLU7iqluJl6CjW5q5wlcTMchRam4e6FTPcj6dZMMx+x0k+yxDplFZqdYoqIRXqtP/fXrl+1cpVpPv/z5/hZsUMKaf59ad4euI4zXbVY1FI+vhsBh5UzBtLGyoLG/7nL+9WpejhmoaaCPxwVJ058zKzNi/MFySYLBoHr2ft2W9XLXJVIdP/+AUuKUwq6CcMIF5boQ5hjcm+TtygU1qClJ8XoaHXPv/w/86MqvSc/TxgvMUDq0gKURaY76mMSWL2ahxMv+yyDsiJbZ4GUxmOwwBsV21u1bQSriPU/GawzOre2gxcpRx9TkNpCxClK5r0BwzRf722HUKtK0I27k28Vfcm0GPYXTBV2ACJsrVo0S01NroLdjihvEoGR3CV4w/+8/mYADb8TG+mmVObPmzAwx+26RSW3n1rz7dTMd9FwP5XmzPmB5W/DuU1T7Qr8BoEzy/A+/xD03rmGuKZk+KrKXt/EBKlTVgJ+F59yTTeoMv2fnrvo2HmqxGXn4jXAGwuqvu5mYahX0hNc9K6MJHQlxRQ2J0IO7DV3m4jlEyUIhSMOkh8+yT11z11iZ4HW1zCJaW6yBKH2BHPoOSwcpbUDXksN9Xxe/VWYX5rFz76ahpmMDn8lMWZ9U1KLKmn79+1bR4i3X7BfIM+cdvDQZNfCkVwQOIDUvvUKCtL1T2sAO4F75gG2la1tppPoyyte7q9TJWnPAViyJUmyNpZza0GF755LA+rW2r3dUvyj2YMelCpdr2PRw/rIKFoHrS7OL954WrZ3Codx/emMxLRTga3MZtiG0XGIeq3uk5QFhdP3Fr9Km8Aa91ysYlRdweVlOxVUNLtJvL42bCihFhFDUCRgRnzWLmkGqZDCfIk9k0ch0t6lfiIXDS8Zdc6BbjHXIqpu0rsX/wou1ko292qr5wA2C01W5eQC9ut/P/0KjGCi+cQN4l5EVItPXz4He5xcx1mcFXpgcP9d3S3HCl56fpbHcwvDJJgiCitQGUMMvzvn/c2Njb+989/A10PkwhnXMEkXcv+9KfLw4tLdbz3/vAYbjg4haPlknLH/kRtgy36ChwsftnJ8rcwHJN9fqR6273NnmRwstNw4bDxQVRLcszFP+dAPL9w/KAtOAlg5qx/4bR31d7+5U/fX9KBo8dvg1Qe0k2qwxqYI59RN9eY9RdsuQDnc5OgZRI8VEWqccBQ8isJ2XbDM3m8s6sYNWKCr+M88GAG8o8PBLwGz/ScvDucYgM06cpMgrGkR9OqLDmoYEnuUdR0ehW9JnPyWyKJuH7RLcU5cTXDH7kcLWM1ebDd29ra2t6GQ7IvXvkguQEt4e9kbIhqNAbqUButBD4k3JgvUTVGjhvDUSTOCKcdE2um3qV+I76M3fy8LTzp70nzwVzu/Y+H3D1LdzVvwKdPZ8eHoG5d7hFAAlx3FcNNtgEbhxCmI4zAZ9Ek1Ok5CouMGjDSJExRHM2n2YhCENice8YFzB8ODw5/JkrsqsMUeAaZKUa4lggshusYbClJ7DU9JSmv8Cq8jaZykrY73fxJeuJykaqZsQkZ6k9hrK0KxnIab/27Tgbbx4v6hdJyEKoqb1KlW7Al5X2+nkKN7SqLS5MaZtBga+gqmE7zyHUl4c+VlLWyag3Np7/OOxg1d0Tz6cnxL568XYKc69hdvVI7s5ebNW2pA2pGlm7kYd8q1VT33vWKgQ2mnD0EDC6dwNKtO/HOUyYuw3z1Cbf7cMCfHJ7vXYqsanfV4fn56bnPFEBBd38r+S08eFr/Z9Ch+xQ6iGDcXymr7LnU6GL2Y0jJT0iK7YHK7mNbmJsySdaeeK9i4rpFjsyAcJTglE0F2UWwhuATiJrxL9NKchSet1bi+R4i1zSVgUIC9cigIX36mZBbmgyLtCvDUr84WBpr06r/NFptCFTJ70ETg69ydHJ5eH6yd3l0erJ3/PfD/dOT00+/qFp7s+6ro7PCz2fnR6fnR5fwe6dXd1FZNvuq1u3AVxacpbWlapv8DQUyWwO5xEC16Kf9HcGT4JXYLBjBW9Thz2fnhxcX8v2gvvYCbD5xARZBKF6L/kgT9BvhFp3OJ2ESDQ0eqAGmhWcG45QsENi/nqnIhws77o6u/dMUw7XagyofQnvwpopugwq60Qe9w3meuKPT740jt2l0qxVPPfeRzz8E2I/sjIdCnlbR5pyWXXNQ0A3xPFub07aeQLEN+uMD2OtnQXb7spQpcV9dBWkIJiXWuyGHgeBjt7vrt0JcKrRNpM5Q+oWwqWLdWesSZ7uCOATVr9npNkgZ5b+p6PtPVjd8lEzuQ9ZiIM0KsqkwVCMAXxK0ES0VvjOpsmg7P0OT2CxVJTcL+ELwylsyFVQti7IxWFIjW78FtheSY5gAR/vqFuTDGGUEsDzMfE5ZxdUB6fVtWxqQ8sSR5DFYiB2dzSXEtGI7UuVpJHfbqdLDy7RHyp2IuAvMHTgxSswCo6fw/hxp4GuKu+HSoUcjUaMgC7D6+DZWD/Fc2onHiS9wRwamWjou+jIdbsu94bm0VheHl5dHJ99f2An46pHR06BX4ZF+CY90KnjknC3q13Jg4AHkdlSW9p+gBbRadQb4Hkeco3qTRISYlwRg1jvphJNQdRS2S9YLt+SZf0an0NvWN1hT/LbT/yaNk+z9w1vak6Q/0zcHMHrKYXx7cHixb0fgqy9hSPE92rdUpA4bFIE91iV9t4L0F4RlSYkuPuFp+6Tyukth4S71UnyPVMrieHwVrLUg4ddgyMk1iiHuOb5DPcMV+n2SIQh95U2+jGlX4biUd3kbJ/H85haYeERfk27uifPRQ8AVXKE6oxiQX7kJJ2Y0JtcUGDEY0E2iyQTBD0LYN7Cw4XQk0GfTWMxN77fffvNU4x2ibyjNKtYS1atyHY3Rw7pBI0lnIUUNHc/rLYxpHI6AqDEfBHjd4ZS2cQwjQSApHBjcMbme86GH0faIAi1UCa8T9BnNYxReAQMNESSNEseB5uhWReZhrFAE6sML/0jb/u8KaRyA0hWNRxjb1wn7nbKgmHA13wpr8vfepoR7cPxIVnM3Xs8HLidNK/WbuH89Q17Oy07DRjRNEUgoQ98dkNTuoYu/HjfS7AGE3yyJr2B1FRxd7bdt1WjghS26ME+8NJhGGeUD7ajvrt79M/iuefXuOxaX7zY2Nr5ryufCA66UtHhgbTVWfBk1Nc+5b6kdS0RLIxivoYk9EAPIirhQmN6SDQTj8TYkpohEWy2Tu/N4THGz1IDNb+gPzJePy9LnbmCygbF0PIg4yRhzdHNfYGKk+QITR/LMQKxzwZr33njcpP4nYfNoGtAHeoKcZh+Bh8FSa5Ju19TA+aes5eC9P4GYbsJetYaH7E2sQbuKYK+QIN87OXDL3vGAVPw2vZf5AIf1xA1IpVgSk76NRuS/TcMxobQc4AYUry7+jlI7dZ9ymA717xwpkHoJpFszT5oMliRTZs/m9iudO5xpAz+4u5cDRs4iKO/vrL3kn+79EcsS7vVebslWpvhHPE/HD/Z1dbNs3m+Hh8ckUovLVrIuuNmkTwmqZbtKVlUvJW3GXSXrZZZJvl55pdq+6viqW7JiZbR2VoUKl4rrSzkUIS9wdgt7iWs9qATK16tPJz9hCaeLXLDuedyv2L778Xg+wR2DmmcTX6m+VaAS1F93QwONQf+QKSLYLI6CH8ThFU4Myzcrl8icfJlgPkCW7jq/KcmjouMdFcmYE3vtyvCLRChyPx8gTjzmMxtGcy9df8cBaLx4Jwhujq9RSg03aeEyB6y6lMvMAaqVX111ORTyYmwBTh2Y7wjxaXhrdX2nqN9sM8TmU3dRGl2NzXjhdjwknCd4e/DyEC8l2cCXTeYpo7jo+706qO/yMp708qEz+93Bw/WgscpxPp1FkpsFW7kRSCmMvBCXcaw71/CsBr0Vc2DgSn1eDXorlpYx2qHcU3l0bVbw/gGJmYfXPromoPplGKmFQ/0LEJpEYgbcwdYF9bAY2oXgPkHSgYnrahgXe2QFsX0kSY4h9p2aBSNKbWh3ZuzK5leIXqLfsjn7ygOkdCcHAAk5fW0pM6igtACQ1TBxAlhC67QYE88JGosquBb5S7w5ZOeQ3p2W2U9NfuPGML1j84xsb9cYYnUrSi0SHhkFIDDpl7eXH98v3oSTXbhFtH7ZOtEUgfEYjA0TTSlRIY3FURKPs2jmwXmaFwSph9eO4vlVBjq8TT4hPgLaDjlXjTRKinQblEh6RZoKgs2CMq5zY1C9n0SZ4LVRYsyuPtJCOYsQdxyoCVsUn6pTezDfaywGMzKpthfYSZAqSy5mTnhmQchFI2PtipTTggiYgQU5CiwYNOXiXPzIddj6KVLUxMFxPvPxvikeE5RVkRnJ290CzqdqM7bWrIoDNMRlmY8DmJ8U/u3gAcU4a2QYXoU30ZRAi7y37W/btCT6+aCj/PoGv1WgkP/6hvWLKR5Dknc0i9MsiWcwgYayknAzt/MOShcDJz1PMVFb8oLvwSRw3DywPxeXCrSZ8UjJ2ZFQblMaGzaBgc+nWvIa66G7tWL/oq6t+BxsVkrjrQoZgUX9iw3uXl4g22TjLbAIw5kGzwOt2OncKeJhynmSt7J83snhT2r/+Ojw5BLW7zzEpCRUO3TrKLaqiVWGqGcD7cIppdXiPzXufdZp7B+32ow2DgoLZbyL10vb3siL3ypLEfXUQasaJhKLt+8E/pZRNQy/cB8b7W/gkXUb530aHI0t/12nbEaEnxSlq9ZFlbHFdpWvDk/LmehfVSWuz+UNxHnv9H3Vh3/brZZu4IfZZehgo3d5F6CaIjN0UBR1PNhCw9tgemPPZ4aN78N/+i0Cj2+ZCegEY3yNaRziG2Epbrx1iVlSnFNwjosdBqM6QQOEhsTNCG8wg22EbV/jXPQJPZSNmUHsfylKm5Hg22ksoyjldDaMJAvSuFl0MzTlcVa7p4n9hAf5quQxLqk/Yd+YGxCV2T3mPOA9KaXi5bLqdjghtGOcddRH1Jxq6QT1rlSIS2CPEYKAbjxlIauiHIYJf8Zp/KKH4rH5WhnAwNVbL1sox/vmtbl9wZTVIhEUJfgSkRPrYkhZ/665pYW3tOws9LHJuRey0ste7qsnvlqBEuLcVHx5PLWvXncjVkUgLlBDhEN9v1DwSbstLdGB14NdGcJGxwgPJxzex8kXVYPJI/bcdZQggsEt8DlewY5p0WQjOFlIccYsOdCiwIQgVYuVJvIDBfoWbcxuLvfysuPoYTgmA9nc2HQeYkIf/LJgjHa4lC/qF7iO4AXwis6qUPCdSk2l3V1x8YpAAS+6eOThNATa4VxoNyRh3KCWpDu5C3y8R69B/nFqNge5hXU7EpjIPXhdpu+tSLdT4zh9FcoxZ7Ph59Km2+1tDvSEe+LYDkEXFmZ3qQ0/6yv5tppknfjcswDOGV93bvANoIKvW7bBh0JslHOC2VXJ0WkxT2I2F8mY10DEFDQgG3LIui+uoNg0zgaiRSzMyo7UHZgOiLtvW3uZq1yKpBoY020qHRNSsP4pZoGc2MSQha+qyebLtOtFbnkJRrHjUTUSQBTguwKzOchu64vDY8QSkVWsWkubPAItwJPIouNHs5SvDNAjl+jsa3EQ+sZERfcnp9f4mj+y+AZVlm/5feQ2MBq8l2pycoiQ8jRRRZGabwYMxZQdnNZ9EsAwsIxF3M5cYyfZOxSe/6LDvyB3KYlqokZBeiuylzqAW5RxPpWLcX/NoblR8vvxjn/OsZm6r4IJaMGYSs74klOdZ7R/i4MK3WAmpx9po9l765nCxgCRrQI0l1DVE7NJMwStnwxcl/VTs7sP+Nc98AtMm9GINe4w7jB7+tzOJ8G0gSoT7cdp3EDP23xmcllIpXTIgVTkS1zarUK1tbdflVczz0Q1inRxMulBGOg/eGz5Wna64SX2lfOeIP2SsqrBwcrURa3X1mPKXBwietY9ahhXoVXia+0i5XyjrDVgpdGPrxc2xVIf8xcYx7B9byd6ohI3AK66y49jz8QAnZGTY9UElbRyL8TlAA9+g7EE8oZlTKmGPIB4C77G8HSEz9NsMANWnOlOieh7TJXn+gU4IHyP9UdHPx5yuN/NqqIWm3DNFdaosFabe6vejMsXAYdWtO31UrAS/XyCL9I7WonORCWP4p2NhUEKZY5OXNosJzmo+AVa5uWz9rjnFZ5Lm6hG2i4VeUgAJLjX2ZtYC0y9w4JZlGHSaY3fgf0XZXhwgLDlKLpo50kG4KDaLcIZa+8sZHtTvTfIDMv9Z3inhHHWcahLRdTCS3XDdlg39DfpvwQEjHrZ8xnLe05CuJTXK7EOBuMeSqBDuAe//JnjrUbgpgGZ6TXYTWenF5dieODAKIpHkcNgauF8JjpsG91g3ddolzbPDSi8RvUDccMxcE5tocQ3sTtWwpvs9Fb0mXYsdt6gX2mJbK3OBYejKHu5hV/qN130Nv4LU1H+Wx/FlEKQ81H6Wvn0Dg+OLsV76ukAKSPDiUqDCrHJgBQGIKaZT/k6zJVPWZ55xyhXNDvhD3HyZw8dnBj/tBFfusVXfLVd5ltGj6VIRZ6IatlEiz5SqTM0btbi7w3tvHWcrqzZFOa9/mxr0bQRzGZSoFbPzb4457UVju3VmfAg1B2pX40Nk/CaqvYWdSxJ9BBTKJg+CFl2lCfS5jZIybKbiQFFd9TS+gaFR3HoWON3F0d02E/0o0Y4K7ieD5xS5Y7fvaMrBYuqji96Dh/ksB7SeyBFL4d3iXE0G+KfY21yuIF9M9xTXHf0ia4pGfc+mFJ/PVxrKVlDvCEeo3CTk/dgAiu8RBRaCqbw3fgB7pzEckRrPQeHq66BUUXRwGag5HWz6gWTa6omD9T3tHBYG1J4Z4fnn/ZOYM8f/8KUDIvX/lkRBUj1g7M0lst2FjURWKvlygj9WK6O0Bo/icyYT1dNrhrRqYuU6focXy6XFh3MP+oJ7itrbSVPjqcLgZgaioACFYCPMaOUPHf4jBErd3WT44ns58ZvUC3SyN9DnXxtlThk+qJNJ1PjRedYFY0EZD3YRDOM/sziiB0bKVa5i0MFL0rCO+oodbx3otIh149KmqOcEmB0wZAl+k0bgSqUczXJvdbKYCotA6bSWrFjRXdgO1a0qo7hTlVY5ZKsxXvpXptYAcf1wuzbyVS7hxpPrpErJ+G8iLPXPJ8o/Ou80wltaJ1yEbgKI6GaqBA9GaLh9Je7bvmpHXwquZBtDpCB5aZDG7O5HvDqr6rd7Q04IRc1K6GMKG4m1Uq/mVepbrL4GJBDJ2LJDQs5SzYpaVKeguSLNOQg0GGrX+Yx7q+qsj2qp/VaZUUp3BjCMMhPHK1lRchXpB2xi4jymC/wb2qrueWVR+GmoPLeBLoB0fNLFLb49TvqaAS3kDPOOEp8dU7Zm8YbB8LiU0AVfPgBnR2+MTrgvvlkEiQPHM+xEwFd5DuUQ+8wQDpiY1kjurvJzTgOHhySg7yfgbqhmmNKEaQIxVCOZzDp/pfHXwVK5jxiclIuA9jiUUpZ1AF61PhKzqEKxg2gdYONglpxGnU7BORny7rAE6htqQkIvl0tvqbhfSPfeW8cUHgpw/OWEvDYkBHuJD00SMYoYKlrMr7jDmHj9T6T9TDLgekjmrJ+gUGEer7cQlRigpXQiuSrQ5kC1WqysHVDMfGLwX1MI5lCIG4uDnaal5cTah1Vk/ZRp2IfiUJNlRw1PRNEb0UUdRjUKLohbb/B6c27aj6bcXFHw4Ko7yJq1z/nuJyTyVw873Qkc4bD4wiPskDrqa484B2OU/OZZxxdnI1qUB5tWYoL/x7bGaF3ga3V2j8D9h8Nx2h2vFO5PBOuF6FqFIr0z6fDbG6agM4poO2dYkR7gYxegw0WyvVGnZpBUsjy5kfWWUvK+XOn8bRxjO4Y/UD9HmsggnAn2mD6CyWx9FuO+5cS0uazMYrB0Bmku/qi0SNCzBj9taiWcTZOCDqwbbZdzCgfw3aafBnjvUQ8OfokRi7bhXgcd4HW3o2DmCD3vaNSvtkwOQmT4OuYe9r3W7tcYEQD4cVr4MfRwvJ1G0m/sIJGDWS1kWlO2YJZEjHpzEO8fwYKb/H49rZuR2KWRloN1P6KLpnhNj2/bpYGD/TxPHkeKzCdckkYdCwso9fLCI3uakKDAhJGaPwOm9yjyFKUGpHLDGKZvtPvF7g+oFyVKyy7DrPUYX2ud2HbRYot5PQ0MZPvUI1/x++IEWQqt9VNqznWtk3aL6zTDLQqh5V2tPhQp957OP6n6ht1gYrer28okjP69Q2mNP1R/aENyu6vv6pd1WhIbuvHy0/HOAypeKK54+FPL3uA4ynh/vNToYwE+NHU8I12JMde3c0kpROrVkLRuu/sNiAo8dt3V++u4vEI67U8w+G1IIkCBMvEc5cergNT3/jqj776wzphqTxZdX8Iik0RXCFPedkEXY7fyz0X5Zr76CjVcJuoU4SE8zTKp5BuPGXP9Cr2DNWmvdYW0QoZrVVwNfQcRueKxYC1IzgNsUROGp6ArIHl/8sohi+ncvB4wV+u7BJjNVPI9sI/A2Thv4RfqWM8wrEV1go9bFXbkbKOcm94bHzoMvAVvbib9EtfXWTWdUVev2L5qnHGX3D5/tfy9ZvdUkN5fYjwQeGrb0FD81UN9u4G5dLpxazV3UfRJMQiDHS1y0BOJL7j27aqbbY366rf72O711auvf0j6gWvrDv20qHzkrrjqhgWXL18TH5OMVh78TcrFv9AapCw0n7FPufPYQevgRpfqEBBoJ5TZe3NqbM59Ti3nc0//XxC7c3JX7l3oHJxINqevpaoN3jckb6KvnmTboBv/fbJ79tV9DbysFupbZ+eCwaiPWV7t6Mwh1MC1pqyeNEBGxp4fa5Aw3CTr9qDLfzaBW1wO8Cj1Lb1IsOHBvnaCJXmSVJ8sDon/MRQOIhX/HsyA2I0//C9r07/BsuD1/7wfclCF1Y0d9OuwlvoqnU3zNbqZDqIJmgpxNPfnVJHwJ37n4BNP9GG+FRNJnsHsPSnZ9Joe3UacWtezjROflfRAjopvxW3Ue3zBe523Ni49X11cOirD+c+0wX3+mfc/rjnQeX6nlNA9h4l673g7QfkH6Fc4YALlDj/i7ZpDQ8TPQofexcgtKwHO3+OqU34CnxqXrvzjoaCGnETYewAsR7Ij4MRS+el9AYMU7kv2bVqXi+v5r2RL6sclIuFAcuX9xK2wG90bB/tnezplGkJzqNBzo7fekXH7Gcs+zUMs0E6tLycEthoNBxY03l1tjuYLpzxwLIB8yj2QOfWDpS68TfuUWJk0Lzki3w1ixjfKiJ8jbGu3g7HoxxEh3SpgDXLNHH0I39980M8/vLrG5uok6OS89grLMQMEy+lcNlvoqAFYr8zdD1BJelH62gOVvzBxppZK92E6XRdvdwOV2IZp6+SgAxAeByWHVNWBJ93WCZ2dRUx9k3Mlv5NMHwQwqJlLxUqOwonhnkQ+LIfHqI7ynQyoxIP/mB57MCTB5BHYi+NguZ+MB4CWQKsbcK/5QLYRPh8uu5wDlMNmz9E4R1cpf+CX+Eis7b4vPxS7paIPxlgmZe/V+LlH1Ruoiov/3tGSCb/h2lami9J0dEKsWi554p1B9dfpNFhSdZO2ShI7GQhlpkuHZCv95qUpJokMcrYA36bRGkqWWc0fY3ZL4DNhkHJ2+yiDYUs28yNUZor3KHr2yZ7vWT4Mj5OvnDSCO2gVM0zcX2ugMWHco8LmMQ83FEfoq/W586TF53/jDLCy9JH6WeszQvcEnwNctiAPX6HtdUT9qxvcKEdzZHj8XrmxawzWOQU+2xQYqtDjSjlgiNx+dxyOi+vB5VzRpkOr+paWJhjAG97YEhxrBeN5yDHsHx08fxo9/M9EwclrF/lmC8hEwnXkGWVtuCp81SFwmAe9RzvGyfq2oTknZIVK4S8PcX4QDcB5zWciMlMbMxTYS6bjYMM1Xwngr6rumfHjcO9i0ujX+hb3anLaRA56cmWXDUG80kzIHLGoD4+48D6CAPray3EZ9OU/frGiuFcBxTbmBK3UObuRgSadtx6f+XmZ6bSUPvIq8FY/WRG2QB7a7dsUrUSnH44QA0gFjasCeq7MrwlOVXO0Ai+CYxnlAXzq0mUravatqv8w1xo6yyEXRwK7lUI5Wfxq63rpbiIlxuJR4FwjTCTuubkT7klZMElhVY1EyHylwW4uOgBDKx7TM2onWmGbkrGGlyg+2mK+Nd7xd3T6kc8WB/kqPMJCYhrGMImlkbjd9jVEHHKqNLC9P47ujhtILQtuVJ8Jy9Y8pYMgD2rnTZhW14Pj0F5ZlX34hJasua/J1LumoFIerCjf2tNXxTPmujXuUckWd2A0NiRmhDRwhiLcp4GIWqgPm9FnzMiSaifozCdyoxsT86FVmvg8MGuvnhIWVtmyZwT4hbeZdAD5qyL6p4nT/E7tKu8x5w/oGexoy64+Mw5TJs0e7nA3V+0N6TXhskYpMetV69afLNH8XJGVDC1OKlUgnrnor3gQueLR7SPl9R8Ri9i5Ly7MNB2w3xsfdV8QCBPcMSP11Wcf7eRVM1QzQWVHFM2/5SWBy5gRcHU9jAGvZ2/0dMYF2ZH7SH4BBpCTcJ5mdI+xHNEjye3O331NzxP9q0BL4/LYNHJeGHA1ijh82eEfstoMp8odyx/OzpTDGGiJNiKPlu73wl2cOplDpbh5wu5Q6LGCp7xbc/JyWNbCJ6IKbJiYWwZeBUaPBFPzBWCxuaNdx87XrlxNME8NAH76DpH5TBOEAoTtCknYLPoXiy3Z1Zhpl1lmYPNRs574ST07+i179yYthToNSlvA5NWV4/yyaqBSWUXzHqYa4YpVJczvJjam63NVhtbfvQY3SpHZuJMDs8h1pqJieNfHCEXOnJM1VLYFXK8Tqhva6OT1tV3I+HRdDiejyiGxfGr7RLHRscCjHS7leZZVVBkoSSTwFe1PNQz4qNkT1e+6M6TWMP3aBGizpVaxzqDH2/CkVMrmoQCq4HE8wj1jmP6HXVw+GHv8/Gl7zSYkaEfHSidCJJh5IIczUCOTOB0JDwfTNVXNBA4jZXjJCKd4JU7uNI+A1sz9ryvDj4ea1j6XbBe7iIwuQnfUg+hqc7OTw8+7yPsPWGvOSJP56xyjaNK5lgFHiL40TCXv4CT3IR9P7sNpIA1lWGobZOFgCOZkwm3LcD4AUqFySylMBueaci73EnOiX6bfAmj2hWG5Qq2fUNOCgPzX0JJm3PEcGn0JVqcQfpFp78Q4JAjWvCZRxhb4ubCIB41StyOMg02Z/NkhjUu9Eppf0r4rKhnSMMgN/DGxrvLNjgMDdFilBHN1QuZ1NpJSW4g9KW521p7BhwJZuo6qfPNsHQrSeq0liM0F0JTpYA4W7SYqKZFzrbVo2ym+igBVVULlhZcgdsRgfzQMwp3YyOjuUm8Z18UH4P6prbJHHBvlcweUxNEN6XSkQsHVTxb9dMc7FkZrFtFUhivczEyNFIAeZa5nhpiphm1cmXOziG7fibGhi1uQolMPI/gi0H0bttfaIwqIzw5uCO3bSx5HTgiy6oBwZJJAdsMSFnDLlM6a5ByG/UFdd/wGIihvDDxhdHZ4cNnYC4BXuqCEJle2KXhFgybvB+HyQwn87GnBfZejstwpPFUqhnO+8DbPXU6zOraCigyOtsCTm93FGks2HgR9CLpzhumbgclgEua+PpaY5aDLUbEWEo63zCn+H0b0nycF2dr06AyS0+pgr0ZFHd3Ok/uKHQQuEiUJrWakvNzgouXyze2Baalc0kjV50UzgZOukcsuVKwxg4IXLmi5Jzetud0y35s246bW5Wnd1VUWxJVQXlCmXkXBcD0EbBl7fD8jPXNxjvrmhEnHNmxfKHvNnhX6RDYIneeaxVNn+fyvnWsDhwRdSPEUdLQjEmeT/vbanGy3paDOyjcq72IJLtQlcIBj7Rb1UhjPGTkFiAFKWgod+TuVDvzGTn7W0sfzVU1fabUvaJ3y92sriAlvpSCWBBru2Jcol9HDFNy16hamadHPFC6jCRtpryY9cKZRsxqD594ZEuwZW45WAxuTYDkdjMsJTDPhyIL/TzRfeXR3999dfLELBQNpzg2HO3babxWWKilK6Svq2l9ui78Q9MEAjqUS4Vyi/QRb1h9meQkz88nBHsw4lG7PJH5PXGTh18JPGHRU47Enc9GiGIBA8Fm0kz0yHArbek+gfDkRcSRk8NJYzEbUpzSy5Je211JgbZmAazIfDqOvoTFhXuSe2KwuiiRXcb+qQNHQGhHELWIlk7QWXCVPtIL/BkS4zqeJ/T4HS3d/Oqx+XpgxBR4hmDgGA8C8a04Tghb+ON4nPSlxBXybAQIIax05+07tKTC6I0xHPtjI3EL24BL5haGuiNMIc61jLoOwN3kCMR7ZCZ8ne68ffHDZ7xIfjsjmGwRZMjZC/IcNJnRHapoozoVPpSS0l1RQzis4uXNZGhC+gK5P7SkKdt3ZuHWWTezNGC3l67Duh7vrcoNgKUcO+oLVdudwdGEekNTfQDZD1vwRwwm+yZ5zGeMvfDeZ6hti3ey/OzUVzzVEtZjia8xhh3KmAg+ESUhWZ2MXUwTQsgI3VuXzJj/6PSx+Tv2cKIH7IJ2vNH/o2Rd/EdnawOkTs16gQgDQM5HZ3JkDqV5kI5P9hf2GrgnGjtkpiHWaAlcCJZB6FZlTn07+XaCOW5FUXP5YGKViQtEx9i81r2JvWbGsjuajiIwZsgaUIhjMLMRefH1GBNOhLAoAtq3xsUmJGC5HbbBB/WIDBQule+ouNRb6hYTillXUd5DtOR5GGWlgTb6HE24GmozLsj4CPKIDxnU/ApPJKKoJjEb7hueoZxjemmWMKQBtmj5rZb8v9PbGPQNuZz72i31R1n6ZcttQlW84tvO/+BelFafQekRmvSBFaUkcWBZjJYQpk0oI/Cmi3gSsqlwTxVlSTy9MdPaNJVppjQLPaw6oIPD069YproPBr582JIP3RJo9W7HKu4Wo6JbWfvYrsocW4oUgqApIMblr0eVcf2MtWIAzkukhgW/YZQ48704WKT773J0E65qN9o6czSW1yZhowTJBPj/zP3F+J/4TtkDKQNNYwSPH/iNe7ilWLWC4TTGG5JTpG6LF0laUr2rry6Drypycq/K41TaNs3lv5nHkdwggQHc+QEtxkV6TON7z7EedlX6RTxZ7FeBN138cHR2dnig1XBdJ1oMhzFF8/EwYB3EMANd+qLV3nYDnwsj0f3T0Xl2Fd4GmG5C5eYCt/IUzbFTlSYnc1C1cxYw34jKzgXyH6jGsiJabKtln9zFCgtKlPCK9g/Tcp4f7h38gl0yhOKEGyflKlMGNcHWhJpr5WBhF2U5jBwuGoMfAy+Q5GLThFXyPLRFLnApdqU21iQJRlGAJVQ3Mfs2EMF+HDYYe8eajAzTLydJWJrJYPET5B7uwXKDiw+mDwyNpquPGnHuUyKIQK0iq+t1ZJM3T1giZlOTkuhrKGgjtZpOFsGlclblE1I1Sm1dgNzSlMMXOtHnGAbMZ9xT5oyF4qlycOxgPdBLZbycHecULBCHIbCZNqXcZgvZLZ12zeQLRa7aGNH5ZJg+S6iUfPlDCHbrj1EawT8cjPUk3YsXKV+9jPYO4WBwrwPC9cMX8LWIyQ8kEkEsyhbjQOdWpnRVih50EUzccmghXjMd6fWiNghg0LIK4zyA66bzJV/XXHAirjxNdxagCw5AgyMI00f5jmFnXgrjunuSrKvKZjzU5s6OcrC4SINhvHNgHs/kzn2rI80hE8mrv0h3xRITgXJscZDqkbcXPB25UQ8xgS416pj+WgfH2PLLRwO45lCKzEQCmB9sc5a1QJx2C4hVk6VgVe7jsVHdiMFWcgmX4qJLAjL2Aym0LlXcH5k9BYCxJeE+0t1aKShbKCiBXnLMnaSERKd7p04kiEm12PAK1GJSUWKYQN4X57UywleTqbSY8dvdXDHjt1uZNt+pSnvEIRj4ar3iZndwUgcCWvuUyXUVJL4OB1DGR70a4uMnavLBgYG1Gs5i5rkZB4cXmdyM5xJE2PiyjNKCl8TfoaQtzG9D2JSVXYTnw532EM+9O0ZdC0d/9qTt3gIgG37Pt5fxrxQm57l/7NJaK7DSPN3EUhhd0wCPL92PNG8ej0CorUcDsGJFgd0t7lrK57TNIWyCibHPF2FEmEo4QA4ryqGleaaGtQXjCxgZnuF86yGN9AAv3wlGk2haN22EnHWXHDodLYL9JZ7KXJcRHh+TBdQBGUTA0aUxY2ISrh8LoAOeKqoCWZBkXKYhh9H2quBN3W0N3gSfVgJvggsrN25VzucPkhu9A++IqA3sdTycp2g/XXEln6+oHtTdoVRV/1JFLuZFyBg2BZ2Uh1S3R5rDwOiinVzDTyo7ljxg31QR+tLvHkEbpIoNMcqxWMs3hSu+1Kf4Jr+Zy14j9NxQzQ1LarOjUqtma1sAt9ZKd+0yVXXYEZkEz2f1/hS0FgKrsVFPjtPmeORUED2di4SP+bH6SW61C581aNrTiGgvOKnw1EAJNzKKG1iBaPoknakq8fG97XeNMkzvWwsSGblTfpS3ntFjnCSGHYhuvj7TrbPu4Z0mGJyQaeBZhEqganlLIZzRI/CfjE4IrxCIYUf3FYtE848r0hzSwCgmczAKKHSKQfGMBsPKvG4EU6rJVPY6AhG1EjxnRcdybS1tL21DUS7DypSP7UrUuaoeMJfsPyTjg806bOM5Hw4p35PKYwJueY/BmVBrbvVH2e7M0PlpTMcAVITc7GnPJje3IqURT01fWURq6hNPSROMFIfXcY+zSRqO70JJozP5Q/xAzjhBUUY5QLIag7qGEOSe6nbm1N9tnogTneA3Riv5W1E/ZbBn1H4TAk+CYXy8vOTQJraz05XfFJynRVrGnkwbArWWiSBJ2JViiYIJCvbzxAmhjPRtoFtgwNYhE53FKIWvkCCdljI8OnAseoci7mFDZRbLVXyPXWuOI1xEBt9XRcbFvTFYsUVL99FSvNagDHCPa+EtAAYqSII7XCPRQPkfBEtDW8Lucz9nwBCQLeiUk/prSWeWUzZx39pIzgCxOxFIQXIX04FNfuAGH22gNMJz+fDtnh0jhPp8pgFLHQHmlRaM0FX2z9zs5Xgy9yE1jJBdGLj//BEvE7g/OQjzZkncoebZyzlMcqda2Xni7NiVEdkHZdh0BZY7D69B0ty+iNujrFIIpIfbwNSplKLGpRQjJdejPmI5JxM9BKDH3ztdLqjUCElmBVQ0Ei9UWnIZurtpbpKu1piEQTrnGvlZgGHWcQHM6Cl07VbQdUnDe5fOtqOYpvPlMzrGYoTf687G5TXkujqOjgmq2RpykZwBZjSdSLzfQin6d34xReXeb7/95jml5c6C2ooJ3VFWOooLghgel1x94vRuNiXwfyf4qExSganBjG66rhiBK451jqjt7u5dnJ3D5vtwdHh84EkRGefkcMzMon95XAju6FM/fWSBrHvCYxd43odkznPzMaeyz+k5X+yqK8PK92elYS9LTOw8hdl6Fcz2QfrD16g0Tnfkyccm6ZJ1mK1kV9NrdtTelEC0Kaylq/EE3lrX5PGf4k+BB8JNbFNlRNOmVNFhAwpppkF5NfmHWS8MipPFQlY/9zJhzqlAFZgmHcN4chVNtTe/8Ap7jznXuG2S+Mo7mpc51R4VP0rsSYlNdKcGiVdmulzOZPsRkZBcFYQyzZSQSkuIk5tr451qSa9sUw/5rW1Mgs7QlTcpE4an3SmdJ9HmNhrJHLnR07oStF/B1PvSi6uGa9PEtyI+sng5ZugdcNGVc8yuFYAXYHXdEcx23XL6fsl225MqZrN6QwKwkCRlM2rxwsPQp1Ud7XWphdFiKHqQZsXm09ScrJ6ru+deNHu5knG+mFJSCOZXnqL13k6XmhRSRjcNIOKk9frjg0zhHiHPQnicTmGT1EkJlJjvKQYpPnyXMno0eXMUW5D33fqTdJ7NCs46IFjVB6Qet5dvus3pX4uTnFfALvyik5HJb0Y97227e5fME5O1QQlkqDClFOLkAKO7PJpbiPh6kliRl8RUiW38Ae5Q2gST3jTvJix2jUOb0RG2yyV3YOnmmAFtxrV3/6BijQ4JNxKGevEj2qVaWGH+QkWM7hlKVCBdyDExJh7Nh6EG1BFXBBYpSy7ajm7nTl2t5iBD3VgtF8WGqD5J9kxA3Xl21Ofz41y28L7pxkvzvb+NUGukYugiGgJfsjFM77iMksQAt0SnXDmKJutcHbQWwjSNbCdGoSiOVYqAaPTOoGtpMmzOgavSJrxkI0vrpPRgihEmN1C2tsHq0C3byV5X/0DZ4uEVHpw/HTmS0rggsMSlEU/juXT9G+mu8SURbzWaJ9onh8zmL2YAYUARYUUJ/PvagTl9C8NoqL9Q74j0bj8cj2t1nXK2uSzlbPMpHLxVwcEYofjJbd73fJZ9FIphOQoD3eKkwDi9RljXmZq8KT7KTJIoqsgEPZNrcRyoiy/RzIkHuU9cbA3PN+lDUrXy8Ac/lcAf2KHvFhV2UyxYszb9sms2vHphhuhIkyliqenCzHBeqHfxJd+oa5MbpZFK8J6FbieemVxxJFga52TNrSstt6us+Ke0m7984U7zYFrrTvAWcRyYApuIm8OLkkEwPZxbHujwokgX08dTIyeHqTSQedDd5VWNetNze3JJTISTiXP50tLu9ai5Ttc+okra0g+e25b+Rbf+yzejb1a2oi9tQH8W3KzegL7d6Lj2yAt3oR+UdqEfPNqF/t5xai40ol/woT5jwYoN3x1hbXu+5zrMS894d4SYeJcE43pZJ3r3upWa0d+7btHlw1tsO+/cuPb+qnJNut3mkTVRq22yzfVafZWdXuMc7LH94rEB9fuHt+hnq5sm5uIjekjN76aQX1CK5Gtyk0hvazEezZnh9Ngu760dUl2Gm3tk+tNLsADsfGd83+Dngyjh9Me3B4cX+9Iw2l6H4yxct4eXEdw8dfGWoD6REjMDE92KO75Cddi0SLIiwrYqzuFq4ItBbUtGnGPaIEdg2oCN1eA0D5sAXWInahtw80k2YLvKP7tCu29QUHTD78ft/ddu822zOtGgk6ghJolyz+9Cp28NkMWOHAOTVXc4TpJ18z2XKfSvW3cTCFXuco6XURVqW8o4WCfKVeLkyrZvqdeGzp6Cj+R5Xkjzy/UvOB1h9bGtXdW9iwjEhnp2lTSBMJVR7t5wiYeEa5YTLUeuxbU1DnNm9XxbEqc7OI2IWzM43SO4qQLVImtiDihWadDqxL9IFXm6L94wF7ffWrWjHFwpSUn4abWOclutqqBlu8r5vFLnbiMaXql5N7m5uCeueWlqk4/dxn3hXTh1m/qmBoVQA6d1Ta4bsjEn+r1cT21G0ELfnJczswTWLZIXbSyvXSs2yba13zIRnZ8n1fIyKyqC9vPYJexh9p1m3KEz0oVgODxktWB4r1vJV/1qm0Y3aBV7zCmmWOafW5d/MlPSIwUE5Jx0s+oDja53FX9lxGNxnFsnnQBokTkjCGsYzOZTzWRkeqmBZ7IalhURtnSzYFR2SixKw40FWX2DGW2ciFHSkbpYT6XZhrsbU1+qhtkTZpNo1US3iwlc/cWCoY3C/GZqL4dazi+rJnzxxew9uLzc2/+oi4TgZD6g15iXcIE/lXHzM3nHp5Iny8ryakthXBjSsM9WyzFsWsmuaK+6K9qVu2Jz9V1R7J39UnuhgO7poHnqXCQqsrgvuF+YP7mRr+Ao2A5lHJV4rAPZ4221A6U9BqxDLBY6/1Q6HIGHGNkuZ6Vjtw6bBuvVZuQ+SQK39mxXlBGjhumRGWj+R31TZkAgikm/lVj6xQx9nZL+eXS8vlk1WJ2DFhtfv4I8tV2l835HxvM5YgQwdu8jwKHjZ2vbnEi4/YFbLVMPZKzWCpd1jb53na7Sr7ikWbTd1/p5qrakiTQbxPVVukjTGvOU5V2vMs8o89Xi1Lj7sR610TEZvyVXw0WK9XlHOetks6CDBwlC0vOLvafzYCc8cLmUn/QkO20VL3qzuGlJGu3kYrJLQYEfK9A+097xtXwFutjKLwNK8p/VkpB6LpGX1YpQV2QaB4QdA97Q6fd96duUqkWzStsikr5haFVjZgw0BjvCeTLxDBlVDcQTaYdwgSjbDLl8ZsGrpFrcwormXBWVXSTvbxe6SOJuqucbUD2NJLZrGVD+u6t3X/Pd9Z7SodBptEe1A47BZ9p3rSuzt5+xCwx2r4XIKWlysx7rl8RIj9GH384h82L38MeQswm7hvqPCcPbOkWynLF1sQScKY93MsuwiSGXW+HrOjkQSf1YnSSBLPn5QjccdDrjFbqnwQYT5N/YYBozxCFWPecmglfkppLGutZZ92I0OoHFsijt/S5b4AlkY1IZEhXgdnTSPOU2HR8fnZweXdhukTIOMfUYOtdtLvdsDHHT5Jd2svKisVfepTMPwTXYXhZz3S5RkyudEp3WMzZMOVz542GatU+KAgS9xFk/HB4c/uwrDbaJuI4G1YndGCVF3qZYuCmZ8WHTwLRplLWp4VNuxpnNYbsxujqhFuPmY+BQdFqhKWvKwceoNhA2kbyo4STgO+XbZqBwDVpOkrojWf4cNRI8KuNG4SstAJWUKaAD5eT08u8Xn8/OTs8v0bwLbyNC6Xd6qQsrdpZvLsGQfxrNGJtuVw9OvxkGP72OVTTUwAEHUr6gh2FMTbSGKKLp/Xh4fvThaH8PkYRxQspO6MPpubr8CFt0//TzyeX5Lx6XHJCgC0hsuS0LNLCdWy0vXsD2kg201TZOv/aKTr+eBc3ZqrRIO+1nbDVJYNTw+Nr5BP8ySF6TyrlfaevJy0uQ843DzMUu87TnzQ1PUroKJ6VRYo2B84I1i8dzvJGVc56P08uhCNzr1OKLP0mjWphqsUL1vjZUxFn4SXgDHSzRuKKU/SqEl5KdTM18FjF1TI7qEmidXJm9Nbf5buPAWULhUgI7ZFogTo4ypcTQKFuoOT+LEmuqaJ2qaGVJXdurlKwVZ++RVyYSkeKIbG77WawyXVIANXeRR91i8nyF2eM1Yeza8MW29d3AEhuIPieMOKWWOVu9un5tsXSNotoLJMmTwi+pZSsbQ77ATSbBk1qLbbZKS762lpZ8ESYBWvCYEPeahVz5Eiiu+bWVt4kG3cQfdEedqzimbmcldVfaZ2ScJ1zwSHU5O7nqnyQcRjP26moABQs21+uVH/DmsVzooztgaA8l9WowMCq68Y9JNyrUgbnTKVaCXZY8T2eNRYzLydav9OgyZ0EDb/B1FBJZln0ygosiJU5SUszqNpqTzqRqRCWHPKycCPBdr8fneUl1Ivy0ouu596aKVTsVrPrKpWJUUcAtg2xGWb5IiHVJTjW7JtHPXVBo1ZGT+MgkV/0kpOwXOWMFQDJKrUu57CXiUsbKMxvIK1E46Vr7AJadlMa6sJLYDexrh/BfkmiYfaL8kXWlSbdiiS5029MHstZ06XyuFX2xWRsYiQaUQSAasuCm/jKVakvWmU1DMMwnTtVBKGnWPiZJN8IpinyOSdFim+a23Fo0kCgUrHKDi1oK4Le69I0baWBXoZr3HsY5DRP0vcPXM6ftT82jDjOSMUp+hDQEWz+lNHopvSlprVoUGPz7r29+++033V718cI3Tm4uJQTO78//fLtADzrzzg8vD8HQuQ8eMHtMVnRCIiBX+kehr+9YzL0zNX0yBHgxEADdWTa3GviPb/qj2/Z32Tz/iLMk56WujqsvFoPwsrF5Vn4ewDQxIZfT3+3Z0LGNANxYySPjkeAPjeqn21CUHzMGMEzD8TWiyH1JHc/2P+ajG9OiUwvWKGWRuvGUHdqr2KH7GpiN0gZqh6TryunQNNHG+ivm8BpZp3O+3THAsfTph+NOb5PofvnxfavVcgpQUkTy1Kg7Zew6pCYwYXJCkInyBvcFS56vWxqbcKsN54h/yiy1L1yCBhWpKQ2MzecuEiRO8gyGzsurdyNFCEuG6xeTvn0Z/K7pxizzWjbwhV0hLPDorrDkfCuPX9ghG9ynTtqwBqnD7U9i3H4F4xIq/2Lnu9csZpDXeQ58ra0b0Etdcc+6J+1mBTly+YM1jkHtma513B4N1DfDh4jRdMNNI+Pp62QMkgHMloRtRPHUkekwiu2lKYeLTaQz/V3d89MJO+gUu3rp61TtgvcFZXLUF98eTtQoSG/D1GCC8sGuQwCm5nCxtAC3/b1GUWjnzwhC0+kUzw2TFkCBoBrPUVra2WkUSOELpPESWvgO2PE6BEiDaZSR4brDqQYOCJDSJzmclt815TMce+++iyY3Kk2Gb79ieA6RUPBAfefJwvCMvLcffzk7PD8+OvmhBr/WPUlV1ImK2qJDjvRN4qZxMJjkTrZuJG7cQD0b347GDQ1IgbHPmPdch2N1i/BrOJwXA2VwmiO/Ir4VGY6EjWqSO32Eiw10a0s6uKgMj/V/Yzo+SdYNqiwdxBwcCoo1kaApHoz6ayRL0BusHBO65pJtRK1BdFm0Rs71EeG5LjMnfUZJ3ybu4/Y4nLbkr/DIaWUZyPKc/1j2amzPJt/9FGCWNJxMwU1cd7rVOcb2n8l+nnAqGeeYgc42Ck1eWQC6wtBk6vwAp6jbQpdQIMdS0i8D4xUxeRYmE4h/Hi0deCEXiAnPZP4O99u7ZUTdFS+ifdVnTuZxlINlb1tK2NKbXo22PDOiblPxOHb5T5tXskje2sHhMZgbrl3b7JnmPk/Zy4LxmDgbDITleKREEWetcrTmvt5aQYeRUIXb8fZVUkSswKeyG5L4jZw2SpGzOeVjelbPtDpxedtcFui6dS0f1eVdc8u7WHuMgRjQ0YJuKPmCoe7c50h6aYour7qG8MCYzSyJYRsMTaskm3HBHUTKw+wUkJzNxhEnPUUMsMf84JyebpSapD0XGHf6LTlWIzQBroNETdCvbxzbsNHz/mvBXtSBbJoBHLWwhcLQZnAEWNMeSbDNcAXFHaWfc154lkdLAvY2m/udppbcUIywjq4IQYE6AQjCjRhOAvimx9ovd4S+Bj+ssqyM+kHlfOUrW0EB7dYm/PNC7Yeu96T3uIOvGrSTyICsTHEozkCiyjaXW9A7kbkWWb/VGLocJs18ewZFz20QTY6inHeMsz6BBDn/EYdTO/oRQh7q6bwLQ+xsb9uWbAapGtuuWA/4VndZjLcjnuCtrnYJb5qob2fVqG/fRn2dAHC30i+8XSFVD63fzWmeavxwS4MYz7FzHF+f1vdLnEIPIXXsMYqrcRXyjSv6kYiUhH6jM5ItCiwjQug0C3ZTCnrrFTb6mJpWiFh+i81RbuZRyql2jAuh46AYm8oFQh6bkKTv8GA4wVqPiAI12O52TJuDHr7scQVnpSQlUK9cTaqlLnB3BR4ban504jjPjW63uC42Yxgdo+ua8CX121v/loitBfelCIEEr+6xoNNgZOoSk/mMQDqSkHrCD0W0wqERBsabT1n5+sjgFEiNdKdhrHRdBwY9pC8rI6xezznLnuQzIl9z3J6GKE+Ut0h7B650EXznKMsfUY+GVY2DZuo07aYk13lC1eZ8+DUcrFQpOM8PdSkHoqAOxmlY9iApUFyYth6+BNR2NbujEHaiigvLsA4PbpeGf7cfDf86AcnXRfL8DEQrIAczuFcJqKgNCWufizNMDdMQca9wbBN+B6wz42Lh0Jjo28vTtxjrxQ3F7qVpdCO9fAj8WrcTwfRk45q1pX5YbxV/cZqbsCoazEcCAq6R7z0BaMDEl9wbPwVTHIX7MnyIM47PF4fn+fez1YkvphRI0pjJG7KMBASztQyEubcqCHPvcRDm7dJQ7vbvGcp1Q6uuZ5uQ/ptIY9uSiNcIzwXpF9+xEYcCFqjmF1vs6b6IHusXnmleM5M6/mh6F9GS4MFNWrkb8tUvXXu/dysILwFaHGsOFB//eDVsUCcSql8MduAkmMb/kHgnpqDxQIphzzGajJ8+H18eXXw8Ots4Pt3fO/bqS4KhtASyxzx2BaRLQqDcx0PwBQIT1cc98yV8ADsBdpWkC5nyy2FMlYbo/BPPsLPQsscGy8WMzNjpbKXfyqdF9kAwUogVP7abduBuWioj/PzL6fdHJwdHe55U/NJzBy3s4PmwnI46pqqLP2huFmmUd8UKIKO++swb</t>
  </si>
  <si>
    <t>aDTSlnRqPDySGZWuBDsq4mRQKU56VeIEu73okCZCVybxmNA90cn8iqFM91V7B5+OTuBfEtNNdXl4sndCcLf8AzMpKaOsnIAkUtTjhq8soIY6gHvlgU587Vt6tGYveQ5YdfQb/+nn9kUzvyt4ZPoG+svnIdLwcogs6DFr8EnJNZZ27rk9tbbk6lesseR6MgUd94heWp3j+1JRaomq8mblxFwsqHqbJfPQWGRylIB6ogvZU6chj4s0hbdgeJ+fyhAkkgSbgDwUbFzOFHvkzb67WS1YMPp56AceBuiVC++KsrWXZrNiaY7oTKNB/R6hWed1xdCs+NJzV+jNImENluaIMjOJR8GYqLqrfnZ7POkq9bUJNqgg2FLwl8/mXD5kMY6STcMLa0iQ143ifjYn9CSexlQROPL1GfjL6WepgBdfJ6qn4aiBEPXSRckZuMY00SV8CP3VAM5krRb90R6B22NL4rqBg5FXIfv6OTyXwIYoiz78UYSZHnj84VLv6NGxgMMLRaG3NbdFvFq6Ep15Y4JTipObxn00Cj1nBIJ3iWCm4vLhu2qMHFn3CtBZBK2ak5nIopa+OWKuQL4F2jm3Ce083v9eLp5rzpqdAhk0DfyFmfguxgdY2QhygwCv626IrcoDXK+leqc+RniegN4n5lMCFKnAXH0e1IC3Z19Eqt13Wk19xz6pMKI8Li3grMLJpNVcyN2EpYqQ0kDxDql+IJnCKBgkqdPbeSYpnsgWetJY1G3UOesRIHweWTYutya+5awbrSv2OzpPF5uX2gcKAxg35RNH7Yt0PESg01CQSQTHg3Bmqa1UoSOdfr2slcs4RzpDG336wfSBnUXY/PCWlAyjLfY7G09hsu2nMFluJ7wOc8mB4+U3HVLZrLABNMWgUIOCQt6+xs5Brz6FoNXVOJh+YbRQOMvrHvXNlgi7BecSiGKTDhNMbc7KOTGKIFngBeRXMyX3jIJoS4R2zDDwV2C+KQYPL21w6yGeKwxukAEgXgp82tSTh20Yn6Bbpi/qNwtVrMzF9GnHQc68uKA4SdibEPipM5uOenAeZS76Tt7AhtKRcUPqsiKk8mAavoZUh9R5G0+Ag6OELSlar02IfXSZWdCUr5U8dPmScZbRKCToH/S7S14jeaipmNKA5IBSOL+5wS7oJBYQ85lU0YoswvpjWRrGTE1lqzBIwx2yCdky4htzkh7Fq4nYZIXNf8oo0YLZA+9jnM/xw4a6dHJPONonf9HRayUNN0eWI14y9qV6Eh3EKD5kWAhAfRWNEbXOkqX+FKFS4sR/RKjQqc1RwCqrcyWhIpjUC4cWry5amtp89EXXqWErz1jyhATRuqgMWWV5hefkDqRdxl+UmpSF5+YTMTKd2LMjrTOoDng6oipYjps6TOKlho9q5n1PW6r2k5aKkORRamNHb1UjtwmOCSFPXkLbKF87wQTmOOXUoNwigchxQB6B4IquWbZu+hk5VWGxRThpkjAhPcdGwuD5ER8l5qT3dpe+cGFBxxGH+VE4UNpMKC9xVnLt9es8Zf0c/VT6lBTCvS93jhfWqWDyeFRpzgtnEsMNw8tuYnWmXSf3vKGjr7tMymnjAKzmkIuLHCL6qG/ckOliBrZrriz1SMpzjYFgLAKyisU0+gWOeti3XubGOx5QH6WTXDZtA3PLgK0pUsRP3PDMxB291KGm5d4cWVSNuEmeXBKp6K+Kd9ZvV7kW291VAmQEBE0oIkl4JyjVr8NrFnc6jyXe1GEJGsEi4HYeCFdDbpvg1rIn7uKX7GgSmHNse2khnPqt9YG2McLMfqpVMLY7/SfJiiqPsDHDT3Jm+MkqCNvrrt2jpv8yV6qDvG2Dxib4Yty1lXDa+TdKKyXjKlzuyi2+dE0Lv92vjPgN6dzLmZ6mO8Sr5DxwlJWaqdhDN9evT7IhSU0hiHptmbLhbWxTbV4vj+3osB5nvN4bp6zHE+afRxiP8OoOXqqkKHAeDTUSsai9OaNeshBR4MurZCwEzu0EgrEJiX4fPh95JuTMS8636i/L8eqbjK7+ihldfSeNq18paZ/gRWZQhhrnGRab8k5H9VcBlpKsRnHA7Vs8afbBurBRjEk+duqzcd3peKayMo7EMHwjikYTp1kKyVHT6tp0ZKCsEwvCtMEhzwC2/xhvDbXm5TzCbVyzzHLDC4Q3CgmS2mKaiYaoK5V9DZ3Jd9Fb2erHekl06YKFdsOvH4V37AQN0HXpjlByTudU7KHrhHBneZcEp6Ar2adhOCIIVsyHBaNAB0G36vnRj7SuGen2xrLh9FToMsahkGxSciaazO7+I1BZh3rcWCX8lmdhxa9Auu1qDmHU2MoqPTINxW6n47HALVx5ZFgDG+eVIWWA4K5gFN9ddw2eoenNEWQgRyOYNmhmHqWBMmSRyY5oaHHWQwyA5b2OzWiotdtViD0zwaJv5FjUZnPrxXS0wc6g66SlankIQ+q5Ng3pt5Ijh3dxT01qmDvmQnO69OPlp2Nf/frGwfT7LkLIvejdr2/+En4NJrNxuDGMJ1w6AKtTLnhlJ7H3weeMLl9SRNgnzUVNFtTbemkcoG/rvXU3Fo10P5498J/4pAMn6EtTNUnMU4STA0YepwynpXHOCHWA08clLYGAs+zWjtJ0bph9q7dM5veMzC/FcdgsidZvGZnfb1nx39Mf252u+djLHwqbJYdCVaTsVXIkS4R/ObBMaS7ggmfUY2cG+WZ93gD3SYQyjGUzowY+BnzD79LgW/k8e46BVclJfoKVutpWJbDiiaSsTIw80FncW7aR7fKG5jmAn4Uj6JG56ftM//NRoaRS+DU3NCexk3y5nrsgfAMWOMr+8dWCClTO6t1Ve6u1W2Vpk+wH/PenTeIx8iJpkyDpEGFYex/wQPdQXWS15i4K1MVfj+HbEeE7uCmUDpqNHg39uwyap4ByY/rPYniV3RSIQpmCiooxA4FWpUxGivYvHRQuMe68GydzfVuE12Ln46esfqdi9X/nnuV8LjMN1mpazjECt3X5Y6/gsjr7Dr/4EJMOuS59u1X0pXFw8x0XY5l00IUWqS9Xvq4nuKOTuE6BCNSxrKkesOpLFPumugynAXqqNT5CXV+hs8D2kKDI1HL7lPAoGEQM9oZJrXAmxRVZ8JQmKHCmEQ4mrIPyDGLUFxPdl0w3H1V96veQ6O6deXgyXQ7HPe/EUjFpCC8/Q4wOFAdLZUoyTBnAulzTq9yVIjsoM58QsbiwOTFI4tYd+uIOB3jlHr7yUF55kHsluhLuqatwbK00DTknePguZhAXQ5Jx5pl5eW43Zg6nyNOdh+JS68hrI0cIX5MhTuw7112MfsVi7OEJPuEySBFFeYM5HKchU6TG6aSsXusDnt3X5Jipv5qDiF+cOMmjYqCBqYDdnHDYqQmx4t7V8tb1VUiQ0rXtKA5zH+sKSbvFa26srV5wDnCaeNLAxcllG8mj3XtZKSzE6jxfg0dVRP6WTlxyQN037erJPmK8cuMCO00QOWl91yRuVU1mMego01glLrWqk7JfWg3T/5+h1mEyLeZ9g5xMbTZETm8iVCBJlcHcjfQWbFZQuoC+n+bjLELbgAyEFOEm4/mMK6vu8doo0+RPpZzQqo/Ylobfq7N69UAew1p0IQ1zYzfb/XcZ/MXh5eXRyfcX6p3S0+Ar4BRHpTa4EuPDm+jXNDCfOvPMWcmdp822zRdvw7xSDSbN862vzXydCubTE2AFvkZkAHKgJg//mLWgw3UYj8fBrNDNbBrcRTfGHaF58wLU7DVzbkMqleaBuAywo06Tm2AKJGKf7D4jWqfqG0pQj4aoJxxxPRYns/jqGKeJV4zi4ZygIiTXEb4KxmGSyS03Cd0Cf108pBnCV1JwF1M4vkFXoxHBZOFocxLTa0TrKYKEGnRjw9a04tgX3PA1as5zx4nDxMX667uEPYi6l68uPnUpU/s3UoMYoNunJkmwymQT41oNx3Myvd3NyRpoYW7evv4mzfFfxhDkqfesNsb90pKkfllJknl9Ia9/sRLpGRztDecZHEBgPFLnz9SwNM53n37DVfkYY8DhIRWHdUStQGGttUdjGRYjT8FgHOZQGFm4wGRU7WvdAo06GHDXc1isnCYorfuKtTy6ZEpDbAaYB2cT0fY/X55++ABWO3U8ETRG0hcUhpEipbCLL5Xv+PQMUGDqHCxkslRQZeXZb2xs/PrGK0JKsab6QNW9S1Cj4C6qzh7exotuWVOsTZBbBv2pBPNJw0HJ3j5Mh27hBTUfIK+RrAF6yWAr0RZaQMvDq52Ge2bD4cGxK3V7yCFcOuXGYq7i0YNBwmEChyPMdgsyyckNsA3cOLpCUwxLSAgEQw8xRe6Lpu5LN56y/XoV2+97Z9iieEQiR6oPl3W1b5af9NJ8kR1wQYPW1VUfgMVJE3CoLAqBSD8t9YBfMxSvLPDR8J3F0TTTteiqqYVME4NX8KQstAjP+AhmLHd96filR+FZE1tA59wUuj1+gPvqpa+bT79MUZ8o+ZlhFcbk0gsNIMum9HxYVwL3K1jAGms6s4OhJRyWMPTQ8ulVDDJYSnyrLIZ+9cLxFiSh490OyWy0X3CjaDNu/IoPagqxMbY/0tpgPY3mCSumrAaIAOPbiUass451taPmgMJQHxkjsIcsb/lAZXzr5l5UVVecFWqPOTGitm+d6OfkRMd/0YP+qHttbUAqOpuKQ6mdYDY7jSff9nLqBLOkdlpXIWlUIV0Gn1B8ni9neoZfZ5GG6dGBNoyoSm74nhOOG8azyLRn5FDCIwHRZr8p8QZCR9dRcTepk14N/2SIbEjxWPmKQeFAitwHclhzxga8jpuEom88xKZGEkX0StAsdnWNGidtSe76rrLP0lBpZYMvjpowC3CIZKUzbN06XNhrlxnXvfb/DONaFHJcdoJVwO52JkbimAqFQMV+PJ0inNO3HBl94BArtkxqqg/h6PArFftiByXdwag2073ovtU4yus1/CB6diro+TtHIXT7MTPbxTgBeeyfERygaXcrpn0xn0yCBGuAKR5yTmiDVDwUzXz1earD2E5nQIunobN65Iv6KzHe+eHewS/q8lQhZoHqwsZzHbvsT/xRh9vJDpGslJ6TGvH5hNs6HR6ojnqrOD4rQPTfOhPdpbKalBt53t9GYz54/rpncnMj2z6cUkiP9y4/nJ5/Unv71BTqgvrCHR8dnlzar3rcUXqsG+Gi9j70bZou+vnWXuNe1RpLGwEZ/x8Yn8IvqdZ60c4A/LAwp7676TQU6r4OR+FXypphITDotfqbbfjfrvIGvc37Vt/DOsp7Y3nBlSg04LefWn24SLJT6BGyUKYbtMwYrgJ9gK7omLgdYjfAFy36guv6zV60equuLBJbhQ82p/MkPEHbbg7kPqHwsqmFSTRrL2y/YmE/8KgeA7F91vrdYZ8sfseOlveUxmXcMqoGi9GkpWui9G4efDyuL1ZYH8IRmcTTCX3JW3Wo/Tu65axpMer+7mxMWnk8IKhRQs3dwHXcwfDLX/fa3XNgih+dW0jlNdk4ZLjawaizJB7NuQjCMIPJRStkn+EVbe3350pj4RdpNCakwvvRMUEFIiRI+mhzwbjEG8qAaKR9vVXf6K6jphM79XVdl2U2K1hmX2Oc4+uatxGGg5OQdGdfzRClgkt5xsEDqNj1V2IteC9ulM/czAWhAigumrJDAVUy0wcZm+7oAIY0oxR5Im5p7jcwNRwJq5RitfuDoLQxMIBWSPXM8n4KsT4dCAEXUiJa//gdVCzHATmhHl6JzPsIFA46V7+30Vezr3w2NhV8DQc5x5Y2N+knX8Oj6H6f1pOzvgq7VTH5QwqzvwzGRUkS2v7Fjxr9Tovxuyi8l3oK9FhfUSBNNsS+YT3q4UmsOQ6vM6zUZyuKOwdqiCUEiKQNb5SOwilDm+caFYgptyXOa3yN7z5f7lNnI5jFZPZuY5jeqRoWNpIvjwDYJEGxcIA6Bbb0jrN5MsMCck5bEBefLnK92Pt0dnzoaDK5LvWUwylJxjRKGAtlHEie8lv2HH41Gcc6uVP6wG7ak0DbA2shGQ02n8JY2xWMhcDQ+riqoc5aSHoHyj2a9P6MLYfaOnbjDnKn5XD5aalgF6ApCqem0yYUzFz3yIzceIfplOwLSkCD3SopGN+IaBONxwRUQzw/fPDF6yIouNLUFw0M6bP6jcnFdMqqwVxL5xMY8g/hg+KyC46kmh8uQhhvppHpDZK5SGUvFQhRG5AcxzfAyJJDu4nFeyRk3YYCpmhc4EixWh89DXoxp3MEN+HULM7qRMTr3FiX/SbDzf9sldFdQZrUMP3lKZi5rMrz+VT0CtFVTPkYNx4KcoP2EQiNqc8jQTuAibdqJX0+vb48BXlzQ30MxzN28XO85XyBSeCRD1Tbj7InGrIwc20qBET4cbuvOQ0mPokkeGamY9652a5vmMTnzRWLXbY231Ts8sVa8TIPyNNrCZ+xudtU55er+0N7HeXyLvylg+NtXCJdNXaNmiGrlThEhEpt5ooNd3Mlgp3+usdtu8pjtBQmSSS4b2Qmm4eXJLpyqrucNL4yh6XV8enEfJVUQn3CED1BisScq1/YXouDVzXjs2gakH6QRPWVZwVqMrwUbMFv8ztdoITIHLkKxqQ14JPVf7T7Wxv9bl3I4efS0UzRINsDxt5c26nV7lSql7R/tc5Bp/vrVNrKMYAvAKPGkxebRSIYIF6Cdx4juAcSta3vWvBpvFdiud6n4EvIUQSuBvJS049Ynurp0u7FQnrOdRMQFAs4UnzS2oSvcqu5zAgikGJwlD5Z8z5P8csRHX8Rb3rQmLzczslEij27hnbJyzSyG8O6iN2sBRahgoDYdueAz+21v1WmuMjFtvkUfFW9lvMbrHA0nYHaLMAjpsyrrt0noAexA8VByOH2fRiLxHKc7zCx8h37W5zWKmjmf4NFSb++Ub/OW61w2xNFgzszLDpW2UmvJ8NTlVsEXMkgrsTxlw2BUGVrXHrAMtonns06fsBqnkRQpnDQ8gNZ0Wfe42aL2EkxSKaY5bAur1W691hUSXvmGiMCYIsjPmDqVbCO6zKXiEZJJ7QO0h1VvhLNdrvJg2yIwwQd3qjeaXcqZlxSLRZ8yd9QEnSxNMzxCaFL1eCZW2TotWld5XE7F3FOkCcNjmS8jkAV5fxJ1JXIirhIpVpKWBn76sYJtnD2+Md/sF2GTxd/19GBqrVbvVZ7R745GrGzm4wnUPL2eSEK9zS1bk1Vu/Ds0705bAvE/TUZZRd7JwfvT39Wtfv7+2EUboCljJWDddfMwWruXYHwgym4Dj4t6DGeLBRxxDrmeAoV1l74zdUXHnPSH7MeV1rxEn+FCGMRLZhznBbNSHGranNyUQ3K4djR861NKYwwCdIvLHAds2lHoR/913mn1em4/43QShKDZRSjyentO0+UYmFCVSPjD7TYcDri8G9M3R/cAWicNcFUCWfjYMiZElIt7hTaPGo77pJvQWwm48nLDS0m13XoLbOTFkySdj/fO2VQwiWD1bmEKxZeQDaUcIpUQxh7M57a2AUryZQQuSN1jppF8DS+CaeUFzWSa0AzcHBoIkwLS7MwoLMRe4g5uNwE6MgRkAWpROCF2A3NrKD1A0g7H5HiqBvS6IP8iYyukfqfFQ2Y8XGuQjRg42loap0H/Xp5xH6JU6n/FAmwtcLaWpDHYMhdX4JMtXu9jpp9fRUQFPt4Iipsyk6oUdoQZCbDAXxV7UFv0GgPBn0fvZWYOkOXg7ExQiAl9ke4lW0wz5gVdriWIFplb5UBrpfvoIGx+Qer2vyDSpu/yrPHblk2YlWNWRgdXDBYVCPrz1+Eku3GnhPZX+wC6Pa78O9gu7MN/2xvwX9abj6U6VrKAhKHBkcbDvMzfNzLTLOc/8veu7Ankhzpwn8lT/vYBTvcb7rgmVlaorvl1s0g9Xh8Zh89JYEk3AgwBa2W5/H57V+8EZFZF0qAkDTTu9+ZXc9IqKjKioyMe7zBR3c4jBQ9CKW2H2sx304h6/ZSslZSi0kq31QxSaTYA203SzpcreqzTa7oaxXD1yFhKdawQBwOSXkcHnxqFzlreMcolySiENNX6M4eqaHxw4aVJZXUypLKb1lZsth4qjQKiq6ARopLUAv7NdZzGsEF3fTtqyve3gZvov2n+zJBUkM17/y7AaBdjvhv7ZGCKL8qKnf3tHuxf9Bp750xd0Swm9+199t/kw/7dinds9YRfWHv5CjxhzAf7T5CSJ8/CW8Jmzj6vcd6V6+ZEBxI4gQAX1x0Wp4t42Djjaqt2CiQ387cy/Byi/wi2RfB3kzZBKA6YMyBdtfFirz71zwNss8j1njUI0hKbMwLk7mrwinyCfwMbMaPkZYpeAiMhiKwauyEK8rHlCfxht930Hr1SMUQ35geyY+2o14RSucNJfsIf/gxioMb6z8YD92c2QiEDEAm7iazZxy4+op9bFv/f18Y53XcU7059JcU7giB4iWXJJztdXKsrGy226R0K1rP8hHrLufeKgGW6s6GJGAjx5oPYgIgcqELQb9ue04dfnPga7OcjSxkYoNe+eH+zOki2vSJoIlg4gxPIUMBKyaNmeHgs9hiKmbwILKJJUp52x9O1u0+qFVT9Xj129DjXX152r8Zv2Ky+tOSSlu4zHd00K8+M+IhUiiCDC0Nt9zAgGpSj4sz0N9hHf2CObsfm2B+mZ/5l4EMAI3gWNv2Wz7k+CaDNUPpD+FDhDND83r91dAf3IX7DlQ4Oz50p7RRhwBvU2XFNv0GFoHlxnzYNKcEz0+0MClGpfwclnXR7U8SGWNTUlRXkKJr9zLjWMitoWhOlUfiwXH/8iU6JJY9z2hs0+EeNmXoCR69KSVqqyiBOAen0ZU5rS6261upiLt64Uapzbo+lnaidc5odOddKZzt7pLxWKyUHaFISrd2TamokGIonYRGdHTklyBB7vd8nhuqQ7K6D6Mr+ZsKTk/4S36Jp0HPuxvTub6S42IVz93Yqv8sRPghZ1lB+k+W+5XPobvXbXc+Hey1u+Zdh8zL867Q2osFtZWyypV8OsvYECnq8d3fgR2rw72909bex9b7Numd449dU67XPEV6L6Msmswl3SBBjUB3n96E4WVlyrJYZc8Wh40VO2KVA5+0gCNBiaaALIMrs4us3n5AzJSzVl3watvDpcbFLXNynNMFbRe3+Tc2/evFBv3SNB5r971Wp3PQ7pjW6QFpkVp937Ten/CYMP3RATazJRpumzqkTiNqdVaZgcncx15oIqPBR9T8xpuyteqY/Hy8h9B+8tCSpz7nLugUobSoxNam/XJ894icQNcTFkA7A/vgiz8Ysg0Xlz7nI25H51noifz6seQROFk87asTIh16bLqEpUz2jbGfOmEBVoKLS9orHUTQk2y57VUbEDv0G+T1nsP38lDGGRoJq79DMW1+jw5f4GTjwWg23DWnrbO9D6a4YHEUKzs51ySmbv3ye0lwOXz2gKcjqGvR1XQjfbD0Jj+aY2lfYYQzDLSXtlUA/NEdYQgecsJiwJY8sbjcWB5G1rs6L9zzwq8WaNJF2MNV6kBOb3z8dlbs/iGpncjZl+qSHwBAwPaw+zwc2PZYOuo5bMBPtVOdEo/2Qrz8iByTFZrLqY9+Pb1YEazkquHgDskbSPldUkYlM7zMmXKj/ssbc/jdzWA6u6VfS9v0q9YMhENfnUqW5hH1FWUKlJuhtFg717Szlpyh70bSwb4hXkLXtrWGAzZmtCozfAHiYfLgyW6QmOvOozv/JnrBEhZIqW9LqMXz7hmZBOEKZv6NAJmMenmNFb20GE7hAfbcL953Ts6P95nW8uPFh5Oj9sV+G5qv8zPWBthiXXPGA+hakgeAQUNeIcb6ZN7HXkPLcbKewhxZEKiwHnXxZiwZbCX22Ye3ebV4Nj2S5VXOdSvui8qRzOigIq4m8V7PTrSgK3KGZOq1nAZehqQbkJuIrmcXotANM9Lls0UeDkWlL6MneIiyCy4atdjMKFcak1mecBFNf9RTeSrVx5rIEODmTOSM7JTXzSXtlG0uaae8JnDuTnnl+aqsDJaoDCWvbtdFIKzSj6MCLm/hlvts1KMQexpLHiGk4ILRr47hm4w+Y2P7LtYoqfb7wFWiohAVPdf8I8hezcl0C/thhT9sooYVeYGKRV2gPcf3mWXVBVWwbwmaRLLz1tYCIlQm1T8I97aUsnkO6pickaVJ92pqrV11odrfGgCZYNK/ovX2AWPwpJr/tXcxzVpyD93VnIbUaxwWfyp+ELLNR4Owjn8of8mhME60G+JY99KFFLkcgCVXYwD5TVC8N5kOaF9mDzkjq2naog+tnsBohFJYPY/KqvcDrcyw0kLaPFBoc2jyqGT+yUgNVssINqVMRWNAZNG/wAnocZkbApZYIsfSVlfLM0fx0ixyX95E6+e5WI7f1sKKa9lHWH9nsWpY+rGnyoIL1KrUyXAw/uWYXhBkrJT4d4vprVwpMyZ6gztL3avx3WSOCyqFKr6QKZe+bn+toZq7urO2vKo4eVVZM/e9U1kpr2rryauV9UfP4eS21Kh22p8Ougcnx14WzYGhFkaqWvZIasebwrmaQ4RVXCrUyWw+PzPFRLixWKlqKaZ9D8SY+GYb5l6rqfV66TRbpxrnOXSzkBNa2zKJvOJCrkOuaTpoibUIpXASQJdgoBTANG9MtcaaVOMS7Ehn7gvQbrmf79Dl8I5L56UJy2m3SqxCwBaJ2z1g6PVI+uYpTnp5ZZQE4ZErF79SVf1b0CoSB4l0lKHEjggwGMVMZc6OPjEisvBSqXGRYG1q1lLTV7VvpAwFue8jfxIsFJ/0p3nN+rU7pxxWyCOsUHSmeFHCksRexVDJDgd+0A9Q0JozfO87ujfUbGc85+7KznwozvvN1L8TnXZpbtmq1pYBNRSuEN/oS7JG1DxtfPB5QLdDwuDTwKdlcxoDkQ6s38NC7Uq6H8/F7uNfT2VmIeSJzbA704BuwSvlxw/H48/ziSfTP22T10bippaaDqv9HtAr2gvM4JZEbs4u8j69SLKrlprsir+o1kxrYoeTIgeMLdmPFGE6B9Nble95RiebdQofGbRjMqFx9hhEQTacxhNG7PSs2LFg3AEsRMYClrwsfSWvNRJBHChH/57BANuU73G6QsbJhNVMm/NqbcUWnrlcpYgBG6XlUjLodlSsSJNYKBf0+L1WFpNWkosvJMOV1UhnE0+/29rKV/ZbP2dzqcvLHHRP8hVlyhzZ1SX906CPpmTnWSUwfT2nIgBq6pTEdxE3gr4fQSO0uL+CIcQzdoLZxvtUX7FPcAqZ83QcCoTiFReYuaK4GSqD6I3dpSz7HX24U3apy/hOf3/6JHOtWgkX2f/KEZhAMZoDN71G65IakbokKR2D3c2IpHng4nBFDLdLZ/7pl6uQ+airzibgasKRR4Etf1xwtgQMINbsJVcmx0hN/Xvxzrz2dCKXcDeunV5l0Q9lFnet5Mq4d2pZO70Nh5flBr6NPMqAnE5gxZM44CiTIFeHhNI7yJulsbP3Hoil5i1ZMQhp/bXFiAzv31rfMqArOu3WmXnbOThrHRzjinXdvqoO+tlxg552auv6f26OE33nzSrubqzibqYFyzyJHC0HcTrUgPmTk9M3l57rC6dtkBPTNN6//vUvJiujJqkSFdAkB9LblO5+wUPSUNWmh31rLXKg7Fq6c9B+iJbLpad3U6KQ+XCFkVDsFTOwouvuHE93lUbWPMzZYo57euzteB70ETEePSx87GVzsYhuICErmJfsNzb1v9JsE7hhAM8r4K2l5iEfJ26HvdDlhtqmdLUutDxDj7v357c//O3Pxbcku9j9SNgp5FtnnF8tX8w6x5rMXE5Kknos7rAMKm7zf/AHSPq8yoxi2RVIe/q2obfNlYUbe9upYxJq9W8LyfGQM3J0YicWjkkqDCILcRoKE/SIN9+ddH5qdfaLnfbZeedYM3QkdnEKAmCPDl3r4ggqwo1au/KHw40pWVlByd9lkpRtxHT5b01wJgEdN37r6oq3FhQ4yGddyqsh+lnE7kcA/UgxhHB+NS35jeLtscdz4TQHE4ov2DACmArInaBOlwFPNL+SQQqlaN6enH2AsX5y1O6eHaDM5eD4rN05bp0dnBy3DrOv6HjxBAEsKVi9jmb4F+AjMjkzNlUqKFXIXUs6ttv61O5sTMX6CiqKiLBNHBYvpGuVXFegh/YH6JbnfAswASafbwL56Wp8dzcm0TDo6wcSjSc5AuzOXv9qyAmm/x2iiRyPZ/3X6f0oV3Qq2f6HQ9vu8bVmmzykW+NrQ8xcEXZyOx3/xTDLoxR3GI+RXPlp66Ph7ASX1n0JDGca6NAkq6TjNQU7WytqCnaW98/VUw3H+D4e9+9ZlaegYgnS/6vhYnFGf9fFDsVNReKmWsmGxSHhx40SPha+6oV8hT+54pdyobBD/8inMR67i/DYdYzHOHGhgz/ov33GJ0OWjJskc3aHcYN6ScYah+m0vejqI1BS5Nq4LvuwfkEGT0TWK5m2o+hHbtTviGN+NxDk6jeVmePwgrCmNX+VL4c30Y/sLYBfObyU3L4FxbfkJmewxG22yQRZnd9wgmSe147TwjOlcp7+v1KqlNz3BNFGXlZoaO+kST2MkZSk3uUP8KjgeEZRBRd8TVshtqfjs+1Si39tXXTqF91Pe4W1HbS6ddAazkFbF5Bqpx46aI2V52xrlSXifJHXQArw2Mmxe8tq1Isn6rRcJEzVNeMnpw4makimDuZw2eacBITgkV1YKp7K9frSVH491ddII9u+C/O9Uu+Su78tXhQSFENYEmHzm2n/od+L4ZMoOtFl/wrgaXIE/NkiTonJTLEHjDGZ3Vgt76xJrxeCGlid2IzxHNq75ONFbomYNelN/fRleMP7EfABRR4YXJuH8ZxcY+BeKArBQCCk6D4kSR4gD/XJIUR/jI1BGJnPyE6c6nxBl9l0N1IK9uq/MUJAiixgUVCM0tFmmBUaoLpdo7PZaEDw+Q5NwEIDKBDAFCWXJTNGt3q5Uq/ikhAR4BEAgHVp10h1ghvflhO8r3Z+egpQL/oyvvIv52RIDDQEU2Tk5KA4IrtKh9zNEQzLx0A3AyngmU+4LohnbVis2bG417FZzToRatnM1U1YuJHqQTd+aw9agMii6R5+ej5BqjyTKsRiBrXySi2TQSEKknZNU24oqZ87S5npU11Bn8Porkr5m/OGpLedr4AfM0aZ+MNkOSQi0kkbOTGN0Ikxp/vvin8/JXdRnJm9k6Ojk+PKPq2l9bZ9eLHfOmtdnBwf/pzDlfSv4/c5Q9cfHDTFgTx4l/hLzrRxOy4o4D/wZ/zXv5y+bwp+bFHiQc/oSm+kuu8JuRA5N0ZzZq9KzIr1CXd4vOxFd+9De//8sL1/cXqw9/H8lLPneyfHZ629swvx985O3FVZ8R9L5WKpWiw1tE1Iv1k0H04O9y/enXT0XhtTrb6CantJ+fJqpCtHSLffOi3u758W23/7yRKx2z7eb3eKnfbewSkmYhTPPhx0iJStztnPQqrwijYqyRMXgHr7++e47cbEaqwgVmK4clSk2+BP8PwZXWmAX5h2M9KeGB2NxXyOtpTIKsJxFBb1hGMN3I4W/ZrAz/YG6JG3icMt/RSPR3N6ui6vr63Lt1J1+dY3ossXhismlLlLs2KSDARjG329rHvsGKlb+eZiCFxBk7v9fs/WQu/3r0ylZr4zf/HhrkMy0HUOKjlePyOuablU2cwd2ErV3ltp2hvjKN0OZF9Ll+sG22e6pLbtCdb5xIgOyxXREcEecHvCVkY/HAvc4dKRjUlUXUEiYREpltq1D1tKoeg3NppexM/gJHTbTUGTwalBke8qualbOyWVq5E2JkDtSQQAN7NnBYOKXNrLcfCC1Fhe7MlYD4qIs7TUkwND5EBGHh2p6gzG8ykpuq/ON/0aSbbilWyFgOajhg6M7mYu57TwFPrWn0BfjZd3eYVuUkLO/GTXl9N5sDlzNrjr/4vMYxuZXGo1Ppcly1t2/49ax+etw+Lb88OPqrH90YNp3fWngyu/eNy/v/h5PP1MVnZd32gcTWWXDWNocMnX7F9NRTKTwGqltFvC/+PR4Tdc9E/GsGqRo7YxZERArts2RFdqlA8/rRXlowvfrNrgxpMOEDlpElAPdJOv7Cbfh5t8pZs8Cze511saaX/SDqeYFiOJ89MBl9ORoW0tRja72Do9KP501C3un+1lI9OccBnzQRF1xXZGRTEEwCpGMHayEU52MOy6crxqjKt7vTgn7OzsQCbWSyUbQJb2C0sjhLjJ/jkZPtxN5oEXDUCjpfcP6PcgWwhR5UgYusw+oUZ+HgkS71hNnNaZtOM6k0phk1ItHhBupHDN1pO4Rr35zGzqB7fZ19U/yQheeDvzh+MfLYPkw/lJkU2VSbrDoZ2zaeYOARtp/bwbq43bORCtbS1We2y6pq4kBBF1OxqP5vErF+ljUogb68PtFRujlqIUU4m83ue50cfcyLWGNI4O8n7qOb0m6mOSBkxKZwCIkGQ7qsdLkZ4yh4jN48MW8ih7t1N6hTv6ZJ9ex9YPRjOMZHuuCOGLhSnR/MbSaP5WanQ6nbRORkbfZpUEXJuqaUn2Xk/BThIjWRhgmfO4KG+OT2CJosyfQfXY5dvuNA8cWylVGvlyOV/Z4jRc5BUl0rywLTybWJ5roc0jMm87aztxk7fSeTRXCMm6ci8PwFl4O01DsOVmrknYB30yaXrBuomybZcf2143P7a9SnOmxMfT+eEp0u85bJCQfHq+fmSp1tWCJGKReV9ql7C0e/jKo7EZjkdIxUZlX+Fx+YYUBUyaR7IS9mAXGxtLsu1Ut3v723C7JUYHt7s96uXH13kSQMkoehczwCHmXV+RfkkCvIBjAAQOJ89pHzIS3bjzR4NrMHNRQBnQ7n/N8k2HBXf3Wsccjs0WTIs02x0OmhSp45ao0cdvZOUYu4LphsVG26kO+PZ/Vwd8YxpUV9BAeQC7yJuwG/o9e7wpogXsiNCfIr5ar79MIyRv/JxRQnEbN7oytDbTI9wQU6kZs90mRe2YoR+SLTNFbYfJpSloup1EYsnbib9xU4JS5KOOAUqGYkn4WBBIe+5YALhk4w2rrdiw8DGZaAZ7Bd++xG48CQE2XKbgAYW/i+MqmrmUL1dVwqN2aNe0GZ5EnVR8fjBbA8jJyfodJ+ulAdreaaLxCU8fc5U6MjYKDpswgjkUEQKLh1AL4w3TV9upwYntRDGkSmHfJiSlO8Y5rXbChJxRV8Rus8VkmwAVB6Xq5DQAeh1J++k8Bap5AYYo+ehNzOXHGSas07KA196RmsCKjpAHyOzMR4/T5JZ9Uvc2V4OZjOabjOnxQ22MmfYj9V3JwdVS3cHSVkjDJVRCtpKrs9FHGc+/vKJb6O29v+MfLoOVWS5aT+xUosUItj5tNcv1JbplGFOkQwO15wWQDW7GEjJYdkJkEkcxDJ1UU4z/amj8by01/rdTwyRJVXgls+HJaQF5JdLLg3y5228hz7xglyTusFEDy/HYGRrjqQiqPCYkCApOM7qWMEIru2Ftj6CIOdgySGqjg7mTarvtfBu228Edj3adohp5Snw1XUDu1cnMA56sgupKOkkD/Vbxkr9jJtPxtQy3n0yGcCVQ9d5b7M6CXMUMXnzblHfItf9qtuv17MZ0rayg62+IvS99j0E+pAWi+vj6yzQY76TaXjvLsE1PdSmxxs9AfEpE0vYskpVGw1cN0NicUECmkv9ZeCklU87AcpL/+dfca4hwv40y/bUVXmiB90p6IbuRAhO4MUFrqwjK7RPh4CVh45w7ADkjJ+DVWi6ggtFcMmBwfty4aWykQhsq9loe6TiLkSfU4oCGXSTG8dljDtuUjFHvitFf9Q5kepJqHOttLHaeKh+pEGZJajlbEtIPiF1pSwgdbB6Rbb+rTYMMTtUgK8ktJQewIC6y8shc5gm9KctvPn2B6+QL6i5fUF83X1BfGvndSbW5dlLac+g0WiZCEp8L7oWZsq81/D3ivqzhthBTdHhhJrMN58d2h18DZOSge8IB0s0FdWMFlX6DWfCCwqNjYLlWS3+RgOSebXrPGacUBcbrwB1294crhuESjWn/qx/aSZNXC1N1x3SD0RURb3oXIFEi87lXz3yXru9wreS43AxGo9iU9iUj2h8duV6Qwlz5KoNH8/R3O83bN2IGcM+ejdbLrnCbBCx5btFWrVZ4Cj9sreAHBDlVGIQnJ2JRBKEMxpmf9q/GU9JoM/+rtVQerGzOKSSBm/oaPL+rP4XFxPuQLga3dLIptT/Y27sdw2G1HmSBRaEigczQ1gvpNeqnm0107THjwgQxn8RriQtj+BHlhT/vwfJOfJj0Y/jMa8uxbaLHWW+SZJwG4unqNEIOrCktifDTAccsMt6huGOkmxVUnOHjg74MVMbnzFhcXlwQkEy3eVbQ8GQPxT3kKGCEDJm9Fn/pLLK7IRi6e+yueYv8FOhxLBnl70znyM7WSkDOmR8is2eZtlfxAbQ6TdSOu5V5tFKc+/aYKP92z0t005RLAmzAjdsSvvcy5RjXZj17qc6Qb+ymbbhko67mXAAPpiBLB8Sa2N4jLion6W3LtMu1bXc/tzqp/NLpuHaBTQOnGDXMycXR2kbjezvz1q0Tvv4s+4hGrWkutbadojtrYS61EeZSt1dq1O0VsuG9dCGqUNiPCYVQVlvhrOJXGiaj47hfurHQNkYFbtY4duo7EdmZMBC41wK0u+60F5Fj36kGCdvMcHxgK9lZiV7ea7p3MK70X/DkppH2gy8D7jxhPoGbNfm6sebeWaW5sQonqrvgfQVny2l+5FVAVGKPtb1PC21PNqJlNGKU8VTnk1AUw09mKKDMno6FCqfoS3CURrukki5escxBgTDGl5wHraOgBSg3sPOm+XC7KXTBZ7ZlSSwnBmWie3RjgyslGbeTGA0vSIWhv/DqzUMcYE3an4+EEkxScK6CUXx8f4CkqDd1LUGbkLVeSgvk1EvfCoSdmq/JAA5s95haYTKed/OhBr8e+jexDhStzvS4+wRJtO5fDw3nRTxukMXx2RQTg8lYWUHG3wfJwZLQwYFUajvP7ivh962ueF9rBUWnJEoBynk3NLVepR/evWPmU7le5mKULFuJvfmEzHqe4QzEKV7KQBDc+EEYJhlZHegGRrphjHFEnzo58+kgZ96fkxLu5szRKd3iKGvLtti6zIHPRqaV/zvjV3D3d2uf7ce//5TdmNy1leylrL5roo1WORUQOQ21wORbxP/erP4/hfLLe7xyxlVXeW69tjdM1pezuBZunTxPFmybhzXAxz3PQROZOGPlwF3fH9khwMnxyevSuZwqDcvfhjTsyAR0LpCR0EJSLMoVqPzPqwMsuGpzBVMDnAA54wN/SEz/ZSxD0bo+T2B5P7iG4dX17yb8O7Fr9reTn+VU+Vn+/eUn+VM9f+YXdfx8lLYiUDd+3erK15XtjopP24g3ns5eRW5ui9Tstg7bOfTQndGzWken+K3TPm0ddC5ax/sXApBEXsrJ3vlR+/gMcrDd2ftAfzvo0qWn7U4XWC8X513+IsMpsYYOOEdSym+XbIkYl5IJ5gOZVSQBchIlGiC51YOvA8QsBzIymU8n46DPZWsIp9jKm4g/PLUsm9P+dQiejSoN6qljpuvfyphpibU9Yh3VKuUtcrY1HKdzfiLnuQm/m8ylETrSw7mSVz5wAHhs3XyEV+o+kGK7wwfwJQInBuwH5nMfeVBgYa44/uIqV+pvVlG8soLiv6scuHJUf875Tx0ynXhNF0tN2k+vgyC0tR1aTBWxmHbJFNrPmfY5GT3v357Cy6dfD47p19Y5/dR9v4/m2Z/pD8f0r1Z7P2kAqWZ3VhcZXIi7zm7prfMa/2EVxeEzscMkJDciPTab+j011Mzf/vY3GYp01m0aZyxEjJlNtiF1/Gz9Gxk/e9a/A6xrfxl+t8Vnk6obQVvkEVEYEc9ViAsa38zsfQvmHTbDpiAdhqwrtODsl6sOuvUDgF1ANNAR2dDdTJ0kW/9NJ8lylz6AnKOHXNr1HWk271erpw6IrVfTMrAqfQeY0C4JNWRshvO7EWe3RwFHzsTUSxva87JJWShiHYrDEmcm94L+tbE7DTsGu85WX2/dAqLbNF4p5D6eIXk8Dj9A+QopFxTWRwcguNkHXBauJEPQndaY5EJ9fXM9H11ZhEdwfyC5p15/MuOK0eT7kBFcqpWzOeMsEoxUIS5ff7JCPXUcbmLf7ZFWkX7GL5MzZ5yRE44mG298M2Z6jpGcI/LASxUEoxeO96YkfLi/Km1dJpOs/cQ6zc/9QNdqgnvOoH9ng5S8dNO9RSGZRWDy/gFcr9H4PiXkezrto4zGRcG4tYpsQHYWZUmSXoqfHQwkELL494YnxB4cv7/oHh6c2rREueTSCGzjICFgh/xI5FTDcF6sMoIVj4w7QMpUxopJ+gGPij5p8UHu5cbX13nhiFh+4yv9uF2V+VSS9sRc9xBgh1NGlw+hO8usyWyDsol77qldimVDq8mlgdq80T8uy1jUU2cO1xdHVNnDuyuodiYjtVKICpPSGl/NGYJgATFkoQqacYY36opxz9s1p0mJsUaFQNPsR1e5G8IZSh2r4Nw7lVokXl9QqEDp5aFxXIPE78W1PAiX71rWpXPBXIQKTI3bR0uDkBCcjwb/nPd15tlgmn2Gim08ae+GOMlkoiXaxm0M/Ym7lCJVqmRRfnwLsJVIfpLlh8X5E2cD2LIf3xbMGQbbkARGGtjy/uCO9MiaU7oSQ7m6n95HUOKB16fQfQGKW/1dvnUx+HLz3de7oc0RbkkXE2rXOcyOjFfPFCaIObm2TY7vj2Rt8S8q4jOTltPAbsN9+ZDcJe6KeiQJmVa3sxQqs546AHnpvk+mA66suyL5PccQZNR/k9K57X/NqThPjqm3WPrPPrj6zMgjueKXd2fw1T2dy7QYmT2+gRb3Xl9BNJBuwPbatVPbrnZqe70RjXThyj3YftIeqGeBWoecuR6PuZ5tPGOQdfpDHn9gpJt4PuvlNiKyAAmlMlpasWKnIkRqsCEuI0uM/Klur9Y7JHsP/3z5w+V42GPczD+ZX95AmP7yxjOfaUvdQLxBBMtgosZAJjIOQqwfd5XUepwkqWRnSwPQ0A1h3ViQ7qzYzMPoYrkcfKlTuPk2xahyPZahvrdqMuph4gEkkC2CWC4RN4nnQs7hjof+AxK03dm8NxiTuu59QeoRrj6b+3QC6cCUS9KNAG99Orsc+6hCGowwEZJWL/edjMnKJ7VVhGVfRJTNwl/IdMQZBGPQJGl3hr3l+6mV9euvzNoF6a7/97/pEP7669Z/bPFP/5t/oh+IZd7KgI9pH8ohMNGy0Yw0GSTctqISKMtBw7+2zElnP09avlyprnpIXleMwQ7j4RcId8yLlYnJDLMDs9Znqf/h7OjQaEUa8yCmL9ETT/ffwXq1lW9/Pz3UwcwDydPbmrhgY89yMQOe9Cy5TMe6GQjnh1n/Fb1PG2v3+DOTDSBJz5pzkDp+my1/980/SGuRdP2GH7uJ3OyXiWmuxlSi75g8FvcY1q2sCDBcwhoRMtDCjiON1jME5mbwhSdpA+RilIwoRbqMn7Jdq4JLHesm/ODcn4ywOyou+Jh4QSyqk3029m6KcLHP1hHV3IvGbdi6BgXCaJqdaq28U3Un0rdLy7N1DP5fAIvGb/gDQ0jyrDJ9K4ZyVpwV3TYpweSLRqgI5Yi/rC0s99pZW73vOPW+s25p9M4q9V6urL+lvyGGbey0LAw+i/qq2R8N68xA+sKvoyFAgWMj+TcXcCHe+4y62nTYkjGZbCpo7SMn3xWuuCjI8ypXUocv1r+V4YsyMOwdt+mlBXCVqOS8+NDNxpIbNQYnDnim10eh4h3XBPK84RkPQdOdGfQQNLhmU2B2Ox3PbwRRz00jk8t69IzB8BlUrqyg8u8RsJWyqLz0Qf4o1Dzofb/A+hvHcVNnHyZeXF17iX3IsLlxom0Gn71Qvb+FvTyNjYZl2Fh5/yC7XshDm5DczLuwglhmIuZQfc8FmtxJBU7au4WF3V+EAuHorqhzYuH40qy/K5MTTQbhXp2kp/2rdqyr6HhuVQYpuZExG53BqMLJrVonysPMlVulRAvlZhxnXkKyaJTwkThaIfFeskj0FnCYTtST6C40884wi3NceAqj1VYwGssRjRqfSFr8Y//B1QNIoLajBfE5czLRymE7EaKV0sz8UpnDK4n8m2esy72riTmNgx8wMUVgalic6QHA8L+3JNTEco+xpOwCRKU0Y0sDA9bfN09jv42FRn3FXmJcCT9/F7Ra5tTvOyPqqaIiOipzMr6w6gTDeI0XjPzP/Qu41AVzcHc3n2nE2eoV7h7uI/fcpwOG+Pf1mOhmhj6a/Xn+C2cGQztPBIA6/aL0/pcXGU7415b9TM+ajrB3xXgoIlgAEUo/jZVcmiGuUe2lA+nrqVMIH98dZuIX2J+UM8MepI1kMOM/Nk3EXsVnnw/BKLSijXUAKvU6/7Gy04j2dwhJm6Zci34a8LA93YnqutZ0uWqtafppvWBZubpyO7bW344zDp/TS55YwHQkt/18ABuJs2PLNe/mp0mQiDmOUbRdOOTnM7DKz/RP/ugov7+f5cm5eGrTLREBldjcWg+1UiQfc+Zvh15WS55Uj0AKdd2ytY3KthZb2RfGz7tkbe+dWVE2AuhpgiAOiN/T+Poj0fJMNFhuH6QMSTt96c8Gdwrd5go5eCd8c0lC4XPkVKf6zNVGzh7epwjS7fV541SjUa9zWl1BhFohPP2PJzDZKJjJcLqtXMG/qpIG9PJeBJQFPETK+46OCtAc83U3bkUUxk74j91jITnG03odaW5j5cZbSbsz7pHxf3bbt51vxGw9NMahSINnYIVqjdx17mqkL/BriZfANoXg+mAzOW0rqNtIsxDP1Z9jO++sv3vWQIBsA8inHazoDIXotvIL0Ll6ma11j55JjI4kZly6si0RRAgmMcz/4FCVDovS74bh5qbF79TDKcd8UXTrDvkztWpjxHZLg6HJS+476c9fljI+yAa+Ife6zi/vYIBy3yKL9P6Irr3qiwvJZxZDuaLL4y9ynFKHVWU4LEdso9mtvB7ecvYpNm1KqPJRBkAE0TZW5RTmDGttc4x1uV+5uVjnuCVqy0cmRNnZjfSS5mzDY5rYJLKQ+SYxd9bgyOxejok5IgPUYpJVYrEK/CztoGR+svzYtU/SuWH77i9iRcEIYwtAcV0kmKttQ0yvIGy+irbCCgUZa0tj0aBtaLk1bWsoMdAt8wHwAfvfq12XgQ8YBIPLwZDbU+c3N+hfApDWI5K+aeJfufEnqAu1Zsxj93sKY60K+iACJxOTZaxx9gUicKnueBjDjroVHkKWIQQn77rgZHFcPKMzCdU4y4XGNsmJRv+yXyFrDVxV7ZUr1zvXl1a7lh+ziMsplld5leVVrqxBxSOksOcoe+Cf7MjQl6clnxt/ygWoccw/n1t7h4wUyj4+T2q/H0uxqltWlMKWsMTLpNsCHugqItINln4aTVeRsroGKfefgA+6KRUTvZY2NhyKGfPLm3T/+pc3P5oPPIdscCWGAM+LRst4GJikhYKm0NB6iVaLk4iZzaMCb0vgS9JB4k4+6ieJcHEsolf8ddD7t0TvnBSOCMX0yHEIA1F/yvatCr6chPraxnVlkR4QasX8u2e3OKR0wOoAVtxy9KEDzMcUxP5NzBeN5P9gSJnmHsHr23WrjK8e1iPHwPI2DGKD0Z62fKMazVoy4auFwRpIKXVTnNcQ9V2boWXHweuetZseDeQWuX7sCuf/0ZhubMu9+Ct4xsYAGRJ0yi6tjeKtyxOp883r38h889Mpo5MEi61fmKKDVF2fpOP0swm3yNapTfSrxCgC23F/O6AN1o9lty0SJD6DWyo2I86rmJMI9waMg8H2bpf/MHb3UPNU2XLCFVsbeRCpk9Hr9d897RDS0P1YpK8ObkZ3LlYe/mXm3wRF0mezwQjgExvnIlInpieo0dVDPvMvGSXNrrMLH5R/4ngW4CS09Q+Fu5NBssJLZmo9d4YWMxNGyQX3MAClY0gWaOESB2jMkhjXE5e7KQlrqw61cnFYV/94pb1d8UYIjuWdHc/CieEY3Y7FWsc8eZ0jb3lIccl+efPHX94UFHtGVuNpg4eUbJW4cKcZuwK5XERxgljF1IqB9xtTt74mdSWLob9hU2m/dRB2y4KX8l/pv2c+pq3b+enrZDGesy+CmTUcX/mOUXGCrYsEtcKB20U8fBmmrlYRZv1AWJKILArqPmw1GJ3SRMqUH4+Hs8Eka68go6houoL+Azzwa+6cQk2ZvI8XyFJcJOGqH8JuOElFn9xtvH+NFfuHusWiUYgSXtQut6MxnQ6VaMsCcJYBrjdERxEnnf0pHJL3HHq5dXqNXAXZwH7hpkAHZh8VZ2Xz9/7l1KezY2OgWHKiPDF/2imVUQv2VTJKUkenXICMBlnKl/4DDGW6b6eOysVHp39vSv6tDch/cGrxftEdAyky0rd73T0A+dt8nwj9iUXT1+NIz1hrErnzBGsNl/wvlnk1eGzqrilFw/2y7ppAUZUrW4US/V/ZbdQQ94mExgeBpvO4YhDapj+8dvhuuly+VWOnUKnXCvrfyC2Gg9HnPN/bvRIAHDhYN2UAHET0A4vLPw+tZ4swTc5Qt9t5Z27m/rS3dpal5rIstTVrlsh/WcVb2xvw1mkCuvClOYkVP3FDU4Ckw3A4cxee7poDLsmkRQONbHijXq/WBbNsp1wq8WfbJVcfvvEB3NmASFHlZXXWqT/prygCeS7twseS4yfmPiMSZEAQ6JSD09OmLojLUItam3q6d9iUBZra14brcTmUTtyiabGJxAgPZNXjO9/ZP2o218k7D3+Vv3ko88WvThK7tBafD2vB8cDWDbcnJZy8env26cBdzexo4+WOwnP3pLxTIZlUKZQrKPSVniLRICwuBH2mD8HAoT+pjfm/5ZIJjHcW0WK9QQ8ZHH8U3MM8CsZS5KLTmTmqMPo8oh0omINr+puHMkzZyIm1qdS/S+MNbCBxxOZuWbm8wUZoogQPh0m3HHnmmRvxWFKGi1HZhuq5YaecMIWuYm1GoujPg7sbE0yvvv/6w+M6vim9gF8RIhsjl+7DOAO3S9gZ0GqhE4hIFnuCWbcC+Z6uIWrCZJyziBuycScal9kFE3s2d3/KlQ02jq0tx1ebZWieu6HRNbBy0CTJYwacTZlEQpBY6lddts2TBFwWznUokuyIJj4k9jwd+HkmT1NLYGQAVww2lrTT7WDUi1AjmW0BS6yXR3nKbq6KByDozK4FU26tHdrIaWI0cxX7DMwoUrC0C3mzmxgGYc9EpciWEG2mSEDsasRTQsutOEiMATdkeGzpjk0+QUZgQBvyeMYehqd4C6NXiZB21+guQ6AcBXMuLlfOllDYPT+LP+Ta9pv+U4KG5doaW4Lj9XqbEc1JPe7fuPxU0zU/KKDqglMEU6DfsydKCkSGGgskoxhdttLDdW29AWstJzItawOalx2geXldQPNyfZUFXK6vsTXrlOs/Z3MSJftOohntFU2n/Y/mY78/cV3xLNUc28I0EJ2mQTUpxgSvS/gMtqC1vlTrbCxxGmvQUGxdGz25nA8/GwAyZM44nb7f52wCd3rI62TXMQWCTZFrYQNoLsMr69r6XDYDLiwzUe2K9FfeGvz4lSkd/n3XhPsX+Y5uxY+oxHnwAE1MKiLapMhpM7IkJsDz7g++DKzYMf8YXzKe0g9G40deNADk5VwRiT8M4rBKJxZQOiJ8UcUBqFj3mk0hP78qNkPf7R6JqpHKxIzC8+HL0aFRnG7NPkn4rYpf2MDuroVukNZfXhqm3OV7YqzLTJ2MBvdzZJnxwMJAvi4BYq6bCUPxmNUnK8dVKyY2ySo281ij65YCdHH/eeJIU5fuRd8mc9g6tmvPKszE+q/G9mB01qdvLzb9r3j+LuIwfBPfRJ6kKOd5N1WCnLnRvIdsTDZJLi7Ll6s4h4ni54KKervAW+kwkTpdjj1mPKUkf6TYIPhLFlGSn2ADyeivGU88A0P593ytP3qQZCnpgumg/wWvpwjFC68Ps4A/1dg0n91jvEiPjp6+rBh6GPE9gP1qo05JHPPyVpbse9nDME0YA+7wBKBfH+4o5Nkq54RdB3tfDL4l5p2FuVNqCddkOKWkHQjFX4WB/m3NozwuzpPx4RJK0/4XjMfKKugy+deDj/2HD35wG50Zr49Q7HSZOB7q5bB1gg+7JND5L2cxvlbMem0jYY+N20a43GxdHb5lIdTdNPPy1rrKfCuEVS+v1Ovba0sdoaEgxTgBvlzZP0dYdPhxTmkIB+U4mgwlb6QpPrhih0X3V+s5dSM9wdbjGXr3SOKiphOFYOI7akVvR7+aKWc9wZ1YUFjWpfEZrpsLEAc3A0xt1PtP+3l/eqeeLs/WzPdVqljEir7/uakxCbpOvKo49BKb1kxifV4AV8n7eTyHVuTy5NitOZo6ZiPyru9ZC9xODCTRcDWDkpvOAR4FkRO+mS7YiaSmuRuM0Narh5rxSo2ljJIzMLfwIzkKA95/knJbFRtUY2tKzgcWICkuSBM/HLPUp5eejCd5gMQsTWHJzTadEe3w2sgQR2SCFHlTHq7OQYcWaXP/vfGVCjrdDvqPBSX3rQnJVpTG7e0bqr8Qpr4X2s0OW2/bh9w0qgZKRdGrNPYhk6MvH1izcRMxW7ZKILzEZMJSgvv9bQtEc4mPLeKjsbaj0XCyqbGubGqsEkiVVWHK0Bp/EV6xt9uogBFW5On+uzwRlFuAnOoTdZ5B5FgdCv8yoNuSBlVlAOsabyCn2rrTamofeG5IuN1Gt69ul5rMj675KqqgOK/NImaofXW3juce28snnObKqgim1BnozuiAu3BdDB23dFPk+5scYDplHCYnKVouFCqlXSP5jUo53hTgHYg6oO2ZyPRCXXN6yqRSkqSmhVtR6AM8vKpHGcaMhCCnGGi62DwqA2mLBnM7eYaHxVRAj4sNhLKhNxeoGsspcx7bV6GvkgSgwz6ew8VJreJCd+WLlHA1Uku4Gt9GCdfJfDYhnzA64yVZzUW+2gCnhWzAvrTyDEUWf5eK4R3hUTqNPvBheoKgTrZz993ZqWZCC6bNpiJ5FRMuKwEI1TAYCxv1bH8LspiX3B5oHXDOOzAo8EQND/sXsb6RLWVBYFGBfwi/6upM4Bxx0c9GEYhGakVY43evCBN44DHvaT463eMZ9V6N1HqvRsoIPp4wEMIVvho6qGLyB8piUs/FyfX+CA/u7ZofZR3AKf7+j5X6Hytbf6zuXf6x2mYJ/8ubP6Jt95c3bg4F4HWm0/F0YwrVVlAocsAshrIdrzS+0jF4kWu4FOl6QHpGBo7+tt3Tz1ta0yQbnXvx4ah2FuqGeb9Gan1XYyH8Z0c1ZWTyhDPYi7SeMPTXWwz9vVgRfDzyH59DptXqts1JlAoGQwbM0dO+uB9s3MzGOj3DwonZURZNCb0wRCTCe2ivA+0Li+ZifXvZxGkmamMFUdEkFXmH3eisx9dpdgwrfCKPis/bc02ptvMwAzXKyAvrwDFq/lpuLKU/7mERu+P45LTtetOux6R2CnYSYRh1s4DjY8S8vsofeOAK2tvz5DwwGjGiqFxHmcTUfAcccluJYkjT3nK0xI/AXktY5EmWx9ZTN9Ueeo3ThiyLD1+rq9k9VDy1otk7OcIYh4PW4cXB8aeTg7126nrM4ckeXfKui4pFti1sbhwhPkFrj4XVIige+HpYEexuxI0EuJVieTyCw/GUPdh+6h64xfQGU8ZxkbEGr4/PUPziTwUrKSj6V1qcWCgU3f/3Z1fFf/pyLqZ1nR5cnN1NYp9yC1VfABIdjoITb/e3feZtX2Y12J7Tu8sACVOY2NJWyisauDZzlBdr9pUk5z848vrI7mw3EZbRJgF6BB2i3lCiMVd9e3BRjhKkScqdlZJy56kbygyFaHDOCBA5vdBUKkT9OWjAWhYS8J7HrMKHQbeU3f6cETGFWwTLcgrPYAN9OEsfrOf7cDm0xjEwcKFzvh/17/Phn1ggcgIX5h/7YOiGQwGLIHy0R1fTBwFL5TTtrGCOOTfUv7od41vA+wpBisWG/xi+rcYKvZ9cSylAqvs9DhiyhzBl90RC7AhSSw07vEhJPVxpTj5zdHB2lP8yH8KPuRz2s/Is+2KySVaNCLh2jHljzCYiAn1YiIjGYCy2JXCT3X2xHW+q16I7pIHJCAEL5i2Rhl/b88gxsw+T37jmStr54WTZXARrzgqAqZTvH0+ypRyClCK4FYfA2onHguskx/CVW63TChbl+CvES5izsEGMu0s3Ftft/DrVO4+EAzfval4IHWIVsnjht0WdRW5eObt2rZGuV3u2wWJcrBHiJdrytfENul41zuo69sN5rN6BfubFD8mee3M5Tk95fwkFd+rZFBFdXm7MbqVGXLZ+54hLp74bD6yczGeXMCUNmltRMTn+MuhxEQaPhO4enZ3muKsN7gf91O7CtDylQ44ORh1rhzNfxAEv0rv2gkiPnC/oxcxAWsweDk5TH27IOKOkpbGCC7eC7+R3cdXiE9W0q7a2wzYu151vFlfYSo2hbH0jMRS8f97SIyji6eizi38sCVF68cH1QDo0XmRqy1ZqxCVOGT2ZccZZjfl8qpdu1CnGnWD6KBUBeVhsESYOdKYAD6mU1BeyCd+F3reAqQ7H93DdeDTwKHJbVk985wzHAjXn15PxihG0ELrN5sStrSIup95lSbvmIxEzZ/YHAW3sg7b1nBJb9mfLDDFL6Yg0fapFhgdzzeJRq8MtWe3j/fedg33+kT2eozU8Hr5owuulv5TrZJa8Z7aB1RaY4G42KdzggwKpPrNr6ttbknslMSEWnDZOg91NazIxp9YOyVTetfL9kRSF+HZ+DbZdTatehGhibkjP2jr9Shv4WlupkaFle2uDUaLvtRc9w5rHt/1/jMVtqZ1u0VnLLPvKHCFZUyYk1nhh6xs9Flqe2zdZcqpZ7tn6yqP5cDYAuhGO62DUDN/P3e4792LNaGUlV1MqHDLi8Dr7RQIqmhuAGNAqmyC+1qIGa894jTFWDQ3c0WQ+C5PkUfeDeTIdaWHbQXuVCphOj9fNKxG0HfJein3Y5bUl79CP+ufL/jVKhMRCKjyF7RpPYrvob5tXsj+bnVB/ED2hXOL0CLyQLSuPfYF3+RGEoeg7apyd54TLB8yDybLCFJN0EDhwoNUm7SMwQE/Zx62VFolAG/TDlwsk9poRPSFDpa2ro7Om1m0X1htuWGJqVZV0KbKkDSdkWQud20UiC9OBV60wOh6WHttJWWLkn5/t4X7ch5gzdVMuVsyt7TjQcyx46DCnpDosiIgjgG/ygKzMnR98liHYHAjAJXwA1y2WcFjq5XWx1MvLsdS3UoN0WxsVzD9jDz3td9Ez8ocyculcuh4/duQFzHlrVH8V5HiGAH9c1UKU5o9lwpNOMyDycoAnLKPEZugYjSg2ZAhPlJdQKddH8SVeUw+cdjlreT0Ks2zeXXY8Es2LwICFQkBeYtM80FZqIG5x01pr1detv3GXIUEfS/WEczbIqtAxwbvWBra1ClwvrZSQZg9x21AddR0bO+gFCTMbTviXAUdRnM4UCy/rwNd9Eqqf+85dlC15ik5LCfBsbdin8IwzYQvdT4m7ghBPKm9LyFlFhG6JElDaD9jFhR3wo1UeRUleEkmldUG/pnVgTS2S1wkEUYcneAYQ81Zqo2KclscRJzIyhlI0S5uTfzzZRYaGLO9UcINHNirbOz/7UPjU7hy8+/mifdQ6OMR8XfrotNXt/nTSwcDtbvtMPzzvtjvIzxyctRlNbBRI0tUfknDvnrWOTruFw5OfLt6dH+93L1qH7c6ZyYwnszyxc9Z1HA6mJP6nA7gRvBqWgmLqRmo42sz44VAV/bYfGdoSdhtEaGVuxn2Hlsp1YOil2ngjV4Usug6eSE/q2ZhIMb/8B62MzNNx7yFn3DVL/YUzd5ONGhXdOgZJGDvwtRoDkZiTv+in+5djBuacBjPx52z1G8N7JjFCUXWrLxpTJRJi8cjVGPsDiVhgXTD+4NDP4EQNRZFEk56hf5LBE2yRMdt0jSfAf26nBgO3v43yqwRTJ0uvPiBv1b9E+3ooE8KIdUIp0IdksatqyIll9JDUEBIgvJ4DJI9EZX9KOqNgYqPDuBoWjTrmL92TY5xN2rVJwjnydLw9twixw3yENfwgBiWeob9Hj2KmaEe1PxI12yyms50aStz+RkKJy+KDOXKQ+w6TSlvCnDyTEmUO3EhjtuxPKCw3JVZ1BbHOYgpo6RE41At+Kz3zmF4R+5Yb/jjPiygk9gOWwGeMgbDODDpzY8csB6RiEc+MWi0zHXlS3fMpXVtB6e+AloixRrrlSGqKw7tUN6xF9VRD1TaYe3juKM3qUDBhnpF1fnra7uy1uu3C/snZWXsfRhWkDGfHGNvoJLoV3HB1jimJKHkhh2AmTXG9wc0AcCS9sXYRCW74FeOBcZg4blmdSDV2rPbaFdw4iGgxsXcjohHxiEl87ItGxMb3yEKx38kCVLFDw69yZSiKDeYjLlLARnBGMMTfctNxBfhCYLWepIfqK7hB5t4BKyTCnecBzE8UjJHlBJnv7InIrDIYFu7X1xlvrNFReI4irxSUn0NnTXuIpNcWqyEGMr/+Skco+Pe/+dNff/3D4Jp+lnmO7AouvJuHMYdD5AxpY78MggF6AUTzp+uOQESoOXn3Tqr3o1aoqMQgAWXu9xxc+cyVAiF0YI1EeTF53yftb2PN/WUUibAP9kWGIa50SxMPTZyhW+J39eMTridnEftqt+lxsS1SyaNFFOQoQFhbHz1YT6Ll1iqbTbThrvlkhbTJwF6Rzp6ODC5Ulbk8LO8ueWr8NKkluPbd0qiZWMPCMMpl1oEdHqpxmu75279gvgbe7O3J/s9YR/hU2Nlc8Pjnyx+gKRlYgdv7/vTnwQ+deji0iM4Zg8qQekS18w9SSm9TMHzuYoNe4CmFx0QmLSKoMQWOEBahnYBiKNIL8tDW+WzIEL42x/NYTPkT7FrbJBLeJxZIfiSkW9BhE7ygqQs2WprYeP58pJNRTSZGnGykxW86uLmdSasv3l8qMJnb0SwvgZnBiEWbjHIyA47OBOg26Q1U62i3+4hbWjj0mndzEq7nU3ZrFPRDbH7tqngwh+P1Mw07qb7Mzrfhy0RDGAuezBlahcfX1+Jy5IPZw7BvU8YP4zka/j10A0tJv6AT9DF8PSbN5foVHg4JgOE9+j0RTgMzTfsTqbL2h3dIb/Gl19qjGW8J4cz0Zk7ITqoTsvO7OyF3/biMIT3t9iWQljL0TfZ7eaIEUpqbv351xevHglyTyKwBCXOxso7xzSpEDneHzVoOMSyQY1HqOmMZyIlwebYN03JnorONJYCSYragZy3uzDN6Hd9XJOzlAzsjIfYAzuYXYrgJz8UMD4tD4nJPDWX9yvmAT9mv2or9OkHaG4dWC8CwUH6jVTNwnrIzaX0oekuLm5bxTkZeVqYAQ2k2pQNtqDUmBn+WSlTNdQvZB1z6OZuOITPWA71C6D5Q4JNdI5NnBEgIw5K0xEHnBYcM7LwMwJiIQ6+XGmuzhuMe1hX2jVKasG+UfkthnzZ/TANXXzVu132gM3O32DT4Ns91uSNbfYtP7/wRrXcqESx7g0BugFmS/hXd+qejLvFbzye53ml3z4o3ndO9Ihc34ihMswUEhZNlb/TjeIgOTf8OfYmTcKgtFzcYtPtOB6iN+U6CotKc4VYGXSwhLdYDu+kvwGFku1469dwNfmfjlLsm8gYZ8oblNbLyHhzp1OkKgJF+h+K+/uwK2AAupayPGgMjApGNk05r77AtN7iAbRR3kztjv5dHaI4Rl2CLhkCPDn9AUkngBBs7pccQOYKmyrt4YPVJ7FlZwZ6q79QiR0DmtVSf3N0dRJ4Ea5+ug5BYN6bE5ywn5u3OclVfuBUplXxntxoW17eyVL4b87R20gx3fUkj1UploMn6c510BMqP2OIMII5oo27p6+TzooRCyryR7hKDNuyChYaGfhaAdKAr</t>
  </si>
  <si>
    <t>fZ1wsPBJ21VdsV0RKFfpUZRiBjniWrFuKxtoq4az2ydWOGzamAhVzQUOo16QVwhNUZOnnZN9cWrb71rnh2dc3kDnK3p6bOmDXbTx9nBrL4wJlkvF7WKlVGmYcmW3sr1b3zGnR1AmzCE510rIKZmirZlQ530Da4l3o7bq8IzvDS8UAh7LZvwbbnFDDC8hwl6ig3FlCEGWE67D219cCCnqxcgCsnm2IDkidpW7J9Nxby6fRESoIjiWG9uFamF7t1yvPE041deg7zrxl5chXVrQZWD9S8k/J2kREupJ791Y8d4ozIrsQY8MUkAtLDnrbfK3yGeXuX1k+9Jh++TagDnmsrQliR+wybFHiHphpbtmYaWsbfW407l02jKb+gomw0KjiLfILr6PBpEUdsYL4xKeOPSaB8X4G3U7ozPlulxiw+jSYpGilVcsi3FKULu5BFAk+oLRkUbmL/4XdITS03ViZsaLvH/eHPcCOUbyRggFOZIwwmMws+abXpF9AVtgawXbSWuJMNsPQMOGL/9KfGMnQUR3XQ6oLWGVVAIRDpeSkT9ws6ejFwDhykJkfoeohLb8jjVUqtB0WmkiIPzRCmFF3xeGlbLXo3EPBcPulJ+7IuIQsuDUR95Ekg5s2DovIs/V8mGZLPMc9jXSrQP+2Q09H5mBxFJ1/2yPzNfRlTOTAvg5c/hR9KeL7s/HewCCjHHhJx4orwFzqaJ5EltsP4ktfpoOZn02nDISfkcuZj7liTsg+Yin8CjYj2IdvpLw0XQH7fU9FiXmHIpcGB/K2DHmdj4sgEqwyToeRqF5HAvkMKMXdl9WndqmfTFz5I/mqKh0LlXr9CDHGvCa/AMysfYrezoQ70G/nDNvAacpaFUWOhe04Ws5Slx5ayGyQkoxkN5WLQqkl7efaU+hazWXQENFusnGo/yX8aAnjUAicywui5lJYELm/wh+RGbv8ACJw5w5aV+ckVj6eHD8PmfO3l4ctY7PW4cX3Q8Hp0ft47Oc+XRysH/x8/G6OFmVstjIclR1XvC0ny69TIR3C7ZktFJes2S0shTwj3l750m8rarhdbjV+yQRbxCj1e7mK/VG/v3eERBRkt23bQsZEaiuou8g+MpRKtR2SpUoYlShmDp1jQAcJXcwBU9rFL6MFeVHJpLyE20nibQFMfaDwxLxeewfbusGeE37jksra/NPpWCij4yYYyGHVNYcKV+prOKQxRLKpRyiuBMuWPECrJISwUH5VxgPCVDW2OSOBPshN3ZmIogbkoPWzierfPKhHhJrcXGDeVesu4aYjMoWickwtpfnOpW/D+/3fUQXenaPHwt5VkoFY0FjeZpCSr9opbR0p8qpkbbyt5FWgdLuqp6eJsNsP932R0kNL+NlY3oex/LOJ2WhwzkUyosHgqDegcHsMQxsJqFNaxdIrK3nP5BGuyV1JWIeNuiYrKRRCNmOUZkPbDMjTAoIzPlsw3GLvBuVFbvxuwSW7EMfDyX1Zld5S7vp5h2gTILqChIc+TxiUyGBMo5FoMkRsy+aRFAgLVDvvrVhMZG38FhyP8YwIsFYQZSnRKpzKYBcWjCd+UjQE7g5nPE4pIaDUQNuCt6S2DziYwzMx0APtM6pVskBydyVMC6JLujRUENt7ToP3pvair05G5BA+xeX0KIznxTOchzw521CrG+jK0hoqHIzmVYw8It7/vCKDoSfJTHPui+B4x247DySHSiFicc63buwsnxiEqOcGohJHmZ0Ec7GdjhOsAoJ+VnkitcCJZ68EJ+Z9tn6D7TilpgLDZRWPD6FCo0VVPgLnZkrDNUxmZifNtTRo/gwKb3RO8jsC7Cd/Pg6T6JaWuNIZXdPu+Q9EjVuRAHkZdJGdldPUY5uF8y04E1otkyR0fo2SuZdk96QQ8khlYj6Cpom5U3dGce5zji/VI1DTOBGGF3rxImadkAl6zCFozjUF9uVDjOFKWIB4jzePDqfIhJUhdLmOmtrjQ22blzPWW8vTm8vjaZ5Tk3eytMLhulTZkDUUVAwH9HbC8FbLbGyL3jOletCsMLhtHNPz8bjz+R+IjvHI1ea3E7Awl46ZBIjtVMUYxHcULQ7W8R3HXZKBItEabTpdmyvsR2qgJbLm7U2YrWoUV03ijeHAa2IyMGyZjJHQz7HyHXKPdfVh0or5zBYAycWlGCMjDSLaTSUaV3OH4KYJHiSyNpZQUIrielkj3o4eJmTke2A3Wejkd4aPMMl1wz36gAXecCufpHRFSD7cqKg1KpclknafFPeuPOhq941P/X7nyE5bfru6CT/rmNKjd1SKV8uIxsk0r9uOBtkL5/0/c9IGNFVlchV5fAKyfRV+JJSPbykWpJr0KPTbeW756ZU4ttUIw/j+cjjMUSUCDTbkHn5YD6VqxVTCPNWObO9WyrvVsqmdUQeE/25lsNFdfy7VrKlZyI2cfyy6Pih19GMtIazInAMt1zugQnB97djEpWKey5riB3Kn3TztbfeV19fJgZJoV7K+r9+9Yy83ZIIzhOYNcXVjjMr6I0j4pubIcKYryJ8yUGccbOMHagNmrnTca9sQf9j+6znTz/zRBzM/2HWYoaBDKD/8CgwZRK6gpkPgfr+DT5RXsOHZOr/+Xv6O/+njP8Ox6MbnqHJeHc+HiiVPJtK0/Iq9zjNOnFZiwzPCEJRaBAO9WHjg53KnDnyv5pLpRiKjNgmERzu5eHdTffp0QVleEVZU6mlrspUSiYDkktcVJe4a7zWcKizhAKeaRYEUJpeq/Nhv/3Jk+k3tBFhU5sNs/5zjn2UKEXtsRBHTa/LxmOaKYGOpfN3G5XUQEfl2wh0SL4rGeFowX7IS+VQLxLOtMHLPDeYtQ5cTZ3IuDDAxcVGoy+ooSNTB7FRxEVtNHQzc6+SGqKofCMNZ1LHkndJo83jEJXUOET8PU843OQSEBk5BWEmBBmJIvIR+PcYJSPQ8Ss6X7l0y77ARmVqj8zHEpfB5kMEO5izCHEgIrqZGwGxi5m4cI3llrd+gGj5REw4jm7EKQAz2Jyza43KZmm7wBjcwZVCX+VUevcjGR/pDfiOYxMwBJlvk5MPbJ17rVQ1Z+3j1vHZxd6H1vFx+/Di+OTsgj55e9jeRzxXHif5IK6RlC2wP44FTDawdRgI50sUxjsfhQjdVqTRg6W3Z8io+cAVYNLROpYtQ+v4G+VcmHGc+EyFazuKyyI63w2CgDab+aLT2LU7pw6dQuL5dhPyHlfns3b1xWiTbWTHQedJJain0Y+MWoXRHocs14oHhofl2lFYia+H7UfqiuZDnpcJUVuPtCvg/fWKRYlNn0VPYCPlBNZWnECUGl7T1iBDGTmA0/7VYCKw0bfjkQToB9cPUkWfM66MitOSaIjoj/SXyH68wmlNn9tqz1okmBXpNbPtSGGgJvNd2TTKDbO1VTHVermKLs4Jsu7/Obu9BBzR1fguZ8qFkhlektWU/nZc/GEJkQEnYWD5WzCIDqfqAcg2LWrmp5nCjynnVTK2vmKHu2Qx5NlQCd/fbrMikMkWO9Ayrj4mESPpG0l53WL8zdTd4rVFsHfOJE5uncclek0Ltibe4qksv6UYYeV8JWf2BrMHiTsAlQhVsjzZHn7sUN9rL/KWJnPQPclXQliJkFbS2+TYyoqYVKq8gHzQW+bdLe1UITfoTohrI+L9x4Sd2oh5b4WESQiWVfKksYLbUKjkDwpkU+R5oKLANUlPVc6CAK0hGCIJ76cKBKXEf9A/Z++PWp5k/aEmrQpkTSYr+yQLC8GkaNXyUF7p8/PUC12U0bTxU8751grKa+imQLS5mwS8A9dD/wuQE7o/dQ+OGPmx08oBhnH4kF2Oxv8M8l/Np1NwHh6GuawiIHkJJEuj9rl26wZSZM2LJf8pRjFe68Yk215BMgS3Lk47J58O9tsdIhODA1zsnYBW/HH34OT44Pj9BV+4f9BBH2XRRH57WWqmCEJHTbe2pnONN1ivJNXDLRA3YDjAtEPXTwTiwy+t5vnY6jCWOx99TZhw6AUYgijEO2ydvTvpHF3sHR60yZQ72CczNPUv3fZep30WmnWP2jsF87xN31lr0xfXDStzycqJPV5RZvEJ8HhiZH/mNV05Q54rOGWamlSV/i7CJyVAVkmMKJoMxw9cyzaZ9vntg4GULC8Plj3jaHiPPHRXIEvJoEWsCwM7xbSXfeySi7HX+fn0jI7Kxcf2z/DvXZ2n6wHW1J5vUKbWqOV1OJSpVvKXDxjcSdxCFhWfj4Kx4wV4zA7IfA9vCEu2pcC/vGHKO+folzcyM4r8HDtyOOw9WXlE1t25amrIpvqtYZl3eLKewHGh1ZfBiG1uElQisjwoIgtwFm7nd/5o8C8O5Ixm3CmITii/lxc4EMUpD6ucbaazjZsdCZy5lKN4jIP+ZeCb7l8PpefK45ByBK68UdZSLpRjbxYLqabGfKrfSMxHaZ1nWufvLH02D/1UU0M/iddF7kc6hf7gUtGImyKfiszW+DpnPrid1lW9SodQ3c52LJfydeAqWebzaB2etvRiGAwiLpFoT9BH0+Csb/uGHOX00P+q9/l31IPgBeLdqyUzGQ8QIAFcoAOry/9giRG48jU7ClY5fJdxjXs9RfF3E71c3fa6BY1ucGylsW7Z4tLBsSQo0wRO7duIER+ObxZaTVkiRAqxGV8ICpS7vtDtO6RvgRqQB1I5nOesVm+AYlN/ZtEgNFkeDrrEJC/SAAjl4673tw8FE5l1SNfc8KgWiQDaknAfbYNCF3/jKrhaqrip/f7iZk78mgeClAxxtehl1sjdFFyRX7i64oX3lOLYRTrrSLpgb3OGeQBttcoEgZSsGssCMZlDX36hSZR2AaZayzUqFfO9LsTs7FTJiHarMdVqrrqzA7s6uipTIQGSsWz0fbvTOenAxdPqeMAy750dfDo4+5nXr/eWNpO9Vqdz0O5cdNpAhmmL7Xt48v7g+OJd6+CQPphyztFN53WFtqyLxeD0shtvVW3FVkla4A9GhnW+2izQnWqtTLQmictn8Hj8vXySM65n1PuDXgRwMpkcLJnKsevoN1u1Ur1Rpn9MwVyS4cdCorLTKOygSua8ux8/xK07GXUQwucIJj9KnXr9q8Gdj6hw9Ptr41UycesriNtlEhoAsREXabjjVejr/bVVrnbqZOIyYovA+QNzkuG7/ui5eAxSA3oKmPHYMsOXL+jLNhsuNyPpe3jwsQ0LuycVb1wvYJF62GDTkv7OFu3fH+GvXnj2lvly6eLCPtiUQIUpYHgy4f30XtmmXl9uhAttRO5TrnpGq/hdnQ49USgIER9SmIt3Zuj/Cswf+RYX5HMTa9OLP7hFJ1XwWMGvZC/JShivPWOLGaGxghFEGTG8xQxKUNcrBfnStUyacTBCvI7j1suDvmvySYoj15Lnt6PPb+nzu/J8Tok1XcHSKDLlwM2b9C0cA/J1CNIbRuzRgTKK6qQW1Y7jkMhT+S6t6F3gaftTN+0B6CDKMBrgxfCEJAcAdTJnTjr7aGJiqZqLC1eWtphVefG+fdzutBgb0ZcSr0sN6JLVgCRV6+ystffh4qdWp/3h5LzbxhAWu4as9q4nr6hkFc09Z+X6yfmZjnYCJsX4+poBIyL7HWgAdHxFqjikUcHsw7zV8ANKdHDYQsS7tCKCpQMQmS+3VvBl+yvPnNvrfpI+TP51uZ3yDCEVedr3xo7/XjBYin2+bBem35C3PWfqhW1z9DanWopY4mYE7D/WtnLT72OWjYSdM5U6C7mc2bKFkllpCzZo67XV6Mxw35PS/0+TobXlBUUMnBn41/30+W4s8PTREKn4YtaTl7oeD4cQrdZgkHIH1rO6/qb9rqcT4gS8KGGeNSGHhjPydzh2uMD8PH0TKWghmLQG3oeYOynrY0xhXR5/3colYagtnYiIsZzBoDf3h7s2rTcYhWsWtezG5wX+g/EE351W7REnk6Z1MYT+VMcYRvI0acy8tZKZt1dZnbLFmIKNAb4MOHYDTI5/8eifG06T9jURNR8tx8t9BptXUNrFj9aIfNP84NDN+fMKOKlc3a6bDH7/vpxtypKMV61BNavY4SpdfS2FhOQ3Y4OG0/S3LDLZt3edxP2vRPNBICTvEfG5Z8hWoLfs/KdMt1RLxL1aM1Ou1SpmIlORVV7jwTwL0lUbB3CFGW9K4JQ4XetrBJA/woo82MDTwb8wXHAI1UqM9yTzamfFhpOXqWEN9FexIoNys/qMTducOWMlJ++iQy1FnKN9rrfY375RqCNF1eL29OuXKVfYASXfA5TFH7DDJbJfrWfQ2ts7OScvomDOT/dJQfEPXfq3NemcQlTcTz8QHEdu4Yrg4TnC8+otsNXIn5DpO9OkpaQqD3qKpmk8jAMmg5t2S5rWteFSVXhE9arQQ0FkYHF0Rv17Br9XRb2owq84Rc8+uf2odXpAjKED1VuzBammJTd8TAfcv0w31Ck23Nqma1JodDaa+AM7aQYrzHMjDCYfimRrlCDTwv0O24qEpEzPdOivN3qDVeIpJW6fFE+SShghc64EZKUHLFxMILBNelzEG4FjXY6utyl72qcRd8L/naAGgPx2n/UtOjrNkY9Im5Ubh4M7xobem8/o6AfmT+bDGLDLKB8/uINi4ErWt9PxZz51IQTt3jyYje/MOwUKOJ2yVghC8PnkC7N48y+DSH/7tjMilXNyWriscS1bSYRqGob64GqpUTiYQjYm4LYUycUB0VMWgZpN+AKO9ayttsCcIwYjvNbodWTuhaVmJvGyJ/PZhGzLyDx0LqNFYU+UQhFyp5A3uQUp5I4RNYBNik+T6G9ZhtBwZ7opdofk3nLG2bW5pGwSeHe+N9va7sT7kwn5YOEmpSn2pTNgG/XUMGb920DPczrz9ADckoxonvaneTuH+ipy6RSOd54oNFHj0l5UhF01IR6wmLQFczC6nvrBbDq/YnHGo/pGs2YIMUd3mOJsDn1UtviB2m/5+SQoeC+Xv6qnxjHrv0scM2kIm8zjiRTUXhAr/yh21J9g7H1f3zCXUk8NbdbTPXmXRpEI2mhcyAEGl1FHsq8W59GnkvNBNoKHeFqtXFEnxyOW4I9KTTIMLM+hygDhoBkkBe7m1mvCoFyJb9GUoc/3PP8ZoKl8pYC1R9FU9LxXy4/7RvbkiINBq+1iuRzRmY94YrqHiGrQJ28rYKN28KWftcGicqPC1+6UxYFbkMPhOzBGilserV0ySHaFiUBPVgqUEquzI+m5AYs7gbnag+vBulLiw1WKiBJgSdLCK3/RKBo6Y6zfdX788fjkp2NrelTSpGK1vFIq1lZwYtL6DfN6/dntmBTkeecw7AdUY/jQRxL3IfsaBm85t0UEF15Uy5DBF3fN0xfI0aaBhY3BSEOXCuTBhmSsLptseOlz75AggTk1xdqO1N8lmZGICs8cXmOmtLVbFZ6jn2p1eQgmH3LPpH+PNjKSuzqQPcrh4hOJQckLdlawTx5PIBHXcm5bSYPMJws1tgExbBMZcTWMs4s+vqOBOFmJQGUmfbwisTnz6XXswWLehAxNOms4tDXeJEVOrmZZsYwsB6upkHjVZXzdqKzk6/oqLRMx0zNWiumInajuRIljz79ajT+9KT/DaZPpiZCJEtBYqYiKvw56/45r/ZS1cxQKc014/qJeGMiMR3HRLjBKXn8Unwzvy/r3Qud0chwWaMn6gdoCdeUBPKOxrcIq8SDpIeCybfc47PbVMDTnqiVnczMLl+he/nx2W9R7gaeYW+wkQymdxcYJZzHUlMXWR4oWNjFCFhMbn1MvU+p1JgNdNJ7IdnZCzBpF5osEkgRRF6W7UqUcfRw/yN5vSw+Bnkk5CiR/bKlB7JuAKoYX4A/zXK4nN184mxHKBVriyrkqevWdhjyOC23AIQ/GFbkQYXWHJGgsa3FElUY3OY5E9N1axTAkc/A5eBo/iKpLcED/q/NUBj0UcJfr26VsCj+syXMJnsHANwCLtIhPEPqR/kI13SG2eGRLM9LkShsj4zl6QjFkTSF1U/cgTZGy260PXyl7Gqs9DZz4DMIjZK0f979iig+RBZ8eQ6AevYCsScvf2YfUSyy2oUkLwuJlWki17jV5NTDWNISITyPxQ16ytpajYdcNJ9000d9I9cwa39JAvuhwjoVyk9jovbwMxsF4XrYP86aLzD3WrJmivB0zbkc1hYO/h2KT6HHlWkLT6c84sv/AZ5ZnYeR5LqwbX6klShvWlTRS/bHGtzgrr6e7wNUmm1eyNVK9r0a693UWGcQW2pAd10qFYDjq3Rn+oj+ziY4XcsxSjIXw0RxS5ZQ1ndWq2l4CKpoHEn2k4+t7vZSXJS/h2PEHBuywtJXbiG9DojVwqRtB8oi9pEhkMTylj1KyimKHiB2zJX5Vojigbx+VTP0/kvlPjTlUKk/Z8dqKHXdHPOrqnLlD6sgeMsGpO7eH9ty+Jub5lno8oHZyCKLczzHGL290v/PTev7Pgx++YuLTL2/+s/+VNSBsci/e4Er7oFRnDoHIkl7YcOKxNSoq8G3ZW0jxlmLO0RrlitVKLjnDvbou3GJ1OdxiI9UFaCy4ACxgfwvEb5Hki4BSeekli0yasxL9KfzdWPGq3ditWW5x2Ju9wdewNCRAaS2t6DRAziVf8uTjwehqOO/Z0Toyx0mS28x+A66kdT5HuVpdm7Gqjp+q6/JTdSk/baWaKVvfhpkS4iT/ZTxHJD7dSkmMthAkY/5axGA5bR/vMz7vyUcSdh+B3LufYsCEQOy23lXwpVgURu0WqZiNmC/XA84qR5w5fXh/uqERs5VqxGx9I0aMo3L+H7I5zzBetlKNl61HQseRLbJaS/DGI7Hk17Bb0hBWUqLBZUGWjVdqkno5+ej+2oyvj0E6eEpsZZsdMsufUusURdlRWaoXkKLk2tm2lSS1tSVJzUmS2ppQ0dXaSklSW7GHeozjgdfIdka2Mdzbl7dDUgxQIjzL9d3oKIboHJbo8AV0UWRz5g55R1sYl7NoZtjvr18tMkjKTnHTEH0161wj4+XZDmXojvsxOUCjHs+YlDsuJHgzUutLVoYW/WY5xqnncKhp3eAzGrR7scE8kZfjXKaMjAnDxUuNn0cYydk6Tznt9VVy7bVtGDVcXE+bM96hIWL08zmCEh6wJFprwu6BHiBvIaKFls5/2WD8yXaqzt7+NpK+LUy+DCwE5MLAtPmUi86lzkAkFAf75VsZziFZlI+cjV5KN7iUrGSjvSkyXCBnoQZcpaDrrPPkS+Sj2SFiDO7/Ynnf7VQVvf2NqGihalEBMZ+hn7dT9fN2un7u6qYouMZVXDW/ni6W59pec/DMRaf9rtPufrgIowKqnMlnvLJLEyb6vlCQtbH7b213SGGnnHcWs6lnIeOdREtUta5ZQw5kLwr0sBXF6IrD3hi9Mz3qzkqYevZJgqC2Ylv0PIrGfYfDRscqtkNO4Xb6fpDIBr2Uet3RE75rYkuIKcPU1Uh4Bj9pMy0jzuFb0QnOWulrz3UjksMhUqt0GE9tSl4ASWUHHNUfUW/1FEOovswQKpXz7dpCsW0pCQbNmfqZf7mrL0ovfNQyf8B7z2SKMH7hwiTMYpPB5GNzxQVS8VajZIOD3GEzGPhwWV4HKjHQzLztVNbHcx9iYKx6e0BLkKLyFMxbbukPP5daSuB1Pfo6TXl7BaB3BFAACX8YssF/2OwgKQ0AGw+Cz7vmJ561PYDzh4F1132ZEVREMkVRIlFbS98pmu7gX/jLidV8yFELgyFoqA/XT5R+PTRVebReH0OP+AuSm1R+24rwGyeIrPjQ28iwJV+yZIZzUfTu3LCGICzDuG8il5nVdp7Eavwz58jy4WZeujpT117qhoA9k8lSgUJij5Xi3glbTsw3kfJXBP68AOBn/dsxBGdmu7xTRr4Cw12uArNPguLv/f6QiyEPTG2n1iB7VECz8ltblTxAs1zXgn2wZDMi260tsa7+2l5Jz5ZrMyRofnmTTr5f3mSZPQRSifSwNtbKTKHpAFNAvocZZGsYtWLGxoLLVema/tx/uBwjWizVu8T/KEMCCpRdt54wTgVKmH5KhtRMyjKw7pClLCi2S1o/It7SIkYNlxOsLe+RSR3U3vhGBrV3NCrfIvHxAGZZmCrS738ewuQfDucTkHsaPftkyIRSJRcKldyCTMmxSMmJREEDGBdoZRmcUyARabPoK+PPLC4FJ3fDkFDq+PXGzrdib1pSFzUlUhRa5oXGPwLnN/i+XNn41asrXv0wTmSTqZGkLyPZW2nQv+oVhhq2DQyy3QvNLIuoSM9IbKUvoGlqLH64Z9AA2jpf2smXG5409OIaCRPRV5PXbeUrFU/m8aFDQfbCc6iZFoqh1HjEoik1CuZ0PnO6u6xrKjxlI2oreVD0p5wtMT7xlJx51qECMP8MU+T4P6+TkWLiM6nLpXy5shuxJ8r6YPIi8pqplkCNspJEY2opAZtFOyF8DO18aWvXvqIpl01mPLTsGeTCxopsU9/blMBV9L9S5H/lMrPaJmdrK3UI+1Z8iFetVHN5Fi7MCaFIVceQQpv4s5jgsTCzdlP2JEGzyb4UQc082uby9Hr5Pua75UxRYmRIqed9CKZhHiUbxa8P/5IJ1xav8GvxejyWEVCAcxC3gftDrVYVmeDLCA1215A75ULHP+O9fijooGKu/x+MPiPkZ/4xv5uYaJin5we3rMfXFPFbKXtRWbEX78d42r59kgnl++MSX6OnmwixQ6SubAte0b0grjpkI+NqPISlP725zFTpkFTof+VKFo7WyP9Cpszn4dVtplSolLZNqVCqVUga1gtb9XpWJ3gCk9y/BDBVeRdniwVV/XFefhO9YBkhqysI+RYb95LUS2HcQ7XD/B5CX+vyxH9F/mRfiqXI4kGVT0hr2SWJZyBCmq0hDlX270PzXgJt3PQiNqmPiTliMV5z7Sgq+TA0s9YgI9gGwZHThYhGgY5Hf1XEyrjXwLgb6H6bCWn6E82VYDr2iYS0ubgRcVPznYkvzB3o/j3LyT1FzJW1mAzDyrMFXj09zLdb3bNcxFmwK+UJAsA367rL3yE/yyu3gx+m42tAk9qX4xfiR9ouARCJ0zG4yWy8G7nHX1syHDxSQYEONcQV7J/2xiHUK0D4SWK3vmCyYB+FKURsjFojr8o3lUolRHk9Isl2NTaZo79lFTHW1Ot1OjrlCmLtFil2ykixZu/ob4IhS/+a93zY13qHGIisKTUaJUktyaRWIs+X/lBeEW45+Sl0D+4nOxjNWACc0tmQgr6zD2/zp629j633bUz04FLqelM3EANO/JGUI5Iu1BYxQUaEbiwzPN2QbyntXYGNecDo1u7rrj8kbf/urIP+2zux0I9P2u0DUy0VqlsZP4tEENiT8Q9O999h4v0VJmvckRvYOsXtXWcXG/McYf6Tek8BAAc/8/xJWvAut7Vi8/ooj5FpLsyUUFAIDabsL5elhdDD0iIN3AYmME8x5t0i9lKGoYcBelmAceG0KZfzWtFRBuMi9Ej2xpA65ixP12Gu8oeu3LpRLgFgpYTQGHuT592c+SuAdWAYDbTdlIyJAq75aUYytq5Hh/bnk/UJo0+XP1lPVQ4+SyYkDi8w9TYOyBwyPp8S4k45jokzlC3YA86mUKmORp8RCT5ixqODrOarSjvRj9vu89oWyaWPsUu36cQ7dj6Smg7iGLLH+iwR2wMdkWXDVIMgbHFUPOKEdLoe+jeBrdt3FGCLZlEoKiijbyXftaODpC60Pp2HavDHGeTvZFw6GhS+o3M24xR0QdqKZ3Nf2ll5LYFPhrEHQECUMPNKzS/zSqlcw7FhG4SLC9BsrGd1BIkx5P50boEVfmzqRfa9Au1JRVhCSK3TO7Slg0V0z6P9ivOAHF7FJT4LxywpND4/NMLI5uDaVlL1ckwcJsLdPHA1hDCfSBTTBxWSApNbegomdJJJOyVq9AFnJS15MjLHF+z8xIf2FlbOPHKrAqkHDJjHEZRQr/CQQjc4rHMOoNgLGY8K83LvYMhi2Bc5Z7R3Na0Hc6wK1hRebKZITH5C/OP2Vx6Rwn/OCvZm5CDZOUHA1KPT5NqIvbAGNnDIWhasTVO/pS17lLb1B/JV5L82KVzblg/qZXuUtuSDnZLwIiBWsFaOBpBItwg1jPAuMkNjNNO+pC4Hl4OhfqE1vPcfAvjXoBQfy/mUGTuiv/mwgjcwh2g3PjBNr9IzTj4uFwbvS+NKoR+BvyTvV/rJ5FxbtDHSY/7/mXy+QRvTf5kPZ2enplYqMfrVZnwoMV7dbSu/dm0KUgRxg7y70k4o5YC9o6eF2Egjl5qL8LQLeJ0zgkcXQrMOiAOhnUvGXOEfkxsblINtV0l+UOUP/ivdOvWvr63AFCtzLBYhB21MprV/dCCjyS/ng2HPfsvaomWZ0DUXy9g5xuW43bsHvKNeWHyidqu9Cdvh0EKxe1QWH8oHkOMV6KnIwxbVrjFrM+8BmnZ6ZwPF0Ljd1vH+2xMFPMvJ50ckK/7h8UgjHoMwHhUeM3Zy1rhENMQoA3T/OSfbn4yO8agHFCcSyfXW25x5/zaXalQO+9fhbLqYLSoqU0aEiQqiAwU7ZUH05xelvuJXqB2Jti0xy/pk2diZFopJUgzEtCtOpjDw2JpR2wfVtae+TGvC5wmhf09iUMd9FKIqkVSBnHxVNjwrBUmQtXRD/r+FdtgpZ2lvHhFNO2U93VrMI9iFvCNPlkos0y6ickR5gpu5FEljYNGFOanJVgWmKbpIi6qvmaivgni89pDVUg9ZNXbIpKan1/+SM/Er1jh5Z+w09fPXPLjN3MwRehjYdjhBnHiJQ8ZnjIm8yUHbVWQSOWiSA/hGztkgcsyOx7pGsA2D5LPaDx1sFRixMzaQSdP94TWfWVQY0H7gjI0/89nECLw8+AN/vnKScjyKRDRVbgpypXK5ThRwHJtLYVeJmo80NmZxZDDzBA3vas6gnILNZXq4he2ySw0m2Cx+hQTn1jflXLS44oqZ5lg7tSb4BUHGHurzGC1ZQHDK1V1694PuWTbO7hySjbL5Oy6CvOTup6sxNuKFWLpivkZdaVM3w8vNlAm5GdFsXxxFQ0TwO7pjIfTYslH9IwfWIZApByYZUBhp8yOkJ0EcJGyeIrv+n/+ibwMMIHE6eEb6/OoKHtdujD8r2GZAASILEhlI8/5t/rybJ78wT6+YFZ4X5w8yPoQsFLvMwhzs/aWk/9TPu8rTMfOTp0SRE2UPB+5Lz58HwhZqEfJNBfRdD4iFxmfbfeiP9Ahfzm8gGFhd9cVfVc4yGW+p5xp1WAczLxsOGHNfAdH0awVG54qM4dEpGYFIRO8J3q3nIv2SMb0M+4aBCuUOdJ+bWh+EXHoBP+EaE2lstz2TQiKatCg6Yr9GDMd39vgRQazR+s6iitLlJrNV8vuVRrWR3ZVJLc6QEAUkc4h6EQHXDAuagQ5wRZ7JbvSwCEP/8uYJBPnljcCo41M5VdrI+NcWyRwMWZAqDrgDM3/YN+/atO+j3rCPngGWYeY7I6YxG/osdS4Go4TA+3ckhC22fWXNaG+t8qRoL6QR97URVQUEHkPvUEAj80KB84DgXY7/U9GgsHekE8VsUI0v9lT4SrTPH05ZUtzjyZoTUS32u8aDUW+fJmsX/O/lIeCUwGA04Hs2hvYZm5Njc1T/ZKqHOzmrGTJ+OCNLDFX9g5Z5a8exhSx7wUBtIkTb3DA6+z8x/oovcHA+Jfi6SdzV5h3ecs8oj3blaZJCbFLcp+Qc/EEH6z4SoNUQ+qro7EmoIUt0EEQvlvMd0o17LasYwRHHRwtx09AWwDjAIBL+FAkYO99heTxeIqMsLH9ibPDJkIih2BBaNYs/zekWJG6AZvGQjU7DdNrrEs1Ss2ZoVOKjsQWSmPhT14dvaZMWRk0NbSYjm7uPCC+UJY5jlExGBkEr0fPih03UMWAY0gobvPajMpnCPScBZSXc7mfNeNBCcmb+ZKK+pX15SYCSLuVzGt4S2lapQmv4MoY7bex2ZaCHrbqzQUbEoHXnrplhyY2dcGp7YZMy3dgfrFJYjEG6EGRgY5CvE3p8Nx9dhTWfKaHHMiM8yIvTn9VighQDaUhlT5l+luKgHPL/z4tRlp4Xo6wsRAMe4cXHY4CJkF8lv/BBtTAZ/c+KAS64ZokIBBu/2hxHPmXI/GHHvsgtZ9hE7JpZIhzHRVS0K3M2CWDmLkgsQJ9f9lVqSU5hznZiMlZAwuYtm023bCkndtm0nTBlENo7jEvPy69RY9QdPbVKbZwLOovfKI+I3CCYkYE+n8lnCG3Rp3fjL317ygte0tOiLXsIwlGvrHetgFKKcFEZdzcJso/Hci4ip4NF865gWmwHiqyxNdCqJ5KCJyS/lAuw92Jvzvjyi4rAj6iB14h8LfBbp5+/94cYQbcObwGqNJ2/1IX+f/y1gr8izMRswO2vV9LSCEbwmRVsofgjzPBNBZM6/RvYqwivRLi9p/lGVuFuG4gtNGp0v8hsMxspXpRluy/Aa/zEJJt9W1yWSzBRjH3Swq2WAeOxh0UXu7qmi10pP+pi7wJJ+2bYz5OvchXy8MR6ZmQ0vev32l9NeyRRmZwplz7fEPfVyTxgnwyo5eXSx/f47ON7fJbVRoEwnhrW18wWYsNBuLm/o58dc575lVd5z497zClesBDxIMZg1imOu8JyJYgMX8x5w4IzvvekyiWTsWbxOl6yjo3o9a+GmLkns2uviVtPjC1nQp130pmW3wHAS8cQqLO1r43/V+K0YYlTugfNPWRwGETaxQ+kycS5qk0Hbnz3ECvryOb0S3xqma0cOL89jHSMaYHj6bB3T14Fjw+XxpfwM60Lybkjj1sxsunwUpIs+ANLAf5Dhf+wGADgteyyi1VqkPY6aLu30fqpUmObPj7lY+A+2uGP8Ar2o60Sf+S+zCMU9MZbO3rRdkkGC095yUUsz35/p2x/qJiMrXoJr0oLPnDeyJdRKqzWwFY4dBohC/pxiRpK0kR0PNF0ZSda2vi1ONW2lVcaEeMhBNnRKwkkTGNJDldgwHrKJTpE8HEjuXfEWs866zbIbAUVv1kwn4h/EX8h58Y0VdjYL/dyqvYrXAoWRY6C8hTtzX6mVxCxsSv5eLsKaQxZOJJAr2QVPAQQPllt4LKnvLdknfAtmSUK0Sj2Bi3NebeufS8K4weJwVM2skktPgmTRG4PNUnadJGbs1iTgeZfxVGYCd0Us9TWS7lFRFsTlINgScgkzAFP3xqqsxLFyZDQhz6H5Z5TLK4UC2UEyrQZOSr1vPx32x6Hqv2hZuu1qvaHWsSFOP9Y1Krfct7hftAp3IaU34YhyB8Da/UOSNuCPbQQSjkiM2p+t1Ed1yNPapoSP2zOkBbufdeMpQArKxoyoY2UwYTxKEk8MLIJI2dUBDqhp/uAsSXe+UJYZvGBL8hblhdCsbkoJLOPh3mq8ahONRnmqeYXrqglP6hzICjyQeN/fmSom64sOJIguVvAhE19Ea22GDNhksts+4RZqLj7+PRYBTMDwoi1HcxkCrf1Nb6fTef9kEVcMWDC2JD2eRLnPPivzEIERh8LvAIKpx7Gc+1HVqF8J/6bP7KnMKdsLU1Napb54axn5x57zbilccNtTU7McRpVKeKPQjK5OPY4LPUgE5He7com/mO3nfqDgJ1VcgDZP0VqgecK+Hc2GHQFFG86NSQhZAhD+PWlJLHwA6o6eGq9uD0iGiosttwbk03rfMfItvNQWBiMPt11ehN10OjgnsXz6rYfUTxk64OPXLWbptt1kJMAx9Sru3CGGV2ER9L5nA/Wy5yZKu1F0lEVkCj/7eNZ2FOivu56fB+4/RVWyGYngQ/RquOw/s6TgLYHAKbWZKgBxPW5X4x05mygBhAnhiyuPCt1CzGm/baY879fhAscpg5KxNtK99zFyXIWlhf33b0XEcyPymT7mN9YJpuMM7/Z7JALSGhIxFfFibhi7jJaupIz9ciKkArDhmny+yWo+Dsc35QTGlbFygFDueNwcDVbFe6rrVtR04iF+7rxNqLMMobO7iYDsLs6k7s3EDTof86hPJbdgwg/nN0ymij55uHkMf5mj1sPmqHLJCF3dZy+3fjf/7wGyvUjkqnFOSYT9an+/1iB83t0QC6E0jqCmBr6Hjy6I1ZxWsm3Px3s54/+ln/3tzydyIyL13CYJ6fDfL+4ySTOwAbiD/n4Zja/jAg2sz93MHOk2O3ozkc0pDuo9wxfL1wXhmG0bpYHOxZuChq6q9j4ng0/lG3NRsXWatRtJ1mjLDUajWoyXHc8Vkl2bxMPTt9EvOVF6VQwLZWVYgdDQME54HtxE8hlXxFnl2enUCczH6KuJhgLeIMTe2GKJ6W7UlGHnpYKM7/MS6XLLQn+a2Fz05b+59wb/8lI9b9X1tt6LrqxvogPzwVKZG3nZ7iwO/8BC9Pa44L5qxAXZab0aumyR+F0zelwHtg7nnf3zf/H3pdwtXGm6f6Vmsx0lzSRhHZA3DgXg5wwwUADjtM9mZNTSAVUW0galWRM5sx/v+/6LVWlBS/YTm6fmdgGqepb3n153kZnt9bY2Sv8jsS6cedR7H1pu13b7eyt3ET+W83GTq2zs9G3NFjsfru5W+u2i7/9AjtuC1643YCviAsnoTu0aZkykRbRdrrH+8IiTKED4lG9Y467Uw2vmZBEF4ypx+L8tihbvybbtmrWggssj8Yrth2kPLVVmkg5FuKVLjPsAiswSgT8tEGUb23JlET5DP8ukR7pZmG9S5/NzbAQNahXXTiYvU74DFHcYsLvj2ZvyhqVFaq/v+WZ7gyhadoTmP3IhKCaZO6kmYxTnHY/iKYI97qilTITLGtn42vtbHytXc19JRNfa1e72U9sZ3+wk/3BbvYHjXr2qY3GHz9st1I6AnMaW46s0EpB+0yiFo+aMmWJ+UkdRK4ylOoNJNtx4/Q6Mv9qE8syee/0tDgD28Kz86ODPnzosH989HP//O/wElYGRyeX/fOT/cuj05P94wA+dnp+dPn30nk5wH0OYkdgBgqcea+24egqAAOKILDkcbKc1OutCErtsvaXEprOMBkQ4G/4eJ+DNSU8+IYMOTVjChQ+o9IPtQaMHv5EYax1VJO15O1kU417ZvfjbqK3/PYFGOGRt42Dpr2bbcPNWkiCj3tnTk8pZSgnDgzZPfnYQPQL9KYMyvxijsmWKk1Mon2qs2o1hEy7qHLqpFNvsaq11CADhyl+Eb2FT6NuRBRuk2lzQ2RXMVq+Q0J0w13OuU2q9lWGuQaxo1T1UKNxek+qrcRNU4gUgpGZtyYjh9c1D0I9UOzQW3XNbrPhSi84S/vg4LLzmpeefuEYleR9EnG5Z5kLKeFvr06xK2+luQASMnRko/QDe8YtW7QVU6nBxmrFSgI1Ltmi5GEvdBFsL6phiEwxkjW8xdzQRxSkpseSZ+iuC011Nq1E665o9uJ1oRgks7Pcw2SGj6xE4yD3+EyX1CvhRx/UUpQCsxCf0jdPAVN1v3+BwRP+GmZT/aRpv38U/nGDUc3devAcrLIxxmtHb4c2BKUdXwf7JgQFnnWn06k3kA8zIajTE4lASSmcH3iSorgNQ0/CDEW1cGfRGxN3aj4m7rTHmmTOXZ5pnpyEEI4uT2RKrXV6tB9qFZXtZeJae4XFcHv/P9r19NGug32KdvVXRbuykSwqmRQOkDIo5nct09AqmbKCsuMX7yezN9GMPJJM/EkedRPPnaS1T4DD2WQ61MF/WKPkOtqU+IC3syWiSRFyXUOGmCPfdJsqMzWsIORvpCg2X1MBOgs3kTCCdjCa3Ff5TowIEwxElLBUgPYw5VnYAxGW2YCVX9nsBZUcESxnZauOUVWtFsqYs1IQlnxVC+x+Xfk+ueUIqK0gF38F0wkz45MFmjCTYRqKXXwmpe2XvFm/4hWrwifLxMBd9CbXErJB4OMVrJCDHKviHptFNYTKqC6R3YMCcQhymuxcnEZlZZZbvAuyG5hwMZVfGJFVASaZJ9Q9mBCKQDUvRktFZHuL0jOZl1fENDp+LKGTjWl0pDXM+UH7z9Er5l4qN4sxQEY0Zq75pf/yDJ01R4BwqYCqs9JB/+Ti1UVZ9NoYZ44AGWfpgm1G85AJHCDIu7BaDU5ocPmCev3goeWgWg0rKncU2hKIgcUH537/rVnp1Oto/WY/eosfxfw1d4vPEGd6i4YuT2YRTULE1UhK136xi4NQswJNaj+WcCQhkLANqH6qJVSFJ8HNVfIKxxaFkuuIyNniUig2ji/ueFwmuRoEVPGBAi3kgHk0Mi7x00QljCwupqolJIXZdXRTBBpn7lMt5lDkn+Z0rSY2odT81SyjPVrKSpP/PS/vy0f0EduA4FhSGtg2LxARt/KxJTdZyh5qJQdT6zOs++8iPiyvFjnaeEjYX2gMYkcVelPFBQhi/lesyQ+mPoZJi7psVpFBeSMZQgVL1H6db0A7ptv9VkJJXkwBS6CWhhRqoRnSrMYSA7XXwPil0pTzNr4Qs3UV8i7U9rRcAAyAXfcGM2kZM+CFk135FFYWJ5dKDBvgBoLATOhv4VXhkR+dbWlFUllNr6WWFydVzzRQM5rc3PjFRBTww/JE+zqgqzHWu6+LRXQ3jUW0VnTFraorGkymiVh9EhdFUChyF9PgOB7fABFsAfkP6c8f+SMso7gX1Lb4v/tSggyvPLQYLmA3JSlFqC5nF9lmId91xw8cYzmgiWa53WxtfmSmwcWYKWHhuSNamXUXiz9TkiI5vsFULhBu7MG0dWMPJ9aPpXp7NN0ngbNNKbpZYsQTm3Y0wQNbfvkQz8thQWcTZU6BVF/+Un11Vn39+qJ6jPieDDzRBcdx6HmcxanUksh09VOzfiX3thL7O3F5Y+7w3pwNNXYC2FAL/tMCrVdRfaLlhMiKGa+O38DOkd4Yt30QFR/DPdI/f2RZn9aKmg+x2VknBDpLKH/ExLDIpA3bOnBXA0TeYgUtLEEwLHhJTYoDynZL2NEG4voYJ2iVg/+kjf8X7tv/94/ev1fAYGRSrd2sr9P9A0LhFuQihNrFYORplsY+oIvuLRMdSutSCtooFM61gGmXU6mUGeC7ZR6pAjO8a7TeISPoqFWHU9CmJelORtd9jOigrqCvOD6FigIKl0kIB0Q7Rl9hT+ni7g4dG7IIDhdToDMOnfaHCQ4SHII6olILB71bOgBZadpeIhDRJLxk5bXgFAyCm2iKfeZYvtAjreIV6XHESLrfzf6EWZFl0MigJBaDpDGuIg+0Y3jADJ9/jjJ/z3T8CKQh7SPL6cEwf0YhmOYAJo2vMNn3MQ+ukI+KNalzaEFJS8F9XxHLAMrrLLrtnEXXylt0LZ2aYyw6Dm4NJ4MF979JJWHPRAsnM8miidehH6UhSVqtpkBeFN+nom9vPmEwpxBgq9oOLN4FTnLSnPvxhLs0R95qCLOdrEHq890J0gJLcIu+s8XLDkpiGD5zYb/g58+Cn7HHlT5L9PGaCo9sNR6OAjJLOwS2H8GSQAbxUFPu6aHXU+poJm0v7st3EYH6zqTBK16HKV3hSpQ3XLyL8vbDcy5FrWIpfrXx3LSnL6+M4OB4UUO26XyS+zS0y50CjUZbC9wKbidhqUs4IAxVkbGEVl0fy3Y9T6prNv+q/T4dYVpt+hD84+xYm/HhuI89hI8ArN5kpCOkmkhCJAtQFKudSMst8UdaAUMx8rHulh1QDaVKjMRJLpjoJEz5Vwr/Rf94Ad7ZWQTLv52gRghv5/Np2tvaur+/J6TP63gYv6uBMtvSHSOu2ACoP8YRiUAEb+Otix958kCj2XbQysvi+/lXoO7yUHMq+GI2V6M07rbx+ED+CoYc1d0ySRArwp3TcHrFb9W+8o9oStpTBWJlqLZGRyjHsy9dntwQhK2xw98KWrVutV2DS6wEaz66NR1ew8dBqOy5F94LOp0qzqG5Y3JuNvBvpSuc702AKjwTHCeAAPk42qa5Kg6/vanliXK2/c2nsj/PYyT7pxnG8EpnE9YyUna91P4YbG8lP7t8LHtSh83lB/hBXxK7WM0aSDBiuLacrsTI0zDXCplAGhGYumqY+sMEBLFwVihsIhCCklJ9Y6fS2u46UmaPZyDU4VetVqW70y5rQzzKP3iq0eVJyvX3vH1Go4pp1qJIGJrHPh1FgxiXgFwUqRDio27zp71hHc5OZP1IOE8818AQsRKFY1zSCz4VObwXNaB3zdMnmRa4baSQGkQtPZIatpsgHncr292dZdTBV0e3iYzlnURKPtF4PeuTz6gMT9UUrh3l8/gMg73YUI3DqYSlFW9bEV5AIvvwyukX5GEspb0TNTnZP7pOxvGeO+ljbHIWHFW2rrOM3+BpEANqkEGdfkVx8NkgoTj7PgV/V1qFwodqGyK+r0Xeb/HUAn7A5eIqzleKKBI/m6KXr573q83nFYcUl4zjKTvGJvEG0mZ1FQcllLhFqq3vOFwkpI0AckBuoAdn1OT9F34eDYG1kn+3pbYdJgmoeLNEzM3H0NhpV5vtnQAT9q4F0YWfAPE/Fywh409zfuE2wb5XsaBxgm+HCkMw4zAYxdHY8IAUA6KMs3Ne8IZenR9XqWaXbxWLYVK+aoEnisZyuTRbmNpWaORwRLKAv8tvIdj8O/iqTKky5piQCpyimSjc21iwvYfoUkHF2D72jNnTa6L9Zpi420IDzLHQJKNuZhhgeBVvnw0lelAVp+5idDSAC51OUHhgJxfYplGCM3L2+IjNLyUtkx1TQFclE1MIU3gxrgVniFHI1UzJ3DNq/UFy0jo2i6vil2dkTrdQ5rTXypy2sGGVYtgqY2YxCksRM9uPETPn3Z69dQnYmeO7lZ1fYdSdtp+x5Zyw1iaS/cOMur0VNMmkwxK/XatLqAA1zmqxYY2W96biPZeEW7VdJ0yBdd1TbiPDshoNaaSwxI58rIuLzdDGdiFtdNfSRnfDO1963/50EDPiYy0dPBUFcJpNuje5y46kNd971zl5z1m3H6EIQMlx0vBXjQp8Fb+Ivy3vZdwBfYaEMeAjH8vo+yCqExvvX9kuk1bd3TrtQ2fjkMVv7TvYOVtvlOhju82NK9QCx+aQnldvVj0/t6Mv65YZ5N9oatSr+H4kB1Wi+NBYTM1CEY1PdsSoBFwiLNtFwbl0PMwhWhuz3IQY/THukbKdVDnak1XkFUMyfgucxOlvuwosbCb1i2W3jxvLsrNhdryxagh3KmliTg+Xe9nCcLwRjiTQiHfNRPw79Uti/DAKXl14Pld48nfFuyHoWAFXPLo4pT0SiNs1WsrorX2plfmZtPkepUCpUL/i12MXQDZMs5ANZhC4f7SUmdFgLeaQpCU1NRMnGKHSHEThGOU+GhEB8AMQfOYFK77JVs8GZdka7s1AD7jF13uZVLi4g1JCykaKVFkfvPwlG/g9V+qSlBYlyehRSmMBTb0CURHzkCcPS8YpVpWSx0jgrky9FIWRpVoo5RIZtLmx+lqKp7lMhi4M6J0LirzYwc0ipqIhP6Js/VCcvXDZh5M/7/9wdHoSWjYpUVfFv7OicQjj30FlOSANLgMlKfFQLegjgfR03GXDFIAyhvVcRqZJtbgSLm2+J2dQxMa264+fxwpkhq5aePgiJBeHGJdHjdkPksBFVjYlSvJrEp97QQi3G7LfIBEcoAW0BFLpjIBvGEIcTgg/R/D23yZpcoVdHlT/RSRox09y35LM9SN7msD4Ex0+yINMcwHk48n9pyrUXh5/zTRZ72RrA3ayddA72d7unWon+4Nu9ivbf7jS6eUDP+8nKg05voJ3r4GKd1Tqf+tO75NKAZ8fg38PXchMNCFAaCbpGyf2NyuSQ8UM6gAkyKAIIv0K2RLA4PQ7kBrMg8jutsUUlCUz92skZJP3t1xmh5mSlqxSTDMZ42AH+15+XuSWe/tvlVKHyPSBUY1R5Es/szlYlPyel0y/rIpjI/CAWMkn+jySUnGOWYNQQERmUrgK6qXas2ShGmUdtqGeyoRDFJYaYaI0NtU7kJhxu3U5BT6K5hZrvvxElQxO/7Y9RGwIs2flVMjqznHUm9lrrt3uKsbZi/isVrMa0xdsee/+D6/g8PdvFlEKq0WbBbHKnh+cwE+fR/+M4ChHCdDCOInwxxf5HwcXC7DMDvZfwq8OorspGrjw7x/P8N+3STSNrP+C9kbZB5RNPBaZOElJ5rYCg8/qFKJZrJVlpUktR1p1cUPF+mQabkxCSNIWCTNdzN4mAlzItPVV1nDYycI5U7NSYIH7jN5qKo8XkgrVvmHHdTXfiA2/KvNNYlg7LyU57usasF42hWUroTthF2kdxNgB+vdq/InhpTFGDDzOuK0UJJdj/ayrEtn9OPB4xqfhdSkOOBUsh68EZrtZBdN7TgQH2y3R5giQ7T/2jyvByXG/HJLjw0Zt/C5CW53BBFAd8ZfTr8SPEcLzCezwRc4JWet45ByHjQDKCmH4LTz7GzucsqW3YnUomNLetWSMcTvz12tdpL1uGbX36zeHL379Bq5vHM6N4Q+8QlQZbE4TVqGb+awyOW25BXpAwmT+Se3PDKbPbtb+3P0MI9qan6PtTgebM20Zy/B9KQJ8y2SQqFDcmCJIXd6DFrkJQo+oyE8ayqgxVosyewpzEbMFz1m3JaokdTBXAZf+RHbPq/EMa+Qw9ImO3jBOkxtUxfe14LmMKWChAk71OpXlHR9llTAcRkctTcuLAUUqD184eSYyI8zB6F0+SnJby4G9SPFM9fAJjUa6scFDnUnnzcS+xFt56E+x/ypND/co7VHTVROo1AMjCl+tuWIemMIRF/92xYwz988xlo0uHO2X2dphWTw/aQPzoNVaEfg0xoFBcEhj5jquG+J0xRAJ7rx/cXr8c/8weHF6HmCMQ5tb2McSsG7EqJRHbQnwAwiZa4ydD9C8TVGqkAtH+v2LASXhGa5cWINZFwuVXV7dR3Q8mbwJJIG8CQyGnq+AX0ZDYkEErobTmYF2W9KEk+2nSVc01FyaW1PZacwLFJ2EQ6O3chdHY4rShVhsN3qLoTH+bskBU4LtV3H71G1Ch8RlZUeZu9Zn8BX/Embtk+dLaAnWWeG5NOBrVx5NRiDyzCAxWCZxUO4B+fElyL5h7fMbLI26Z5/ALTezP/gTGCwvqJdQTHQLsystqAZeUOig4sgmJ+R1cnoZHJyevDj64dV5/5CiKkDyD56wMjr06aiMmYkFUJjKZGt9l8RwJUlcFoMpA3yVYxneugGbOx1T+boRI/gb0STOSWnIJTz9uX9+fnR42Md4yuWPRxfBxY9HZy/7J5c2imGEHnK91QcoQsZrWP9gP4T9wNerHPPAG6JzoB7EFNbAIW+MFOIozdR8/YnsulPMeWYb+pfRmnOAS8jsCuzC4UYUdbDvUlRNYfUVmtrOIM1eAL+Z8rp3VxRwWv4ufMMPz+HwMQCH1U+LqeBS8i54HBpGAMytTQroh+U2xjyn09HX2SmkgTsNt0ZjUH+qe53deupbdfQHX/bHEh+WTuTABD8Lbvhwn2YSyA1hpFpWvYLDCao3p+/FNzBQSZHuZp0l2tjUEl0Flmcw8hR8awSG1WIKJvLNDdXw4A11q8PkBrbIwFwaJzexGmcsECXY5xMyVGZffoLdzlldC0+2R8VX9Co9KopM+8dVMKSSEBezIk+ySlRvYvNchRalvMEkmOWWcIzPmKZjaNgK3J95wvWtQWnn24DuLHWw6LJW4TE/mdvy+G73dMgIza0LwoP97Nhi4N4dIQc9hxKiP6jS6yIUryK4sReNHvwt5XNsdvdDM6bSIY/lq5yI5Y7g8oeahH8CzGmFJ5szYQsymV7mpEhDc1IQs01KKFzVB3/dBXmAIWosXMDHyq/R8kjGaTwz3wBqoBfZbGPV5aCpqllmrUmWpEOnFmhE4BgkTl1ytQlTBQzxR44jN91iNRTDTNmFiOjWI5BxC1co+GArwkcc44G9tGvdZq1ZR9w/oJ2tdBohIDXmmU5/2tOYPP0bTjw7uuqTgS89/lKXXOde9irXXKPixUr9CnjWFhR75f2tuq306wxv8SXIHeSuwOlXXncJTMqZizBIGEK2ZDdbsEz8xY5Sq7yHhDffkKgoAsnCFLsth0d9PQZdiUX5E2KGIiyddeZIc0NzhEF+jTnC+l3VO0U8OIbHKZVeFnQ23GnsNoLjCc5OSAZpcDirhFjnmCruQQruGwZU7+6iz2x/aIzqwnzlWWY3eXNBXrNlnu4cidiFWSMhc0AGcnPGBS3BFFtXF8SEe2ioIpdi1TFb6U5TM2GwCedK7UMW0aXo9L+AQE7zD4d5srQmyeOXMHXII0MHWqNNqq2IaexAQKUUYpqKiiqPLzgpOw+c6/lcXYo1ghil9XqyY+my+SRYelpezBxX9LhT+pL109LjcS6PDLT3ORKLTucfSFC6yElGrALBAiPY9muwh0AspXEl+Eccj6hy9iho77a72lSp2XqDiJGSVBc9cAxLahQuRwQWQklgpo3xdpbW07/Qw3KK6RkekfrG3galqN5s7YAKBp/450Z7l/rqpml2t7TPe91UDU+ssYX/bQYls33M8IHX9MaWqFCpMgERstzdw3dsS8nZZEFpML42eCNmP8uPKstnitukeGVFdupZIM4wYbkk8PfQ2IDar3cFN/iG6SS6ssNcZb7sZBx/SQmmvSBdmkd6gaIB9yhE38uhklsDC2HIGxXFHfdAx78N9KyW5JEyVeolSnyl0xGWOOpk9bKGJGfZQviiuABeA605ISahKXIj6qt0bgI/QMDd15PBIg1w7m5q7Xd9RLaaxbteCU8BKaOB2HAKuKmOiz7Ez0XjET7SNFlziv5TyjWVSIB59XwypQ/fTJYs53NXUzf8OViN7CT6RnYSfSM7ib6hk+j/0NEEKj51GEjporSaj5ouH5UrLBGQYi0nkYpC8htrD79DlUyNTYasYMjMLFEqxT5RamPJQVTcHS3ZjWZgzbb2cpthTHqs2i7Y0ldUd/rhlLL+OD3iKD5IYDA9yJVO7cazktsrQGAJ1BsNGLDWp+ReR4PZBAfzME5aKL0mkr3Ajxf0TGETuT+nwIHc+hpUbWbwNqJu0vbpKdhqYWgDi4vljstWxz4nTLlnwUXRGW6mdjfVr+CzXiezOwFfxssBNphw6QewKRWMc/oDpxuEOAwOKEruI9uoxR1UhxM74XQFLSBlcteafDYa/nNBYfcHOhp419mbm+Bfg+Ra+tpqoRLORkQTKVjuHNEhZ4i3l+uh8yiQCUhHP92gqiY4EsEcs61SaO0OSN+sVeBHn1RzZ9RwdsZlo/1nwEgldaRERRhfDn9VDDOFF8USydYdzB36rW5GutXNqJYq9E23KXJSbzMaRhlOla4P2rxnRR2VjHLXOMe6sKiOyES6tWgDOJtOiy4JJhzrS0FF8CrZyG0+keGw2VU8zQXInLnN1A9WmKy4ha/SSPkC+EIk9EyQgo17/fgb4gv2LmXPWfswSRGLCFfIuQA+3yi4RluBYaawV9Dy0mLKPXnYV686cMa49GODcApSMrlD+KUg0xNzBYsp4XdDnk9ObeAyrOUCIYF4mmwaqiY1I5FxwOYkvYvnycAUB3v6N38c1AhkEO7+OblaZ+p1Pgo6rI6xJ3AwAv2gvj0zNpRsqh/7+4cGXskBTpECmetoRJEmhHHQ8NYZN8qsQHbdRcgcoqwMCpoid9KaiDFw+oR43HNsmTaILUvgV1MLWyHwRBaJo+RgQxaFKWR/Nqons7YpKmFwSb3+GwTYGCYsmgmiovPuHacwxzjnc2QPN2Nq8bn6iCX/kwz/N3/U30/f3HzXCKrP8FIqMhsd+yrxqQLOYfFuCAMLPtus1zPQKyQOakEf8Xy3fEBfAxhIWRUevj4FsQCC8gHnfwzmwcV8lgzmLyl1OlZYGobcK6+zoTbGtm9R2x6dWREC6f/QOZ1M/jdrXxUdJl/+muMMSu+a5eUoRvJ1Pc+NPuxcQIHZ90cqz90k/XGaZfwMxhsCRRl8YgYlJDf5Pdkjwx3LpFQhu1Qs+Nmy99qmc8spny+15B/sutPbjB/s+Vmt8FEO0eOn9cf4RVlgJyzWtecHqNrBqnYANsWowNiwC8zYXHMru81Vt9Kut4MSHVHFQGbVEYEPO5HKKuOzKsB+v0lVMHC5BJRYiMZFigtMqHQykvIk9j8crgSRfRWnMszn7OQHoysJZ2SMsp8j+amtTzXQ6RQc1SHbUvrAYIu4OQd0nhRcBoKwgFYsf5eKlBNQRPkDkmrDTvNq0OxeY6Ep3hiVh1YHyWywkAzI1Btes2ewucG3iHC6+ki+yU0HjBuDO8WgBGyxhhNszxEFMxox1FssIOwb5842HfjU9gtYcqZnj0DgKRuJsmYxix2vYRbdq+dwYcrx76kKnjo1yVAkcvmXgA+4B9tr/oGnSK8c5u43kJde/mLmSXc6nWZ9p9FstXOgBdSHeVCMj3WWxcd63FzpvaBgqvSeCUJqQlGazyq2pYHhTOI7RiBzYXp1c+6o4EdNM+YKY/NBRGPhFvh+9Wzf4NkyfAlQdyQz30mOdlo5o30fYReA47Vdx+C0shNnkXY1oIoeCtwReXMk9YiGpcu1OBj6KNJnSSpe+hhDmGNcAB+VVPfjo8wJ8KA5dGzWhyJXVycRgL/AbdblhpzBde8dqPwjRR65g7bKT8t2wsP9cZ8zoaVPrq+zkpGklwvejL3xE4RAo1usFXj2+DyivStulxhOfsfZFQk2WJlANrU2UZRfgjF0eRUaYIPvpPy7V5NZUUakX/9EPSssXc1EUFT77N7j20yaG2X640haVACreGBJARnz+8PF8uFK/KkgudIcOTIdF2NVkWY+PYJRMp4UahnCbjKKnmZLSTBhkVIwitGX4BzGk+p0hgJQeZ7qA1O3EDBMg/+4OD0JSiGt5zeDgv1bMiTQF/4xydV2B4R3m+aghWU0HgiUAEwS7fhxmPnTWPpraZK03papvNgyxUcraBHDd0Ry1wlYwUByjiT4UCozaKpMZQhcPotHJKoHCMSM6RemkkAaKYBKtDAtju5CB5SvZyYOahsxfAUTbuYNHPPwL8LUhCpFM71mSAabr5hU6AQdAukF+quejDylQOSARvgBsxMMrwmDXUrFFj4JrVqaKo6R+MU4egufpvgxkI8UlxsaRCJGm5Xw1+GLFi8+1GeHaEaD0SfcwvE/2FBVNnQbXSUZFHOElycphdf7BTlNK8lYBepKcta03SyGI+7prIBi2iVitZDrLiauT5uXtwUHehWD8BtKnJhljmYFcCyS5H0J0Umn1zKhxhpIzhCrRz3pEnpNn5wigxInkQeW5OrgWp30z48Oav3z89PzsKwBxcSZscLSDl4TzRW4T0rso1Tn6BEhMhq7AKuT8wLPGcZY6cALUkRCVCGfF249n1bp9gTIDV6BhKkajo7Twqmo9kemS5O7BUs6OS70kHu2fuzs9MIGPgpInBjXd4THcK0vj2kBz8H8/wE+dh89MOGK5nXQGosUN6LakQtJUkTmyyc+NcCHpgyTb8xfInU4P0IDt5WyrkFswwVSm0x1Pakg8NeCkgma45Rjl+D5o4Q6LaU08C/qXsL7SJ3ROLxHjk2X399pp3DCBdlrL9kwAPc9/0MDYiOVsrRblsE0ZNJIKUFMFSN79DjE6UZ+el877563q/263+7KMyD2z456HGaAK1Cocpk2yENi0Kf0xvmi2r6fVFEWsW1vQZZst/gEnckqDVMA9hx+77vpS0J2lDWR3CDNwh5d2bQMenW1JSuluYj4e3qY/lImfJKvnPcO90Ha7W5ntuL0n1YC6muz6ZzgHa+ooqjrQJI/PqcxKB1dqesvHl37AKJ2OIQOO6UIj7bUMX3isZXaNJm9Ucen7mEKVJpTuD6IJT4FFsD+HU4GqT4FR2GkbEHBZ2lb/KrUeY8V2r4HKkfZtDjoAiffsT/ZbhIYcFR4dLBI8NyiUZ5kNhgj97cFeA9rEjbwSrie3W0vWZOPnn/ZbuZnGsK2nOM0ZriUdYAkSKwu4b0mY4kY1k9sfl942Gg3Jm/4QBvIWplI31/0SnlFx850Yq7gJ9WySxLzis0cQbhHOPgKAxZWgt+T6QEB/+IXf0akVmVF+YHb5k7+BBgWfx+zS2jGlPu8FcDbaAQNxV7ANgLGFLxis/Ho7iq5WdCoTRnaFKXkPpHZSYN3Pi3eyCYksuR++UyX6wIwUuaJIwd6RnhkbnQrcCiGKKHtyNJlH+7ohxt1B5kdsx78msbSb7b0m90ydURvfG1guL+NedgJ9Q98DePC2EBBQc1xGDK89y/7hzqPiKcQsarGj4nQdjIqNwReLYjCGDD35LtJL5WMwhOU93QZ5TTq9sLM5A0H0A/14QitqtghGjRAwepG47VZtuNMtnnkOHA//arjzNzSZZKPYaYFGqrNEW3PUI6uvyWppi6KFpsmwI22aKNmGfWu+RKrRRZH9kwqXP1lR+ykhGd53la4GzkG7R6ZTygeyz6alI/heGEsReQSH29bUmuLBGp9BqJZ3jCjp4VE9yGaB6HuPmBPibuQrC2CjZKkm3h9dihc0eW37Jk4k9/KXM6h5yKX36X1meykzn6ny8cV8OxqaaYNcITh1zEiay3v9PwbU1pTw5bn5rU24Z+WR3cFfNepZfk85RJQOWfLVW0raJErlZcb9c82euq9z9EX9+5xeqdV9DE+Pe3/xTNcffQf43yDl8zOmeFaIYU1bHgaf8v7pYA2yjgqQTTjPFRyfKyBSGgHYRRFa+Qtp+65C7GL+LnRqWvtPUPfXM0mNInLLu0xbuvOx4ETp+Ac7O3VT87UmbJWG/KHBFucI/pYKEdFmDySilKue4EUGEj1iVJFaEADMGZAoRC8LKHhL6m/xAVx0nmdDQW7uAC3bAYK43gyHoLo7cMNdvaflwM7MaPEQd63XAb5gajj8G5igPZ2lXOpDRPcp3/vdKvGqwb9iaPA6+U9MwBz7CAzZX3qi1tp5HTuUe6QqjyJyZJrScGU/Zgh3zEaQWZozvUouqEIkw8DqDZxBuPhnKI5c0aDVF5oBPwdQgjBF/SC96A0Jyim+6GzWJem3cRv1jMGotiSe6AVEnOkH4wMtfO5ezk/k0tNZ2im5b6Ez2JphDsxlzWNxWDJEFA1TzuCPMs4TAfumBUWAzi5Y8S9Gu8l0IDM+u+mEduBFOia3EsRjk59IqDp6jImU3veMpkMAaRJbMrBjqOGGs4g+d3GMtGbJ+WMHzLs9nmne0vWceXN+iL0S7vbk8myOwO5kr0yEi/Ba0qXwpkYLAYMLDqBXFUiLF5iepS+hPsA+Y7nFBak2CMjXVJAfPRgm97xY0lKZ1xNQaYn18nAG+gG1iEcb8KVRV+D1/1eJLRGLX9kqWGGNj0xXWWQS9LpZJwi/gLVUKEo4FWxSlG0eZp/jQKop65h7Q7N52O0m2kE38Hp+Xn/4BJhT+lwDHYyVdtpBd3PUgBS4yYaQYNPg/98v/3/V8XLIU2rVA9nzsFE+Me4hqqA9WmYQz9lJuNJxljUBHd5EPPwoTnIsJg7Nh38yJe9VXS1sl4wO3MIRxFRmZ+gXNKQC8yjJshCrigqpCqpJKOkouyPNo+n7dyYe12SxFRS+Cqc/Q25uqLmO9wCj9xpV8+7brnnOp7/4XkluPzxefVs/+Cn/R/6FDbvbcL5Ff9m3pfBi7kV52Wid4iC/fX++Yk83UDgRnkyR1zgAtY1dFDZjGNdojIKxKkQl0meeS6b8yiAJw5rbEwXH0wUFQRYfkrKyHoleaEvAn9fOiPJE1eXDJwOHPKNK7uYg6Sfm01evG7sB839/XKhAGJ4nozhQFnmhEWnDHVkRg3iBI0IpyZSSbj39PRbKdAQSMYf0CSwXY/iZrfVDb4NGnGru9OoX+FM6P75PgdpitoELl5fHL2k/BV/5jYCMTl2PwSWUQpnY0Z09TF5qxGTiQo98ZPBrUvZS+YHGyh2S1ArELk6BfGfjzROTqLVuF44kysCNKlKFI/H3ILv292pBB2GPWk2Kcifx8DQhpdWdVdqZjm4frOYxbYynaxjzm6aQZJfbgvCGglTCV6NEyT+n+AchpO7DUv+VdDhx7NV/5gQqASvJYq6F2SwTeAH0ylQDWYWaCAc0JAXcVrRILC3eQTqfDGW2GyjY8PCTUpe</t>
  </si>
  <si>
    <t>zRfYW9Taedd91wX+AKLp7gBJSEK6SZH6s+hNCr/oNO0vwIywD2rbOpVG893uuzY/iGirpiZWnmTgQnZrRIs1ocZujb5T1B/sUNqNGa5JP2PQHpuB5VAnMWuJXoAUrm+f3094y1mQ88M8tAmwPMeESKZj2Nd9lXAS5bvsUyt8SvwjOjeHzeiH5oT0EEL+ZRWl90zMLCSINPndmcmLRTAUmsOXp2GZ2jtzADX2WGDxuCIHm5v3wLBvfLaBHk9FIoO2DFTc21pwHpF21JKFOLqj+CGLG41gWNEQ8AATU2OZrSwWU0puI5pOPySi18lW89Pd7QUc4LMIPh8a0vMHFjayAwsbn2Ng4ZMDxRxmacOpUOSrl3JVcWoxJrhKXBaEjxhD9X7iCM+Uu9IpEU3wJs89djf8vYZ7uj73iFdq+GAIZDROeX28mYo7bThK4aFa9y7jRZI5+6f8+i1h+y3hdCx0JBdbCuhMCTnKFq/YmgrIxiKvivK+nwpOhkDxr7mi1pehKc9McJYl9d3rL9Sd4BqxzHJNds4y4lRf/xrxg6GlJ0eesZzJnSLSIItTl1QMRYEVHRmw0YyssxdLhCqDMMLHkM9XPGjHP8Le2gtd55QVsmzJmBMV5l1ul2bP5iNxcOlt3rlBMsZSztfOoytim782dRgus89ni7hcsVpTJBm400zJMjtiKZusAYtpbjwFsrFi9g7POewFDCGDxyI13iEIIAI6ASMRbrr966JeH253Q/ZM+OOoR6nVggaRs7dYDBLz+Yz0PRI1iUeEzkgI+gJ7ts6e6EX/ODs+OgpK/4ivZlHZ2ZpC6tsjK654tvMTqVvAnbdD0F84oAufGmGxcRtIWkbU5BKxdLoScUBcGka6dW6MnPQpPYf+XaLiNJnUbZ6fG71jHwA2BYWKl166ztBzzijEpZTexjikDos6o9m0vHai4oUZAPEp0fea9T8+tp6ZO78J2WbviWypHBnR17Mk8K5L8OahISOaASzNQk9kTlgOeK/NfvyNfhVa2TEyueJ2QsXW4BWm5jxZRmVPNYRjpVJzPJ+yHAseLBnf8IOPc6IrtVt+slwzr92a1X7d125mkN9fdequzvnrwelMJphuCS5JfplJeijlrrYx2hsqjjP7+Zxtiu+m8wcXzWSRmgSuDMcV0Lg/LkBGc7cePAcxOobjej56O7SwGGLClQ72DSxGu9HtdDr1BqIGZWAxTk8EFeNyglSfAcN42fk5aB1TtHKTeco0yYaAe+E+e0HBfeYVc58u1jcHCifiyflL9iM3FpQnnVZw1CaNO861JJnV8IALrJiS8XlAL/izMt1HRQPXFb99YjohMOYhoxNM6VyJCuRKs3D5NFwkxsYBqppkmo2m0WzOX5Pr2qPKgW0FxL+NyGbTUfNc1I44cnISjeaOVCp+IYq94QVHmo1MtAR+8CeIlmzMG/DfjKirspSzg1dOUCaUckKhbCUARmkz3F8WJi4JF5eVz0unJ2VmaZnKKBxdtvICBQXRNMuKkhUWZZ/Ag1Mtp2C9BYyKQCkIC0UeHHkpROdPZIV8+LHbI3eOl89STtA5PHtk9rTcA9qz9SaPPKCvAwX3Yx53kdaz9J2LQxBxczDCpWaTytGLAeFv76ZZ395td+s4nNC/JmENFsmYjuVfMBfojVmpvc4wys+46+YNo24OI/ZAJvqkcTQb3PaC8C+CevtbyG0xOLUILh8HTqcUs+dPoqkjCY47mRRohgNhgba0yeDI8ojrTu4KzKCLeD6nmOWzQBdS2krlh1vywLLq8uAvWsKChBxe0EKEKVhpoq4kJASuOUrmJgmDS+RGZsJ5oLAOGsK/mY8W/Ra0/W+g7Vd+5C/+7w8I2JjHPuH6ZH5I8AL4gzq1yZ7+DXdCDQByQql5yJ5gIyfcVD03Gyfy048XDRWg44CX4ICkv1SC3yqy/gousmZOGGgNbRVrS8Kf7uirMtU8IMGWLm8nBKh/he0LYCwi65BJdHx84H2lMH3GC7pzui8I+IdsCopyibFqbxCNpoG7Tdg5/Og3IjzHAknR0lrM5BWxbb/G6rXQPDnll7NhzKgZuHW8B6CRA/t2/KB5KdE+ddSiFJFP0XBW7mI45jGqFZlnWQnCaljBLyG6BjZ/y6hW3j4XEMIT7xYE7jDnXi1eGGdlMQgJzE4d3GNmH7DzqAgzW//ucCcdB43L5EYu5R/Cq0b2bHL3r/wC03ch04M8A4jCfYpSg/l+g1Na/P1QRqEJGQvuA5rBNpCJHkcvQ9W4UhJo3q3iPorXX3NlwvHkBo5XCBsLU+AZb+KHgqI8fGCJECNhRfzJn+KH7/7S7JRNezOauK12pdts4ieoP5nO4W/7jdZvHdQLOrAFf3LewcpsBFC+w2Kiw3iUkI8Aa6pYfWG2JEuY6S/yr97m530c7GTHYL6dz6e9rS3SzLeglHqdxnYrJ0SztrTbjS4f+R6ru76r/xU99++anb+moGefP3yHxEx/PyTca1jbd/sXB39l8sZtGijYJu3w13HRs0Eq61d+e+wXRArrtxpUMi+eWPnXMUGngNTDDJiRNILllpAaNXVM8tM71N2j5E2MqCkMMs/wKBd/Ow6Oj37qY8EOuoKm+ShOBxEN0P0L0cxvteW+yMYDP1EhU1kc/LnLf3bb8mf3m8f7Ic3PAwudD8sZAwGYv2ItChU+BA8LDEE1FUbaUAK9bqQVVrMJpDrdLRcdokWCIu7uzUj5VcigSDoRCNc7yj9MNpdLJI1obbykJ3IjzuPqfTQiSIJ50ACL8d1Oe7sWOIcJa1N5spGKk8rBZSfM2GRq2wmwwmgyviEw6JTrE3mcjhRK/zfWRXw9rfgIt8p7reicVZmTCb8xQz9NlzdlnBEYgq3ZSDDylWON/dTLU7SCabGiQuPUEtGGV1Xyb0mAFuDBxm58lF4V+kXxqpXz4e/9/jF8JTRDZ5F9XN27xxKwms4fRjFDQAOvBafnQQOxpavsmiiE1TR6IExmpkl5mSlWFVhpe8yuYX/vHD4mcu2/7XxWfBVX7Laq553q6x/rjXLPbNtslPdizQjnUdGIsdyCMRen2mPSf6vdZfSDyw0ChL2cExiRBKyqi7Pzo5MfXhz1jw9ldb9+898LoMXhr9+EculmoE8teJWiiHKOAwEM03KBMaWAit7geiVIadxIfZ8NzVcxmPCx7BZhGm/EFjZ5RxnTa8ELYi3D/QPjyT+3wQNAMjSnOMk+kbrIcLFLD/YLbjFQJlgtKSjgf0/IM/EojTNCwqVvuoaKJVAg5N+QkN3TVuIWGvBvruhSastM4EdavNtq8VbU5KUWid/Ou6pGbdMEsdqHmb3elsgnMw2wLJFcoprlHlrAnyLCCFb2IXTGY3GJVuvTdBvklfR2z5IMJ4OkfSpLGOps206WEn9R0UjKjyAeo0gc6fYoXSLHp/Snl56bgF1ImObtTJK4ThAV+gySGuvoNEOfORoUdWWINLTkGEoNT/txJJlb/FC/RmpKT2+Sxs65mfMyhMbv5jk1HzK4u1tvxO0oAg1mlj+a3Di0z4vgYkb0NWIMfXBwipUNXXr/4mD/rB/8+s2v+L9var+Oz7vfNuD51/FVu9FofBs3tq+udzHkYyv/sVGBh3/J18Nffw2Db+U9x+AGlShHbqjgPKbww2T2gOFQuF4kCq1KLx2A5wqnEyFwIV/l/mKYzOE27PcOKB57dDcd1cyGq7hhhLuwp8H1BhIfYnbiiIhYUtg2AXukEC19s90ddodXO+3M9hQTY8KRF+a4SkDzzKhaGXj9TTUZP6o9otnaNKLaKYyoPgOLbbS4G5u5WwP6p0Ih3Cag1McVyizTmBUaEmttKBPFR2cXXrgISn045gqeJzhu5Q+KpjKAv6wPf/AKu37eBAzNxpkICUGbsLbtZooGNEEV+NRJY18wO2BDAsXP++mAZq2iu8mz12AP+ajlISeq9XBG0QO423s2bKV+vsYk8zMB5niE6ZxAprh96fqBWtr5iV7RE+6vLCkQgQA2w75G+BA8BWycNlclcNuLMf/GBiKpbd/gl6fiREhEk9AiC3KxGPgZy9NTpQR9NruwN7NEJrzwc+EznCK4jQnqhWLCYDMvpRdghmZsyQaFP14BEg99mekHSxR5cJks2SBpayNwjKbteYzlaHwrxs8RumGqvJoRyXHHLf8c0Wg+fmL4/eJc52QkamEG9S++iYFrnMHMdOIljwADwui/i++uCLpXsw542vGsrK0LTEc8a1bP5FngHhkBC5qps4XhIn9SezM7y73Z+pSp6+YXNkmsmEeYzRxOKSJEK0kfzTHKKjX/7uS1hr7vhLA/Fzok16igmJMyjPc8qaCKmpJGYS7ukELjMchIxJWw06JUnnLL5zBJscYZ1kCjeyNzS6zE6DvERTJMCA6bz7464hKWGDaHf+XTx+7OB47DZG5AERQsWsKSZEYtx2aU8MbngdgouqgvKrtNx/gBatbRR0tUV4lVHRyMXp4t/CNTJQg9zSlfoyQVJZ1FPYas8dRy9lReYpK+ZHdl7gS2D6agTJDwSbWKU1QpwYkRtsV4ik6f0EE1GjD0v6yIxSv7+kFJcOnTeBohYj7NRw5IUG63P2QIWDPebV0Pdpo4BAyUBx5YlcFrCb1OOhnwnKs6OuBmEc2AI/4O24xnQ5z6TFBuCzupIr+Z0q08/Ltr2HpME0jkeQyTl074MlkTixXCqU1lbea5RyG9NdsbmrKMZJ6vmtwKnnNlxTCJ0IwvqX2pjFvusSWBjTMyLjS5w+JS5MQbArxjUzA1ee1bkgURsitBuiHgHqWG98h2pCG5goj0QbbuxQB0ogyDJ2x8iaPNDG454dY7phMJSdgGW57WXs4dhylMYHe1WT16eVZ9vn/w0+H56RnerfkGhck4pGlqO6gCgP7qWc32fUtP0tuBKAO+GfwynY9s5Vl+0XZnjCGSt8kl5c0f2stsomire2ZPzvZKCmeVRm/jYc5uxzumcLJPIrhvTu/aWCiQCMetNJCbJiOeNwGyjQpTpE4RN9DT6BH8B6XDmyA85E+JX5h+H2bB5jDySmDD9BjyCIj5DyKwIkdwcr84fgwfdFG+iQt3HEU78YZs3MTyFOxlSgcZ9yBL81yBIPxm5ytUguvJABQAl1oLIfwiU6nLhAHByDGbMaPzDpzQhKEpjeALZA8CU0xk/mXGI8ForFUPgn5BF4EYU5N0vs4JeAWaiQ3+T+oDnEzcyccUM8WyMrqLDJXytVKYmfaA9yAqjiYc2A4ht0HelKKBOo7eiRc65wq968VMQhqsCth7QJWbzhH+mu+JbyOCP5mhH6Y6oK7Ya2h/uk6W5pc7XRh5xFgxg8UsnczyUtZlIsxofSg/qFHMlE2vANK4wRskMZKIt8gIiJ/LPRABCeo4QQi3NEnnNDLGNnukRlVgCzxb8hJnbdkjPJyBlRsqG49BwHinW9lQzfORLbUf3LMVGY6vm1eM9AFZADJGZmwxA8ZDjC16QlWC73TlZI9RHL5nXEEt0luMib1VAwQzRBigUi5UNN7zv4dXJsauRc2Q+XIt4G/h2kmEkPUCJm8IP8RnxMPvJfV+gYb0Fn/+S3ZHrC5ec7dIX5Sd8vQq5T6GSDjS0AKn8n3IN7xMyWJxuSZ3M9SXY2lUazRFCR8jOtkGcYSk7PAhU2iYiCEiyPtUC0qr1/0qqjPvrrwnw5rwNac/WXu1pi/F7/yiLrVRzYSpz5Qg1UJwOjROSQsLZODEaIRwGEzTpI6wuhnTuzSJwqxdwkwyUg6Y+ToBdSSDxwxSI6E1javAyx6Z6bLmOb7RDTOcPKk48DLAFyv0qaLASJHBQzCdwFl+gHvVjbc77bi+C24CpwbSM26YeTkZAonTfy9uY4Svk4FNPNdZRyfPYMM6gETGKMOFPXJMU7OzoRfELdS5gD5m9nqZkLyY2TlBVwm8YD3e8uT6uiryKqIxKm2wwKfv4N6HSDnj4eR+T5QJGZ9UzUYOyxVlGSc8jt36MYgJofaR9Y5ewZ1GSkPyXH7Xu2CnXbdkZjwo2klMmLR8jY90sKjxWeusXRdKQNVRMIHm0aj5ep/MLPF2Mkt+R3diJAdwFc2cCBHuccOMgtjmd1MUCEPsxZ8/OFmGovJlvGR13xFVU/1+g0cux2/vpudE5YbeKrAQbW7BJiSIIyu8JXYjMpD+LLh6ke5UhQyLwGko0fAmOzFK1pnSGctxew/fy11KyQuUwblTYgBuT/MCciZEsxLfm1J8ydxPjAsBT6PwehRp2F4T3bDdvCyGPRbGOeL18I4tpc94LhAZWQfa8nYiah/JB28BCAth89Z6Gkef1sV4neWzyhL+EsPLywjKKZdc37FcdFY6ZjV7GZYm9fBMRRO2uV6D3smCJMmrgermt+kKR6PjZyM62fREp9rK/qCd/UHnz5PAuNDJFoxXlOo8US78z8x2pcNnoXEwihZDFukSTECtlrJplXIjVJgSqdPQDKwRrdc7WCNKV63KxJsRDEQLbMqfZE0jcnVYKCJVsxHuMbzAiTqT1+CHMnEaXl4s7C2X21TeRk2lC5pnwTiX2GBsJa2dE4CV3J/Zmbp7cFGBBF4JBU5IFkdIEUudyTnnqRSEUIaTQyJU6gaxmJIjt8i+gjt8pUIM/kmnh5h1UbrAbKPh0cPTl2oqdOt8gSRlcvfIF9hj4/bc0VtGyCZEMu+CRmdnu9roNjoVKtKZobUHXzXjr5XAbC5aJxvzamd47416Z8dYLmqWNZo7tEY4nwEPrrdDyNVcwtslUW+vOG/ccCJJlOueN/YtxRzHQ4YSv2THCpmv3W56zFesFyysv3enMszKphLU5CwX3G2rvc1tDHJOAzKoc8pCogB0zuT1zSQ6EnnmjbmU0m0yr6LYtOlEoMzynn1KMk/j0bXmhuiLadBsEz0YM0ktRM8+UR+JIihF9i72iemEniU5did/JLKJsbE5c2TS/olTMVr6CCmj3eudqBFf4eBZeD/w9fMHNT3RTb6djCfEzmS/4MChhE4QP0uhCWnC1eIlnEkUgZ8myenpLK5iQok/o18iFAB6/E08zyWZ5Nrhw9zjN6PKp2j4OC+pu2muqLnUSwqwXYgMYmvFgiabDW18IdLsPKmWGYoITFSy8Vih/KC2bdpi7JSR3IA+2B5MBzxPzeIUo9tv3sEfsmPeuCf1gxJKe5JNhwfL+k1MfDGVfZT8xTkFV9nv8ieHsX60p42XdHcrvkgE3iNQaHplIrNqjBTh3Bowtl89tfyJFKxB3P+8Q7V5LVY/4hIoeD57Sw8m4kaeEVyf9QN0K7SBiAfluL2iHKegbbk5HY+QtNAZ4WT8Uw/tIGq5lYg6X0kUIFOUTeFXuBgzYYXCX3yldIQkThVpe47lCUKDtLpshZchdsHhHpij9ojFXJspg/auTDuDzV7kKEoqyqqUCxdEEJafhgrpwSaNgREnqoUTlkDVa+u1eBEYANuzK5DGbcwv1YKDhwGpADEFS5ZUKy73Ubla5N5Mma1Id8o8vY2rQDLbo518bg8ODyzUm1FKkLRRGnxou6SD96epqCi1xMh6OM0R8QrHrPuHc6py1tNlRkah3hsARcYYSJ7fUyz5fsJXxUEzpHs4LKZBx9tVo4ogOi0R0/hwI28rqodA4pQd+jagP96nFlP4jPMotjmqDmPlhRl7/QggbL0qyxVMcpJbeqKuQ1IGanm7Zz2nc2SsYzx3AcCKTBgsJTeUxRilDkhVk52mG0/mRqHRZDujjJysFPPCkgbg5Sx12L84YCEn683QBbAcF7vC5+zrPF1DmmVP5j6NuAQW5deqa/g6IFLmLg+oHXQzWUr4ZU+YuzKeQXVnSVTl63aJ1tPZzjAz8Nk4SEcDUqPRFIz6mGZKjDgjLspkvLgDWc8/LrVa7e62xgTa9e3y3gaFcW5BHCpOKluGt6ITsQ4uZTtr5bbrOSu3XQcrtygXAOfyOya+ngWXwCC/A530HFiU8KfJ6A3YTjz996eH5K32ypistDFtSSVr4x+OSsZ8Vxrsp0m0dRCNBuDjRbTN/mIGHsLWTwlsaCPj1YWWszgWhKE2DsRRSZ0dMNAILr0I5UTXUvQ73KHYAPxvWaM1NJEl5hrGDMJD0BeDOQmX3w18kWa9gpLmLgQI9QhoMaIPl/O2qVl96qCf0C4qZs0VWaGuKxvoZzi/KH3DPioYUUf7J/uc6S+F9PdSXANPdJ8Jduskvv/t75PZm3Io/oB2YJnvyQ0KIXgXCEshYiXUN3RF8dajURKlgkJi4UEUTmSRmpYY5TMESQlT8+IxAwmTyTXPYobgKqQhionRoKSYG1CJjd2hNbBC5ORCxabz6bH06vLg23qn16pLKxeerPmsQ6ksof3bp+0xBJP31M9UK1SEM3ep3On4jhg+t/aEn6LFY6zSOeK3TEgDBO/tDL/GzutC60ucC19h322TfWei6NvZwPu29AU4P2hnP/EnCrz/GI2uuTWzpmTOaHbIEw5JMkuN+QJsTYJ0WGOskYMPwjVuuXMhx/z6DX7w129qCPDvMb2JWuAAZ6rmehKLjtBQdJVExTxMiWkPTA2ENWEZhbxr6yiQLOE7gnzA5OnCTxitpk43RSbzmso7BEdU7Hkqkm5In+TcT05W8hNavXq9/FUaY1JLA2KmOnCNh0qQ1V32hBmBYvOjreiB8hc3PE7pBZ8zWGOIxfX31P+FhenMOKrxBNBxnVG1s6lR1V5pVJ0zooQgoGJl+T+Ozr5tO+14XEJUlUkgMZXHT6aUtdp14bQ4AyPQwoLhxS0qiGJar5qPcj1Mo9lqd6rd7Z3dD7WxXpDYgAcEjeDILQed4qcj28iN9EGfazIA4AvQGGJMgcWO0+Xwl63MmTgtm+EFBVdS+/XQlKV36916o4q7Qm0Eh5g3oOCHfJo999M4Nc4eY7kW/IhHZ1P6dOa9IHyBCD3g5dHBoblrTxBu5y56J9eBLR+vzi7CXPOm3KzEiegSKFxmb6pkH1nW9CBfv4JjDAbxdI5tAwknNmR4HDDDHZfT7BqkNnr2w1S6KzVVyj0e88k9lZLnDKhLqrSaLrgaEDYFzuINiL5dDjtTqa7SH8mT0JxkKIE4IlGnqZPKYhAhJQhdoGOsYxyHc6e3/9UFHUo0F0zDEwxwczW49vWIkQif5LOceZTiMA1XMcqg06y19TIeJos71+CSIV8fvUOzyOLi4/WOlqCINX/AZ2wJtJc/Y4qt7Tocba5fJDBSOl+EJMAMwwRbGfYKrrBhvCYInlm0OSyc6TmLbXRwpsd4QFGoENvxW41mOeh0OlXEr2Ww88yPQ7YyFCjHBvA5SxbNV1iGO76Zt5O1DHf+gB2jhWaOvVFKuHnMCQKMx9alLEwwfZ9uIrBE8pHEwlGVWyS4aogl69OghsRIcCGOOlOsD4D0VNhhHvXiuRDIGklGZ4UkIFYJeqr5olHKYyvnnZTNRznJF+xvwzPpeREYTvHXatoVamfFXcspZqdtE++okGJvJ4jW7mtuvLy9j3YDVpFQ7y939q6x7HY3tew6Ky07ieClXPQEi9FYHkYDr+C+mCKEcVk06rRXQnIxqbhgRldZCuN3EQEBdTnUKFHFNAzewhEhVQCfEl4rnhDbAWH5I5p3lRUmXQVtOFQ/Ysa1zQHY+Bg/euCHNvdMrBOuCI6Jw27RUEou4gc+KDbI9r0jNMYfEDeQjv9LZ0vU2yH3c3RYFNf72z42+gE1wX9by7+Zbx+UpcO697LvbzTFuOWH/8u/BCUxS1L5USGUsCELazhxmN5m1RYjO66YAmZvxgzLweMio2C76so6Ij5ZVJKa2vy85WdPW9gOv8jjfmfyAI4+LyFEHOBs6sAw4EfLrzjqPsK/U/U4aZDK8hfhSpeQtGtomnIccYm6rktUEmPKv13RZXIF5iB9DpQuey55Q8uIbiTGUJ45dSzkRnAjkmmp46DdI8tQFSRppVpw+ONx0H83JYHpQd/dJSkZwD0+9tD9oC8u+OAXCJtujHw0lKUkTSzs5d8n5wCL++QQ3fGSpKNEgepxl/h84L9lm7unMAj2m6SID62rWBPNPOASuU9vWWf4jw3tQVRAGEiKJJHH6E3PEvjIFMGIFzytULuz9RCAda9iLioWqnFGM/DJUxMOuimo4VOnrF+52fyEjluiqWRuJ5PFbIUJ7E9HbeJ0VC8WuputSt6ttrOf+OzB0XNpGXyK8CiXrskV9+wtoJm4Rq4VCxyEgfMyfyLWOBfshVYcKSuuus/8HCXN0InIsGpG4zEC+6MlgpXAojzWPCYrGJ64EFlVXhXkR7pIqyKGRS5aXGPT0DYwdhWpNXupxZcXlNzL/tdymOFEFBBTjhV49qmnO1pFuoN+KJFF93hlOc6ZBiX8vR47rkHFthMcecQNBa+x9EAnFiogDOn+W8wNZOe5YoDT9OzgezSOiMSYFfxV2R3/lyq8b9WJmcX/ZDxWyuWCpOTz4jGiOFc0xiMbT8ZVMQkqWd2BZV1oeaHpH8+ydo6jU74W5GVXlcDR2nJOB9oWiZSDYXBGNJnM7ZdkLJU7niKOzJpgmO4tQaKSBHMPbFMqr4hB8XhJx1eB2wobzfCRplklx1TISj4PVZ+5/AP0hqA57Bm7fNRjBf4Sg4WGmhSr/j/r1d3/+p/dSqP5vxWzDNLkUzawXf2tpAwvxj/x/8sVq5l5w0Seoc9mPBqwBKaG9pc6KM0Hx3VwiNSZoXCuOkPtci9H6ap5SFw7koHf4ciGisMQyFKjhfmy/1l7GWqO7y4z7kTDsL+90CUUUJF7vvvVf0TV3//rfxp8yuOJXoO9mDJJi+12vdNtwP9wLW9AmJgL0Bq1rCt7TXszMRdTF0/t5QZeFrXo1WSB/SLJeDLD5AjHneykNoJzsu4j/3VInWBcjO4GyfEDClArYy/sk4jMKdisdf8qJ8vaqkrO3CBaEBKN3IxRJvhxdXdM7TU8i+YoazAfXnCTa/V5YqRoDpJX2QrLIkXz3HRB5y9CJCgVWuJEbvnf/A9G+v+3TAjT3AsEcm5KswMxFE2XGzTavXod16mNsdJDa8YQNjq91g7iof/ndLQAhdZ7m8zj3uTd4L+Cy1k0Tmn78oparRaks8EWvgdoAxfB3nufln8Gx1+bp+96jQ48FURCX8eXU4U0NZoEZMxKJgsIYIbZ7gjPHk4WhSCeBBIJuDI3rK1Z4L+MZm+At1ACfBqI5uUY3waqOaeNfIhv/DUJEQVt1nBVyY36BM+yIRz4SWHspvyH0lDdrIbqrtNQ3r5XGXyVImWmi8PdLtNdXf6v6K4u/n9ZT6BIW/WkBvitiLqgFPJ+p7cPqVQgSpoM161rCMuKf8g9aNUP1V/8UhkdmtMbTvS3WA85SgXjwnQh9id7gffbrNYpVzJ2JRmqjJJi1/ZYnbpKl3GfeSwGAz0fm8bXaCsqD3uUyhKSZPGpGstpVTOmPQ9Yg8WNIgK8EHX1IT1grWg32m7vYg8YvGfrRf+w/4s5N461SCgF7X+5yMlYJst/ay//OyUHCbxtQp+bIGNTVIGTQWkaz+Z0QODTHRuf7ls6IedHTSRmm4EmkbHFvhY2fI4VmGpTHO1W/WPnDgSNZeKThR47qT4ua8rikqHEGYwWBg5Y1Hgaw+KkM6lQpAu6k+LNKF4RQd58YZUiG6cY6Nc4+dqeoCPGZUwhFsp5UqBiAaO1e9Q/RQddnG+paoudbRndIFvJzUZg8BDPwzXrXgpaWLSJjAgz4dsKw8L7O/H2EcB/yAVmUYbNo2h3sUVysX9y+Pz0F1cXpLm8hezfQhQi7SDF+N2KxZtkcvOQ9gwqkzbvy1eqgQTP6aNVyYtQeu9uCltKC5Ia2laJX0FBq/65At+BqOk5uH+JWzY1oH2hYSkrqORoxD9Xlmf8DfeITU49R2XSUIbt8kMDcjjDYepjEr6xBqFdnLJIxbwgCOG92ESHTHKwAXwpm2E0IVgOsR4W4rheiReT4ryHHrv2SZvMB5xZMjCofStLaz7VkL+iBMCJel0W+ZApc89SpMEccnP/2JzG3o45eWENdgnvGLbqauE26C6u7pI5NYpfO4jy3ImCdA73hLS3PLTfqv/hkA3zTVcsGaidbcQF5uYm0ElDHJ7Rg8uAxUKCSXoTIeG0XK3mVblhtO0JLv2JClhesHhw1TntplQozanOAY2+4tWXZeQuPJBPWrTkCnXSs9JPVb2Zy1wkc8GK0uaolcfpqxR7qjj8Nid5CKCAOe2rLIeh85BI7uMNB7XQHKi9Fbemt7SRhkSbt7oZ4Zck2YGdLQ4PrKqNaTU+tn0bOpIypORXSlhXFt1wMhnNwQQMwRuRXN7N7QgRPtBgQS0oPStAWONFrPmv8URDn6n7jQ+xYPdIs6v9yqljNFEJRm6cC5kM3tcetaOw8zLMKnW8PgkfELAoultlY2SbkhUGg8tarQRjJ2Er5wJM3xJ55+iQ0n+S+QeaoHtuCY9bU/3Y5GYOhMFCJeQ9eM3AGvADLU2GjWNAjDJnd9FMRkfMFJcS/VYpA/GrbGjqRCwgqHMksHdZVATnLLGrFshZi7exNlFImTOyG9KzKZ415DyTR+JgC1utQjU2bMNw2EHAh7hsgc+CEGcsTElBkAHejBJExwQ5ASowToAYhm7iig5FoK5wWi0xroRD7tJ49DZOv7BON6FvCXWB7TxiYHUeGlHSv+nEgip6A3SOI2AY7z7dRiO5Vx2ITnzP9gpeWxwPEXZCYD1WWIONP741SHiAS0XeCmnnBhUTDvIAsY3IUnd59xFZdBZHY/B8bw2bP1rZuEPdSCxwDT5f8BMZlK7QsbUN5N2O1cSWheJEacImNQmBRLwgT/phaZKKliqo6Nw5CoEOw8KyTO61siqo4Av2l1UeSyHVVGMxAeaGWdUti1JmXMVkQFcVq0Qn14opeRWDlkFbS27xqzQs3csUE88x+vgGM6ddWnVB4CDYsy4tuZRy3kqwn5V/+59nitlz7ilMZdYO3aIG1ze12bySHORc1KjopNsvrjNNm5uapju+aYqxL4rMGBvdhH9m0b1kEKhl6eX++U+vzn477//t1dF5//C3F6fnvx0cH/VPLjWOEP5I+15MQ+Uf3+Ckl8XuIDoetVxggz7zbE+QUG+S6VSDuU6q0SuXdt4/n0QShhwL3V5QwGLpCBQddoJ1DSYiqB0eoJFJXtzRi4vKllVewM9HXJY0RqOAgoER4tddxaOUK2MJEfGakDEZty7KPJ8DOPM9Af7GigRtG4OnTPCg5MBHOBcVdbn8W1aRhQW4QI80+xK0VLxNC7/J4YK1pCAdN/EYAevwu7KP6ipioE1SOdZ9ksZSNCWAOPT9APMcNtrKxMDW7ZdQR3uZmaGAsbSYRhhIuJEMWFJ3jPOZGgVKdxQNLf6HSY+hseh0r8nEFRkaeL0YZU6fvCkuW3HqQ0hNiMkeoaxbYU75nWKtZjX3gz9e69jS2o7LIuHgAejOWIZgmUtyF/f4I6kN3DlGvcgTLt+YY6MnQcClAjXZ2jZVm2XxfYBOhjxGRDiKyIoB4nkVV+iOTOeIIslUkqcDY3MjOuoCCALFC8Fmvp7MaMYho/qRsW6TDgxBZUIgqcq2p0KdUv2ipWMkakxFYM9eCwiVNXKq9R5yysqhdQLIEc5S5cnSWYYj0nCGG7qgkG0y0I4rpCCJAp0eY9BEjID+Cm2zQfYquQqwuURLmskrj7lgfeTnv+OKsM8EnCr8dTU4KKqBbBp+wmHpjVz0klqepKMbfn0XsRWjPy5xZJkGrCB4CIYiEdth/KZMkeOMCRaNH+6xQMWBlUIIw9TqkwEha1vnnLWNSIr3r36gNbxk4k1pePsD4taiaiz3VrHBNaxkPAS1xd+J3yFsxZ4je1lYPwq3ttX6NOATClkc24ZyjNknc4kMYV8lKD8qlUV0FQLdNrCnxOMh9mI2uRWTu8HxBx39gTuFWbmGHutERj+kwuB0WZvqYimChBS2R07bL/uoF5f7l/2etyNpLg05zjpOUvZa5ECFlGUIF8bRCuK+pzqAUQYt8VnQvHPWlmugMM6XrXTNhEPX0q14lUiyuJ7kDiSHXJLE//IeRQbWcQOJPH3b0A53AwDDwwpEq3OTgnh5w4mIpskMsQ4xDWiHFVMYcuyWrtCQQ7ooupJWx4PbqPBPfQyOjB/A5yS+acG1qheRA7Bh6eVQsvnGJH+ZFRfrNpq747Uy1A5ncj9xCsro5DjcGs3nswS4KzYTMEmQ2TKEsZ9CxMsYsokcu4emE+LQyv48jXou4WU9jQudFlmRdgmunDsau2xVGtsiGls7UxYNQCcmbq4alnB0Ayp6iQazCesU0zYUlKhedCugArbQ4J7BRbrEWd4rulqmwTFjQsq98G90gpW8pWKjWkx0FnuKCIA09Arnxcc7a7UyTX+t1p8B9+KU8P3d42cBw8OKM3YGN487Kizb85fhXhIZwDWmPk6eZ6jKmSJjKLIA2cqZ7eHkU5hOK+j6LBc3jmPrky0WlirtOmtLWYYiDjCwBMZBaHAy2BXRMMEIA0Z2J5xleBLf5rSAQ1xPRTfIU5+W68WKDt0mbVdVnW1ukDWN1rWreugV6gGg7jlKMTDft2gI1vhBsFOBz7Begr9Uz3zpAKSc/jL7QKIn/OXjUCjou/84OtPHNrLPJcgdwS9ntSBCH12PdZaSQe2lr4uodCH8IiWoWcYoK6bYAbKWO6PCmayJd0CqzPTBCHVWQbJWjWRltnEH90X6hmoKBkRynQxgS1Fy9xW6f4XqINMOFpRQ+zpQH+AarKBsQ9VE0dV15FwRGoY/FwkT5JdGymtC9O33C9E/99xlbAMbxzcRDYqbzNxuU8l826mCHGS+epAw5uwtmU7IG+GFGdZ5TyyGBY8SGDOTWfn3Em+cODBBG7kpFZ7Tabg4Y9x3xbl3ikHO4tmA6havkYtiWwhS7aBp+jNDZnAbGrk/F4jxbmPyimoyN0UA7JJcDRyXyfnOI1yGPf0KPTfFFVFh09WgEGaYq8uuFzzpedl1TXm/mDaIUj/DKxVSZAZGfH9exbg4RnQJYOTmGh5NZYeDv44pRGzLkF4x5GRbCjDlWRcRzzcZ644U28rzI56jAywHQca6VJoopYkZy9XH8JLpLMZhU6AB76ZScCBWp0p2U2/i3g7XnkY0EtFukJbN9SvicM7IScCILgHED5cRtx27NIevByHRU3C3SCkAHPHV6FVxLlFCfV4XKR4ZSjU54XVexSfD1lvlWOCieXvcmSIU9R3ViptDT8YVEnUEsRNP+cb0sng03dsIvXzyYwmreqIwaO5FSVkJ/u1BwuI0IMyrCAG1x/1maFpGOImObBlBp5JsdimlGc+LGZuluGxgzPIKT8EHQm61s2mOtsCD/LER8ri4vkqaDMWdLXdwEG5kEDcXimxG/LZGhGYjYykrzcMGnXw3nWsZFjMfwfLH8ZBddsRcwBqVp4JCNidADQIUamfi5I2W/lJ28AP5aMg5AbbGydcJT0N+zNm4zCK13Z6MYiFhRyHKoQmKJ6WrVyhhx8VRYSmI9RTLjcCoemskC8nDxeyLTivkaHTdRZlLeh/CLdEkC20/n88WsXRFDnQKiivA6MmwsjTm0Q06rEQczkmk405kFBUnNkwrxGq1IwMjJQaP32LJ1A1TbKKg5Ljg287iwWRm0MnXmZOdj2FOGhJm7NmU4GUPg+iOnCw6GJrKMOa6sQDnp08JTOXfmpVOvVI3/9ds17Y7bl3SvzXp9/L/9OunMRwrMixh8IB7MSh5u87/jD3pxZTPzvs/H/VfY/6lYDjaS7G/c29jW9N9vL+CPXPIVxEWRKBtC4dT4yFtPkiyc/hUQQunrQ2uk0UKR5H2ig62oPFL3ykBGIom8VuN38vLJz1rqIGH2UqWjitmeTl0owVXTnD4o+jN7Rb4xJihEwph5tG9GNuJplPumYo383HCv0COeerpYGsNKa3qsxMirmJhl7lrYfuTIuitcSYcID/kYIOpDVFaMYohlcnXsUGRlosrvcKe54dRzLmSYhYsCcPKB2ngK87ZhD+1VoA8ezx0cs8ppQhyfRw/0KzfGdYcgZqSBCsJp/HbSYJ0wV21avYWmmQdP1bbyQZvO3+G4O1rpYq8cOCWO+FOJ0K7hOVyvM4qRaSB4Z+K5pEYBOPi8KnKb1V0wGIbdf3fXziAVyBvaMeyexpAEdot0qeLtyfuZF7MfMXju6zoMFBlRC09n1z8s6QzNOcXbkwftaB0oRgQYI4INgPGUjxnmqNEQQfeVMXywhvqBZ1GMzKQa+U1Nkl3Q5uk2fBsEkz/irrvrTJwJd4wHgN7DDhcUWx1eUMYh2ShaaYD5DgP6EE+ke1SlCPdPPvuGyglM/X6WUCJbO5rx6oxCSXR0CZt6rfN/7b/naxRqSTAn/6Qt3cquVhYcVRrw3gWl1U76/NDXPCevHFihht4vS8qd8iAtXEkqlErramBRk8Ji7TdFuvCyyJokNRctROhwlVwSKsoTEUDsDaPEbnhspEp6rVucC/YYENa7rO5H0mEqvtG4BKKgxDb3wBdgTkKHNm0gZE4AOIaUUb4NpneMRrLWAoQCSIn07hF0DY0IxypaCIAVGP00Kn3+wAWCT8hvHawMImcqBNO6OQEPQS6fYptVp8VHyDIjJ9ijlByERayK481l+L5WrgXkDV+ATJhYINRkykPtl7x5Iv+cf/gUs8aQw2EGxhVVT4N9SlwqqeLOQa+DoEPQJjQT3uB1J/rO4V9qbJqxXsPnI85bQDwkpdAdtyzAMYoWo0z8+xhkk5H0QNz/qrjop4NamF0vsAdZ+Y9/TsMWF7CVYxw8kQvOI+p8EWNCO5cEWf3Z3R9r1BL/cfF6cmqd/+M5qySJ38Zv/KZKrHXmeHAPBIYEK4MafakfyNmuIYpqtE+T2IxLIYl3jDuhxUKYktQdyQo8hUGbtcPMXazMcfu5gYuDlgnwH1Qiw35s8V/dvTPtvzZlT+35c+db/4IcMWvxtJ8WQsuLEaVj7rHtsk4r7MkACMBmUeK+c0kuZX9Hu66SbCsIjSNB2pEzwQKxR3WgvGyhU11KJH3pthalMpzTBa1iJ7IzEe7Btcl85GNnoxJNMn8zhCr76NxlX4YFkahZ67Zm4wx0mIZuj+mwnqRRfxozRmX8L7/73CCoL9l0bDm3v07PyAb27QB4qGxgQcyb6M7v1wenHXux0Zozd0UmK41c2QRggxfY9GiwTST06OLHkzG0eD/3r0Z1UCrlb8eBGAwE9SeNUDIbLEiyiKQOx6Xy7P5MKyW0JIzLFXjH3yJzOMFOiLTh69ZDB1QjTXNteA54bkRpIG0AV0tbiS0w1lXCy2Z2vkwnrEu8e6lYef3FFubmZVXMedtqu7eBBlIzMOEYtirUwqOs2VB/Tfypmp5y5a7nYYVKzQRK+RuQgYsmjYzmZJB1rfjiprikzvtt7Q9yzQWHq+C+l5gA2/imuu3vUqxOMcbO8GYITpUbji0VaaqmyX6hqZwzOGvRA1HH4fkPe+QLToHNyZj8bnN2Rn6lDv09qhwFPsKsobbTVAmT8SYh/1pm+xzPCdahr5QmYf2RXgREg1oN7515qgg91YMgy4xKs+A5VNG9V7ColKAlZK29xD7lYedVqtZnFe0Kzt+K0H4MnoXtN1hV+ph5tkc6+CJTw/AVx5NbuAs0Zw/iwZvUCPR+S3b6Q/IbwyfxZ+O6ITU+1vyrf1gwL7W1eQdOTGpQZG/T4ZEXxivwCPDlhJdts2JxUsklnEPeNVR0Oo0g5+eYxBnwifE5UAysap4dcf4YRUtLCibwH8/PYfng3zAfnqKZAn3J3foPYafFdB5OSxwt+fj/9byfPKsCJ9GylCWs0jvY1J/pvd71RUXOLXI/Eu92t7jfdpKAWFZe5zrLEENuu2JpQLtWM52Vwqmdq/Auh8mOpuTwbHd8g+KahRBWAPTzVIBuC1/Nrxp0UvO5kltZHGnnSxLPEpp7BaN7zUw1HISz7JGxM8SivMKo3qOTyFgIGst3/A9yz6WaR++dM5TaXu0QvqyA56xssogazdIli8xoo2308tr9mfBEWtninUVqOjSOm2bo/ny3krlykJDddCzFQqWI4kFEgQW9REUpdWOa7aAgSpZ9spIldhsGDBEO248m4zuYmcem8v2FFnlpndSzDbMXrHQxu/QlBvcUkkDZurFrKL4y2PbEalkDEsSJfRJAiLlvEpPl+bQjFqdjI1OMendq+3BVbdd/IzHQR1vZzMd9W4u01Hv5jMdPC5LusupRIg6tCeLOepsDmRXhzGh1qhjTBFh4h4DrhO0drCAb4H6niznikHTGAO93MgkL8xVUAIaAao2y2/kRxyQwr0YADFwOIKBtCiRL7UaROeaBEH/j11em5845A2VkrlrilzFgwjhjh2dgIYrWQH8VuQ9gmbE9VPZCb2P92QWT5uq8GSCyLShYQNLgNhTWci3q8kcDTDagHp398l4OLnP504uScwuU6OyT1x0u94OEMQWP0MbKOEw7QMFIIJLfztJiIvulLHplpm1yaimGr36bq+1XXFaGcYM0t9r5BMy48zUPqeyFtGCBMpI4Ap49KBEptBL0nlbcJ7U4iyVZyk5AHJUZFDOLTA7yVipAp3A/fJFKN6Tl345V4eI2oEepNNa4Tqj++iBpM1DkC5mb1H9wGPx8K7i+T2uyfR0oLONlEQwYuKnofo08bUHfMHgDepFRKi/Rz1rGUXLx5TlqZaGTYta0KeeIewGpYlDDnlUmTxAuKEoFCqZKrjK02O6ZUPiP3B1yGIwwOiYHHQpVAlNbRpZiJdaWMauU0MmUrAtzpYfGNfRAZpzFccYC8j9ZnUFTTSENxAcCqp5kc565NoVEfXtP0GN7q3A/oDZybYb3o6KAJUkFCOW9v2Ip9UPaVJipANd4ZBjU4uOOhzOQCbJ1A0SiaZTuQVZeO6pSnHtUEjeJmNfCOqkNh4gIsqQySi3nUZHN1ILjtxK2CmwKNrN2hxoNd1XCaih4auZlZSiBwrAgErLs3ibmPSmNJmCalXD3erlUgs2cG4rrkc7u9s7ZbohSt3aa3ICMx7lNQ3lOYV9HM9z9AvqS0c6aaEzz/FbD3C2s6HBVd8uAH1IERUR1F/PgWxDU/iOY1mKqjeYjBZ3iOd0DSQQ471gTV9osjNqYTtQPPwV0CpcEZhIaFJA+eSBjOY6Rq2Lp0MVhJQLgNP7IKvsRwtTyxv04RwECtDWmTgfGjkWke5LdRxXQpvK2csfnys2QAryZ3BLwStr3elTqZ0KV4Ulh/hpzBSDRaCHZGBwDuRYyF5c8pycKdYSyw6ITFYB69rLvoMPfgVS7sHFzwazkgr0MIMeeVCmhPBlcHP1h0TZhmZkVhshvuGiFU11UjiFQZ8hpX6yUVv8OTfLwOVVgzUEWQvOqccVqOp2Mp4gYk3Pu0gFvt2KpsnW24ZJsvNia4P07fcp/OX5w3cYAvor/v0wQS8O6Pe7/YuDv/IJfwcnXDO3RR0eE/YvkXIQV6DqvRYzCpQLQtFqPODCG4JvarUrx/mlSgVneUsXrjIPAkLGVJGymK+zvv62iGef2PI6583aIh3h0R6OX9v4hInsH/MF50oqLJib9To77GgiSJT0GkMEChjmhuA4o68saL1e46wj4Q24skPbAvGUr3FoSDWYcrSCEJJmd5ofwLc5eR6RqxNPgr3WqTYpz3tGBaqQH4h5gnBmSgFYoER0pYC3I7IeWSM7wyro8K7jOUUWuJYJtXLUC16dH3upIYqzodFLhHvL5YPKs1NMkAEtcXX9jY+47tJyken6pwHOw65N2qKEVSKDl80yx9ewLjZDhPPil4sguetacKzeqEMr5Dhw0QQtOnUoopAQKOG1lBZMha1ysvblFKpwqcEbzw36DFNo1W/LwpE7FW/CQZWr7XHB1OXI0lkCfK5FoMUkllulCoCl4DqGBYd8hULzdIctJVmMlaGfeMj1CRW5qzweSQkAixLcoqZnqGg+Td5Z5M23jg0lB2gtWbIBpPSEpKJQIF3cD/3Lj6P95J7m3ohVU7Azkx5qJSKsRAQznUMGiDHxJhk7HX+Zuwm9gdUGSViMDBXDquJF2RLR3EvJCA4REZAFWcEMbP/ZcIRRAXjuOlTuL7Kw5Ec8FPKjpCcZOZ0wI3lKVAGR+/5NMJxNBG9IqIYCGVXWW2qP4HdOKdbo0lahsWtoq6S6Fp1RGYB09QCOzXjyz/JjKI9ihAfo4Gfo77DvEeBfZYdEqhVKwVNYYPZQ0ZFqFdYMlWjAKUE9CxQM5Aq4AhMlW3iAz8LSmMqBPOsgM6atckHPDIOtIIRVYHfB5e2EAsxXSIovFiMcB0LZgePjg8qri0pl/+Dy6Od+yMUzzmVwmPseLDa4Az18MK757CusgTXE+EBmpl4vezNkb5m5M+7cl1H0gA5oCS0HX1pQ6LSctU7B4Co8UFpT/mDtJS07Y2JGaQONBHjjEcdbCy6wRZ5TV7cTM2OjgERtRPMmpj5NkQOmcP5O5ENeyDjyhJdKhnY8nVeIq4Q8OJY7VEJktTx68NhK4dSwU/VmnEjsPkGfRg5Rqh/syYW1L7c8wJbipQnaBOedmjVjVomb0scgIqfsE1nVOWfGy0k/gLAwx5+nIe7RV26cY6a6gPlklgolk926LyP6ZAi4Oz3uk2Tg86G07eUywCr/YRp8VB7Hy6G09Uzz7c5FUG65QgBAyy9FJF3+bkpwtZyd/jZgEKHsdclFiXG0XHW5/tKjBJDREiY6s+Ke9/S0EftVVP89zrz8AGzZ3e5O47p9fV3uBS/6LofRVrfs/Wwp3/CU21Ei2AoRkCkaHdEUhNpDisaWOrMExU86QLI5bHw/KtO7u2lP2wq0Wa3ZmAZXeNaD2eLuSovXOSSkHrMN1Uo/MaEfU23FPQ1OugOaR0yWaRVT6/OQjMsxj9dRaHqKnhjEb/QkPgRZdsnU+3Iur2q3JiRDG5bUhfmQ3RWflaLCkl+epHNJWRjkNy+5zB12RSviDErZiW0WhxHPCMI49/1KULhJetyylxVhPzmHcD0ZjXSWBqN8clUmaVEJ8fOsLGkHCPNXEjrTvM2ROdizmuSUjzCChADv2IIYCphh4im6YnIgQ4MawshwiMBtmYsjewVnh0Ul1OMQRwgrfb0YZWKapwKDLEnaKZ1phga4c50Vl6HuCtyNKR8MdZOc4jCgrpLAz0ZmyH4VQSwDhvuHR5eBQE1TOj4oCR2E7Dq45KZQlBkGwqtgD4peIKRL7v1AkktPjEhQMJRiOBksUNzUmACSJfv4KGS9IlG7+4dL1G7shOYElzEGTggBiARWNbBy3IFCyd2VPnKZwHRVQ4aDCq/Z3KmDmxmmXBHDokfYjrjWjdoVcJ7IoyfMF7tn6yAivMfBWmnJAGYiLvSB/dcqLbaC8/gGAT5n9sD4Vm5GkyvYhXM5qqL7l5dHJz9coBdp5LOHopuy6+TCN+vEnvnEwwL554LKinRPX2X+eikhzosF75LrtF1ynnVkj9sqwzU5YjbMvBzxdj5HvF3tN3Y9Uw1NnXsNPQucISPIYmE1ktnR8fHRyenRRShKEg7b9kVMJzjgl4qpPfBz7q8hukAC5di0tLMJyIrVPdQvvdpKc6LjWUPN/MqOQMXSbi3+ef1jvSErR9OBDDfsvGsE2+1m0IcFcJ7+Mp7BnmAXCKIaXOAibwziJ+NKb2GAkSouCY5ADwY/cGbPQX7bbW7X21XEVqXfo4MTfNsISs3GdjnodDrVeqNeh7exkxK8urCZaq1qNxvLGXJmz942K3JrurCKez3OgirBwHtr1o7LXxmhBLNLjBO9YgK9SwVmGPs/Ux8QfeYNL1Bo4UE0TQWiG57SdLpUpPfp1YV5I90yvlJsSGcjnKqoGVRoGsbM0p0646OgWeX5pXIe+i3n+VLy5RB3dj6ZTi6jqsGMCXgyEXGgWRyfPgwb8RDbjtuPY7taaBcC+M2F5tqLgRjBlcAhqcwDm/WipwgctKGMNHobW0eejG2xHB3irhhiCd0RXVQRmhnCkBmrQcrzntKst1QEDgJ8QNKVboKGJHMJ59hBUnVNyZegohd3nxQw1JxGLpN9ROCgd9E77kASpwQhoFB39liGdIBBqYuy2elUAhEb9u9N/jsJDGJmJgP8lnt5TYfNmxWOdcCHCFNyGs+q7rWnNgpVkaoZuoPCwyemkjstBJlfhfXM4pzKHmvBeaZQHxehDA+umU/dXtNM2S+d1Cz6jLQtFekn1DO13LBu1z0IgXZdMAX+0CWRvtplu48xkx3U/yqaBNQ6y4jDtUCQJJVnGUgycz3ZtvPs9Wm5nCd/gTSu43ssl9vT9t2T08v9fxydHZwe9olqgGj4fS5tG6TK0PupvKJRL35HTsO549+p00NiOgYYj8eOGaKS+fX8A9e2dOQh8gGqAqeJczKuskYggB5QWr/8YhMDBsq5akLTAvRMyXIw6oQXDeo9FwXd24lazog7jkbQ02ne1dM4FOfabFZzaSTIM7C02j2aNgqJwj7ucUSgjeE5apDYF3bNyBVk4Um1BsuBQghfsqQRkOs1zfKFvYhsjvoTkrXJiBH4rUVkwAC/0lHD9xkTkkYZkLFMR5EhDENNHyxdcpdNQGz5+/1YF4uCAyj227ZjAFNMWdi9BjojGE3uSRHDckKE73B+z2pyPplxGxWh06Nk0dZ5Ulrbu+vg4RjiZhP/rOP5Z47j8yzYn88jE96WqW3DhJq3ObXFxoAbBJcWBhnfGtEDkJzZ5OSaaoUYkKmcCHgbz6U7ZFO37NF9UpHrdhqXzt8hVeESgroLiOt9kvO++7IvdmyCG4wyLzi2E5rfeR4h3FzDjN812EmZMW13XvTdX5st+aU8ADswNLBggg2ggqlAX5E+QmmDVUNTaGFD385cHcHO8WFwcUKRBydEYedZm0XnCGHOTUmTmZF0Gfw0Ssq75bqkQvfYpx67W7yLGG4VTL559CamL3MvvTcIlM6VxlUUoda5ZKvttLJGFs/cxaUOUJrcjFlB82kwjpUcVVUghHBolIwHKaAWiT/ezBIJd6aLK45yUkop7Gtmxm5Vq9rVGA3NqcnJ0zuJJXEkspgvhvqxBDTN0FOFszt4qtIxiM+wMb0+xzMxsGdKEcipc1fFZhPnQLyrkavQ4d5EiGjlsNgAC3vytmCeQ95DewFOHvpn0eiTe2iXYh1Y3scO6xksD/4S8GDv1J1wGqYmL26eaiZtpWBVYtGtAdxxBvQ5X6yaxj4eGpInfAGu4EYGqY2QCYd45ygByL8gPqV3ObOTvIlxZhAlj6BY7iA1fAepkQFdgx/8CVCFz5cK4owykUGSsRUDiq7q8KdhcSfkfoZqRR+KLZ70fe03yAhO8gIeMGcYDeGKvwWmpUVxISM21os80pFcHGXcv7zcP/ixfyhf47gkmhb+1/WfqDlhZfIvE0CWf8sbSLDeF2mN5vehZka0ep3i0/RuZ3BDpK+Ih/LQmrYoSW8jhgiqvHfqRyakFfzhnMrT8A3ue6lvt7XbfLfT3n4q12cVfaiJS5rUakVDBR/37pkEvcHd9A2WZo8ihK/Ru5ituonW2XG1v39xKd0JnHWt5MapSTUqkjfNNlRsi8fyDzgkDyRscy9I3yxnrOyHMxymewDuKiXjKuKAHUSgtUbgBvETylK9ye3iyXyPzCzCAZMeL8Ui2kyLIYqMUB9FW0rWqjUH6li0QUkeUa6FNEx7HrO+UzsnTLNGEDZGI2Wm6nwnKZsXDNS4U1834q3d3NDBadaLHRzjWv+MlfoPAqgsJUzRfcDKBiMQv128Ojs7Pb/sH1rziLmKJj3TIPA7MEAZm4z7jqkshsKpERHqpn6NmciRi07kKnPwkScyOH3/8PC8f3ERTEmuSIBXExbswPA2ZXhbHEnFD82mpU/RPzGQu3n6Z0lGqzDeX/ESQq8u9mxcC9ZZ4YVUeAEFHgYLBg7QUZWeGemAfkPFeAdypzwHJmKzVSPLxo5VeWpa+uF8Mr4BoRXISwk5U5T2/znYPz8/6p8/A+71SCPURi0+jEEyGyC8iKWQZMwiEJOcSS6dBAsPwpMJT3HDUejYDoWGJ27z/8hR4Uula4UbuGS3DgRmuCezO4ecRj/fL/iUgqFl3rUn8zbN1E+ydK7hTYIH8SYeS4QDrmcUKS4WRe9Ru9siW2QgoNQ7m3E25zCf3MRq8XKIw5YdmZQtifannSK93DM4O72wbQYmobcl5xlvKb9VnxGCG0FBkTbgXhOGylBq33Mzb0ihTHPoKXAVJnW8OGgtOFuAeoAt4CB2mwupyHKqzuU6NyqDYTSGKLVv7FfYXGSZu2sojkX97lirzSxTJW9c8yaByxWMe8iuhaJUAKe8WeFYNP8c2BNGodA5ORY/j73/uX9+9OLoYP/y6PQEZUhgZEjw4vQczJCji+Dg9NXJ5fnfHcw6h+OWCwp+wToRIWaMgRYZcCv9VXybcN1CvJhjCeMVTzW8nhDjSlABGNuTe6onCxQjCWEK0izXixa2vmCyyKey3eWCSLw5NQAa46GjpeHRzvFqn8DjLxGstA+6L7Ty+KrCgkty7udkUnA9kut3roW2LffxNY5ySRCL5wrIDsRzT5mN7s41fCZmjrpjSn0Rl7jiDgVCeP0lMjNixR0ZJ3bmVzIGPbGgyTW5GpcSZxMXqYlMOlthQGnOqVPtQLlwKs0ao7y1adbBL+A/jGn2bMRhTy9ZY6JmKdUJsW90i2ECwrZjRCk0cG2MFr4+JkBoG/5lGeeNOieP7DqZSfKH/UM+oXQAQusxmYgzThpkbPZIQXNvKAwqKeO6BoAdjwhbJWw9FmpV7hlBY+lm9IiCLPPM78A5K3lx+3Jh6RUezoBSNqZO3pSrCsAmpxHMFcXGlzU/cIGvJATEx0ktsYrDSRVP6PeZCCaFlyU6qUMbq0GINEyQOvdOFd7M9JcSBdhhLHEKx4e3i80+WEWv7i3NZZtM7Y2ngkCcK7CPdXAu4k+T5YsZhJ5xulhoHOmyWH0KM1LUigP3Xv5EKpZ1L6B1TyT9hRmD9I0mxWzaxkQOLfzHHc9j51yEV6CfIR4JMjU2CKl/bNC05XYzhvAsWytmaYQNgDcjOXN37icVakqkjMk/GXOqNKBUKdFhKcydbFnm5gULkAry2UJatl/m/lmMViy3Vlt+1LuVDYO3/gxh8EsUQFpzLUIpBelG7s11Lg5bMiEhpWnuIDOBZSMzrKysBoU/9uLKCE6GPM2ZkdGDl55s2IAawgAY0UDKg+QDRsVslelcEPldcQ2iiYG6GDtRwTN1XUONsjqBN/2dAHE5QW8KNKjwuJkYyVHTVBsawPfY0ouqCs5lw91R26gWjmK13hhLb8Inah5QSvCC20gEJgOSuXpTUPH4a+enf9HX/tXi4HmmhZut0IKcUtEplz/oNuXRX8SFyl0SzhVFt/eJOSvuDlLs+1e2rVA43NNkZpL5OoO4nTOId/IG8U61X/exix1Lc1+sd2wWlPw5dgynPY6+oOhBq5A9D3VwcJKHW75gO3VuYichFcqY+aGtUw8e4nkoyNkcKPJDdLQMwn2lz6y2kr21O42kGrXCnxMtv46SuYnoTnkeBF7C3ABTKMyeB+Jobebz+BqeeKutr2j3UTUQPxzVVSH4HoXt8+Y1HAuB8dLBYrDUIsLIrBaOjtIz8DaKbWv/YKmQFNughoh3VwmSa3E3dLZNxeRL2KA0dfQeupiAMFCelQs70JvHYu8qfSQyGMXEN/qkWSxW5ThbBuOCqMziQTIlk+l73Nt39b+mye/xd82OR1mmkwbHMgMVSDMXLZzLw4vpqkaVgKgpcD2E+odc++s3CuseOfTy6zdUSoo+33zCnhs68yoVcPCgtuKjD0dd9BmIT4HeXYLnqWVohAOBfWYSgA1SsCMR3yCD19mOroft7eg6FDAJ+L5SnX+PbsYN3FG9DoVbk8odoh2wGmOqEhlFyV3qxcCJZxIBsacTNgBIUvZFTcW2zIlNXAeuyly5cws4cMYBtCLyErBYxP6DQ8y5ED8CH33SmhxXGmR9iD7R2Ux6EHPnI+c9Hjq1tMKew1mE3SCpHVFA4qwWrKD3gOk9AHqvPiNSL83vkwFpSTwb4FD9p1591V4mg7DhLCD6EOUAUPyWpcxLUbSw9HTJIv5bzd6/Fi2n6URZk6Hp9cvzGmGUAV/Jw379RtI2ol8FY2vlSnh0TjyDp3PS/MNWhNwfBi+QVavMquTyzeN382WjU3z+1HkvKOiYvxATVyZa1YKja7YF3sSIYc7xIRnVvRFT4+IWM8lLyS8ZdrIXdBqtTn1Q71aC3WG0XR8MYoq1atslvAFMk9ibxXV/iz8RlsRZXOMFxT0YQQIlIGUBU1oeeIapyPgr2wdDm0wZ7ZSgSFe4qm3fM23/GVpaNlNbnH1h1YXJOY9cbcwvS64Svwsb/m8Io6uZ/XTIIVMcE0YcXvr+v797Dkc+xsQ0/L1b72JsDv72+++/l7Md4MKM1nrjdcIaQLw/UUJkmclGhuZKiVlgITSxNc0RCWOGHtNtu6YlF9xKTGY+W8xvrxcjr8EmwojhzYKgukW4f5WO18oTxglnGx2xZJhZKVGPSDKYv5wM4zL5TPkDXiaKa1yEPpa5MnT0lB+YyVAHlFGgt/Z5oMWQZ22M44oJaxgqpmIBykLkuYUNsHU+0v9j712420aONNC/gjO5G5AZgCIlUQ8qnoks0R4lsqQRZU9m1/f4gCQkIaZILkFaVnLz32/VV9UPAKQetsczuzs5Z2KbBIFGd3V1Pb+v/VgfaafcSm7nkQldCs8uU6QnJTLXYo4dZpDgmyl+vocnAxD9TIPZNlsPy+MLeT8HXnu5fmmby9EPqud4cMFOybkRD9sktL7bDFThBM9HH4baI3pwnQ2Sq4npEz06LvaJqlqyHeHjjOcK13qOFUxzb1DnDvA8yecFfVr1o3rXoFAwaxIuf48wWvYGZvBHx2ak1e7xfVkccXS4mAeeWnXppc5HrQTjVFn4Vwts5zC2IrmnfyeXBBMScVdMxI7iZNGfO+7MD2Ufq1BC4vZ34WiKC+YtR0m0et41CGo18YAPV3ZA2WWCw/NlPBxj3oTFY7IAnrUiYtBAIdidbfBR08f6sVgncTQU59VZ6ornzpexGixswMxUBG5usjoyQEuMQQnBZCNJq7/kr9bqlulDQlFL7AeT6Z3EUHXtybx70Ns55BAAA0hczb5czuQ+j2eVqIjuj6R/7Sk+TCPgDJctckicYPn0f3PTBef2hYCuK3NK6qHWvT7yCNJ0MzmC3tW7PBd14PU+akfUasu2/X+gN1vjGgVVWTOTKCXvvtJvmc9+Su6snrRqsq7bkwvyxgz6vkqerJnmK5WhjVr4vDIW8ozPfRzpAljBBESymw3j02XCyV6zt28Tg1TGpYOqZ02HTJYrsyOeaPyYr2TvolvTSOpG5Vx9uLAV880FrXQqhQJGfP/GVY0mGMZPsfaUd8BfpKi6Gl5TWck0Q+ykYprBg5XVesTZod0Z6r0Gsyx/zw7scCHAbQr+8T/SMJfGXRtcLGzCxyxrLbRyo633oXPxilsL57UpSuLVk5r88tKgQlSWpkAhhCVooPRbK/trZ69paG5Ma5s6qrozW8LXU5kql4qp6BROId5roW89EpezWQR7MqalMkOAisIQShk7uVNsVDO9CKcgEbDAQRrpprWWT8AGUIkG6lXr7ebjMDi/K2JvIqRuunEPZSB8UWksOPAMC33LtvCuMvy/Kxr2xaf4M7Q0DVHNQDiqDdRdT26mifaK25Zi30RGdYv3FJq25L2povHnxM0rijQMLChQEa4mE0bHE2KHOdhhciEe4m95VaTfk4FqmUzXVn0zY7zykKLdo1x6U1rlAgCQorpxnTHphFRGR+ZFLAG0OAymo0VO+pcOwf0oePX3KHj5PAoOu1Hw4pz8hhP6nP7bfx0Ffz2jP+nz3stiRTQWyF8DPG293SyDG0kj7FybPC7pTWLpzD/qncbrSu4sWHmRV0eaF8h7uAzc8rGw6p5NpMPGMF+wqyenSyaFbcZg5KVOfgU+nmXwmJgu3xrMSQ0wyvxUugE4OcQ2uHIgBD956QaSFNSasUmZ9dOZxoBmc9lTl8YxQYM4i4aFdUPeLkOFZHbJEiqZ3Vu6+Jq9DLDPTowEae+JII0nBYhbJkoUqXNCXPEIRY4N3Nb/ckaalbCcrw1ke+MebahkuaqfN6wY1LBJsUN9rV33PIfVu7BwU96OX5dExb64X0KqG9PA94iBUt7UwI0msWW5MspVdEkRA8XXJ6bCuAZdUpeQhadiOEcCFjhfr+xVZ9A/ZAwsgEkQ0xzGKebXrht27V5V4dIhXFriTMJnHNtOBJn/pj+hAbE/Ds0n48yMeeNek0edFZuwTFqDKzz4Rf4nkKScJGSA3Qr1Nwkn16FoLU1RMgyD0hwHn5GFuU1e8gG49GCpLYee/K4oNZXUwaoFQz+F7R8Sm7awfr45IN7Y9YTBbBg60OzUoFY+WY+6gGN9TofrPv13cEz/nUbBWZejz+HRIGXW8DC4yriuhgNFSEMyiCxGVD16uS20KrSOicG0F42FYVMPGmyDdX+oNDR5uIVJKoCDCju6guJLSIpOD4t+phPEhRFCEXKv6cMxJsVeMWvI8jjHBogCTe3xfdk7UDQ6b1bL3FPGZFqhFnUHM3T4/zByj9VybDiy3AIIm4QVUGkEhkSF7NE4WYqC8CydLULBvKibaSsZ3L5Q+XK0UoBI96oA8X/8BCtJCgp/dAO7ZBasBc85mjELuQhMPzvwFKXGGhmJWJ/X8FPvq7bsMgJBU7/P0NIchmOWna/I/sGizOdG2e+RyJ0GeIVM68r4IblBazaD/m616dDxiJ/csosi4tVJrR7yMxMR1+8lw4TUUvoxG0ygkl43eo3gVTZmpqPFfARr8CjnBc1FaaosXWZc8WDWmg7cutF/VxxNLuqs8/ba+VYjeJRqDmoHpmuG77zaF/RF03V48iGyoC1R4FqvyleR7bEiknJQ85KJEWbknaEzPp0zpH+5le5u9XfqHff+dkT5baLkX2KwsKkiLlEGwFNT0qc6Vn/Wk3EB97Z/FwjviOBZf1tUf98W903j7fh8i1GN09Z2/3KXkRwcnwgN8J2KFgftG1z2P1nMuI4DvsqCtA55NmbPN5jdtjggPr+ZPswoJqxJeQs0iktqDi3UxEsVVfGm+cQTkzXzPmvF93TO8WO5Uja3K1nT3WrWdDfuNjcKMZnXOZ8nWoukttkw7dOQB2zUyOZmbpc5ACilRsiYfwW4vESZqL2qysRkUbWUbcEgUoht3BuPkTF5GVLO8gjrMkiRb5jyTezLUGss+AqQDQUpWIEAto20Njtt9FazGybhEGjRfJqKkFcqQfMyD3M1hSnPo312w6i3NJAwqLU9tMHlfVXyq9uEjx5pxJsi26xwgUn+3gHZc4wvUsv5rtC2wtPsKR3LsBpDOZt5n6KWi2tlhxhnmRQZoXd9XR7LJboY7Qt0CuFouKqyAN8rNd5NxErW/CMp/mvscH01+bYq0O3deQ2S8f0ou8nmz0y0xUkLDm2DFkiLTm9s+6Bzbz1g8Xm2i6t4fihWQkc8oFs5pvFlIiZ4r3KspL3hZh5lFYNkOge/JHjEk4LpY1hHS4h9MjlGIsQ9xqa8TwSc4uWzhYkxEV3xSBY94l7hCvapgv+3hzyqzS2iKJZv8ADctVAo0CTO00U2WmfVsdilHxOg1PsLFD+4yfjJf/QzQO2mYdG0LXOMAUF21hgGzuP2VlRwQT1VAO99hProj3XDJ80bD116fVAdGdDRIkPn12IrKa7J0klfOeHRp8x3dN90i3oSXaNdi+k4NrPJ3lTMijW2Z6eScGfMSky7eQm+wW8qQ1aa7qUy//Dpi5SZhK75yujTxF5LHUqr4S1AZJuMYanS2uNG2wwlF7ziUx7n/px9fe4HjWkTkC7LOI7A9cavfz59eXRyeLRvfAL7cz618FIPVa3tPNL+El/L2l9H4w/kzWAGOwLpJo9bWri24NpJQR6mHYzlucDJYFqjBMiH2zDQKBxGHlpUcmsgpbUBYQbcJ3PbMf39+pPtMikO817GGmvMbp6MY3kpOgKEc5GXa+pA7zwsWS0zSxG9</t>
  </si>
  <si>
    <t>4dtVbTC5Rejfmd60cKco4IMneN3rnleLxGwHRl/5W0WH9FPkUfFQzhagGJVrGlhnoiGdbCOg+XxMmJg9CLtjITECsENx3ZBRF4tFHmPWKC+ZY/uuQ0Uok4YPLaquKfJ+Y6TAZEIM9nWCUmHEc9LSqBTsJZQP48f8JHTYEmCxcqRKhl5HwmhiHUQeHTScAcGjyIsiSMs2jM0qTJNsZmXx62I8LTXSTiY+bXGOAhC1jqRUALAajn/V8Zao72fySlJ4i7CaQeEkgeAUpsxltKLUIvb2iGmhnaUe6QXDME1Eq96g0IofIZMBT7WYgzArl8/vRilwPSQmKYGOMqC6ISBbWYG1U+wt2Cm3we9oG7z3wWb5inb5g63yT7b/17XSP5rtzqwXV3xOZjOhdoi9GlsPQQpEwbJ6E7Xype2kSNV2vz7RiqKFZV1k5EjOynS8h0qM1oNksF2FUnvOetKqyaD2FJVUV5DYQWqInO5RFLUn6a66hxGr6TLvNPq2eGbQv+2h8bUKzxZ9ZrI3vr93fsqCSkVQ4aCT5Zfea2sLYY0698iDVSqPOyQAhX6doMFa0xea8hjBQMKxBp0k2S+TGDUi5snwFbCQTQGUqRAbrlhjc1z81q1jzz5Zukie7i6juVaryJwdHMstUU22qe1JWGtpk/3Sy8zF2+UlU2wpaxw6u5HXhr3E9e0Nj9WmYKcKd5kLzvCpqEv7kP28+9j4ZatkP8/Z98Cik2kyBc/OXNurDdWfd1zTdfSQTKsSYABAmXbIr+GrFaOJzkm2NvvcYqiQOsL8K5HO+SQeTj7JWC62r5dHVKLQ9L5ZVlf2ilfTewKv7gMPWHab8wlvAO8+rAUfGuljq9M4AwBas9ncaBK+1VLWCG8euJc5d6b5rUEPdi2UJNINqcD11qyyVJkRD6xYruarEQjGMSWLrWSRY+WiyhvTvtvPwfeAsCafEhYcde7yxCQ4Djdiln6YoMrBcL+L/MBzFYMSbACN4DmN5BKZYNzkHeooNDh8ORKcKp3QcTKex/mARJ2+SZhjxg64JDM0YnLCdY7Ij2Z6FHJFTFR/lF4lgzt5EbLytN80wTuCx1AVmEcrVXk6VoLHB7v0FZz/JRNHw4C313t1cUaTNUzuuMZhPHw5y4ZrvW5vjRuRQH09mDClaz0SAl222dfY+V1jaDqdPg7y0OgAvofCVaNhggMG3LnCN7DReUO8I8OYrfsZHe/4N1B5eNog90uHezZK5qwy41su3IFRMANl7eyODYpkGHOMYQ8ovdgswYcsCXo/Hsu7NcJf34sJPUHiNHlhKtQL9KYjhL60Ki8DDOClANSGFQnS39+3gnLD2YTOtmQqKrkRnCIXblWPcJfzdctAnMnUO9Cmc1o40AVDv8RciRHcTRYKADiRZEk2s3iPxd2mJcS5IQs07LAG39DUIJB3dI/bs1t0WXbLbs9u2e3ZLbs9u2W3Z7fs9uw+3u2hw7CNjF+v2Wp+8z/fCTo1DI5ybFZUmfQpcQ8LF0IAq6YilTbgiOY1NSIVbEGc4qoBIDw6Wq3S0aeLr4NQcvg5ijmSE9q/3ZM0VKRHc6Hh7rN1U7DPAf1xeivunZ5pRtcj7h+CX2M0p+0FoBVsx5lzOwu/YarS8Cv5S/vg90J8o7yKEI6GrGDpqMbwv9RRLaccPeF0Me+DaUesaruIcWCPuigwKpL+1u1xoZhRk590wOmZ9egTqgDzoaJr5JmnVLLMbiOxhS+f3SOX3i9Do+uNnpcSd7VhwxUiGIqXhyQjh6/g60lRbEEWjQiOK4LnrWFYgAd4WDJ/W11I7Y4pAGTpNeXq5kEY0NcQ6b0ny9Xer7oLTryySiUPU6+PE5YklCLnD7ic7eanpWz2xYWHqy7xMsWOI7d5zp2Bolg1kcC5+HwyNhaHQfxy9TBy1kluCiFjDwgWJJCA0bccgRookysYhugzqmkqWZuIq+xYsjzy9GmFATGBYEQemYifrvFBARQBMxFEeQxYfnCo3I4gL0y8JIzVIPQht9LhmTBpBLM5Dysgb1VXVN+I9sV/J4IaKmP7i2ZuGiQiqxNGjWDfm3dMeidYboPLbdd2dnZag+Sy3drZ3lzf2tkZ7GwML5PWkP+aDobNjeHWYHtzZ2dru7m+c5ku9X5L4qLEV8ZTlWkhwygdS+pAc6EK/UXTwCswmeme94oGnZQiQsO0wBIRWT67CsY/vgukcFW+FU1RzlxBDx4iMGUp3n1TpUdTx+bROvCKWCWw/dUKDUIoQyfIw1mFmoyrjH3F6MrYA7KFTGmooEpxRk3AuAzZntYOeTx56P03CGLearOZqVOu2RxLHfMPDqmZhlvuOLosT7DFgGA/BDgUFYw2Dp4G2TwyK0aDn4DmkiEos7nCtiD+BgJngZ2QAQjFqu2P/7pEiUudzFXJfB93oC1RzEdUp/ClaFXwcY8u55rxlv2hzLHKzw38imycF/StCW8GyHrccJ6D9tENG+zCO6lAL+VAmiF8YrGyx5hCfMfcHeadc4reKHD4LFDCwJlppVZKQyHTQLItE19EuDFyhhOctpjBXlzqcbaLvPTtZsnjpA82yh9slj9oFxxM+mCrfMV2+YOd8ge75Q9azfJdW63/dbAMj07XFRWs2KqiZDsrlZiAYraaa631NR5NFGx11rc6rc3g7FWgV4s4v4OpYU4xeTf/FAsd9KzP1uqfu0aRsWnEzVYI7ZEjOr2DygstaZ3yas0FoM61vCW/lJ5fsmvtuUcTKaCgvhLV088A0Xoc0kvOQOEYmF+vNqfwDshPwaaqIOoU61A5jcWes5cD5dyIUknAuQq9RSs6JkiLfi0nmZtiZKJMOqm2Xg/V0GQx8Kr5OCB+WzS/IluHckJn2R1TBFqy8nOZ5PTjHPEMZSLKZnfkQuisjw0RlkGsHb+nQ1moorgm0qINWwvTuC5iVXJ0z0qFwTDDM0iyCuU3q7cFXak53Vji27G9Zd8IYyx3pWHyRtwtbMQN2oihKbe0WyUyr8/DktdVESkKFisAOpzRxOIOMBUtMC061I7S2dBP1RgYGUKIFTpElEwu3qC8W0PStqP0cs6Pz11LtoFjIckzZBK34jhhjPY6ZEsuwYz923WaYdybqNuPjs/u7TciDxvxrB3/Ofvu45/Xsu/eflMQi9rynKxn/Nel9ecR+dn1ZssA4h0CCq+661p1UfbpsCjwYTkn/EgpXW+qlG502s1OextSWpRR5ub0pJHs3AwYJFZ2a6F6R9CX4mvp9pJdzZdH5iPxrUm70hNbnY02PbFeEH/d9cIBo5ishvcgNt86RY8N3Gg0vq/sG+ZmQQO/8JS6U42DDYrRLuW9qvMjc3f59LB73L3o3rNmaxYv0SdHVeQcfpHqNrO7zL0AbfhbRE9NHQQXlN4AAkP8Cd7fnJ7vCIbRzmZQs50xmfVLHRORTZ/nC6noMHVzH0R3ynTLvdq8n6wG0mPOkMPgnEqHDxGltluPjXqsF6IeF9cF0h8tEIexy0pkaBGCkD2MeRJ5KpXOh6bYnMOJpSOHZQDzz7FM6k3u8nl688lxDT+qIAuK53PEiQb68+lrcKVaWtpi2JGxooWViDeLDA9kNWjgnsyuEBvzUH2gOxS41wYq8bMaKUV6Yj0UhHBv+jKh26yGLmS4azLsv9yQEsw4zdWAeo3ctFm8IDwdj1sWVRglQLLkci7eVriuYBBJANFnmdeuE1foGXntyS66OFxybGjS38mGnUgNVwirvWtuKs780gm17Nez1HbC8IYtNTUVHosmNruG5m/PAKIUIUwnoeW6hYBUNFDrwUspCzx1yyhGyolz5F6A1a4GVoujpAk3uaIWnVZe8uywLxe2+oEMXFNn9wg/vpfSuqwGGmQDTcrbPtOTR8TOLijb7wJugBc36AYSdGauKkPnrHPdZwstnQ2y3GcrVTPoTueN60JchjlRCE7WpgVi1In17IGDbTE0bxThjLvlVCS0PJIZLwpy5rPR2trdqwWjBzHfJFn+GVkEiMcgCQFzmFvzjRYDm0NqMcbNeeYj5avAiJxwS/k9nnyr6EG3yp586/8Ec9TS8+OhQ8P41HYPz2cLjwLbpIjefvPzZMFqKpz7+/OOe234TkbRxSy+tikfz2q8/SaSLm8oyIJCepT6Fx1fUFqSKnH76fD0VWE7WU50I5ZCH8KV17EdPknvnoqaIM1CmcdWmccyNtCbOQVt96FCIWgwYdWB+5VcUm/hH1xxOUF/0QV/cHkuHjftZfCOz5v835SXdfqgNXfoJxofsWThp69YyG947wHFYMCFrVs+NyrGyOqtLcv/S676vfb5+mPt83bFPpcDWvK7M4lpi/+iLlOnkM6xtAaC1yS2meQyJQ6/IvRga1TJt8ITfyDLZ8L+48MMUA8mIyurmGhiUsbswx0h5IbBcJ9ZbltpJLeFl6kJ8kXC/QJ+7gtzVA/LsObjIVr04aSGCHiSY654ma6hMCy7GCvmSeJteg1N6JyEt1QCW8hjFhKkZk4hxwnAMRhjhkS56jPwpLrxdQrzY8K4ZOucnPZeH/xwcHzUPbngDYVi7bo+VTFHcxM3c32DMpMWxdlnlmc/N7IMhBw7nszSIW2g/bEf2Lo3Dyuk9xxYRTjChKqMIyjeSKPs2yCc6AuzeFSSW8fYOYwIsvEMoFbCXMvswToh1tmQ92OUqrHP3uMXn5HdfYOGC9NZDBOxxmWtTy+38EwHlVIprzdAVHTnsCKrYcnfWRkVvC8xasAmxkMvLCmjiqq7WuOV3i2XhEbYDUTNZibF9EVe29I1qUHeZ1YPqTO+QeCXgXrMJZ7c+ALxW895lhOZBZIZTDYitWa2fdIvIQDmKTNzYIsgrmQoNs2BqhZN1EB0UF/vwhw8FQYjcyarPZiMRtJDhmLYLB8kvCT3uCsl72Q9rnzwf8BdqZxDriO8ZlIL3ykVVn2ZtgxkZKzxddr8k1nauGyRh4t23lOZkVRyhq3NzuaulzOUaG15eMXRBw8OLVp9wqtOCPc9G4OF1t4+LJAoke0FlEmXW2SJZCHmM8GcNImnKBibKvjpevIYlS2hAK45S6Uq4utk1yAYvBndnNLLmIg+wvnLxOF8s2CZ4ewMK/D5ABpbFok2i7+hi7/TIVN+YzfYX7n4hRFVRGDpcCJvimWtVi2TWV5SqA3vzqR5sLr0OPnZbxsDfsk8O/HVrS9pArOiaFXnNaXjv5CLXLE2T12aeOXa1JeUdOWR4hLaIvRblkSbgNI6RQ2aLsYN36x0D1U27ns2tRXoS3bXCjOjXWIyJasOx3U5Hg0c/Z4/DrXibCzvyQbHeSUlQootMRUUUBPisklg1xRnaPWOz+OTmzzLQz7aRsVHa1V9tFalWfHEIyztFOFM4mlG4kgGweB9cmX6MBlE4CMtCIBzFQR5bPs+o+CNZtpdF6cJYAvwhMEaH08cDo5jII3kc+yPqtN2ChA+r8bz28AfPvlwDqbP+G/8uZw5kW3GeX3Wi6RTB1qywq1RpXq6mMxAjXB6Erxqvwk2jncNyCMaXtLZB6bTpPsGP01moyEqldl/IyfxaDyYMN5VHhzun0XYDiQCNwKUETkERY5Lz/h3rAPI8gdcyZmde773cTIj26z7cYr03HPGyIKjFDJkY4tXBAhsmt3kaEGoVp3yrAJKi6/C5IiT4h5B78dPaTX/9pJvjiThUkGoq1OSjVGCwgzxWFsxHZwTWZUFcWcNwt04nXNyNZgn/aoHqYYCgxUqmua6jJ3/4s+gP+aKT5bZ6LgAZUi5AballNaJI/xR8BPZq+rThlGAayGdVZdS7WD7TqsySu6MdTmll+k41bhdn4sqBYN08F5oPZBX1dtp06OQaDP2Lg1Bqyudp2XcGeEQpZsVSgMsqsuaqXpBxNqWamq2Caw5smL4JOyZRVI7QGIFooi1AtTCSEvaUmwoHbmZ0GJqC78UxlPGGdTAW6EqDMykpPlyy+lDzjqzZ2UfhcBiQAOTGpErQZvrAcmSZ8AJr7Hglu4TpzIspCFbCmYJPVNXEvcPzaeXtJf5cQImsyZ6lHFQBMiQvqG7gs/FOlqCpkCShrDibZYLVQYTWSn6hPafFTYhJ37oReYiGQMtF9B6ua/nkDpFW3ZGe0LxnKFNg3c0TzmOqOaGKU8sqI0x/MWJt5Z63BaUUS5CwEc8CS6UHSAFZUfFym8t+v1WCgH/AWRZPpXX477eQqh4z1FpoWVcepgJ87R2FoxYgmZO49HABZcgQPqbzSvVRUJUJp40YCWkYELj9I4K3C67l2wN3o+BwWMxn+zixhx1QXW3Tf/mpEcYqPVaIY1N5lPonCciZB7yj8oHJAw0aZDJF+mw+zHojgWYgPyabDwkr6+1sbv+cWdz+6uhKm58CZ/6lyZZOE8tgpHaOJ71jyfY6FuSW5L3K9BRLNdDFiZLpcfH5PXFveOfr4X9XzpspYqjetCasqSHVFlkcFvcmWCV2nji67THKvslWl06HX7Dbtcb/6CcABmdD0s5exUTnGEG2RztBM4yeZyhuNQsXGIMMtwHp5SUfsoTE2skGttwL3jQMrzHKFSz0d3Ci8gXLcCSqkbjUd0zXqqC50EBOaSm8GLCke/xnQ7HukvOt4iD35K6bzQ4Y5Cb8LTdR8ttK7GqLGcgicv1XGkG7EFvCkRE5eMgGOe3zBp/YaeJdhNKPnKFPFMJJ0uUvRwU4RnuK4UgmWj1SMJWJhfr8u/p13vL7PN+CtIXt+xo8PsM3PWd1u7lRtrerneCnqejYrLyYl7tWOb5iqdJ4g101H2QCcneN8wUvuD5cUfAXsAGDJmaKDlFxoh86Cy9bWgggvmB0+BFdzUY+UYVjLy9WSGIK/vHRWI4Fa59zZx0TFqNF3GuxkB7rR0G88wQluSKYmLyxong+Nz5IRG2EYS2Q3SrOhli8KW2FnExNpPwAE9caZh+HlP3h6Qybf8jwiX54oZM+DuMPTf5wPlkWriyB1EwADaaJoRBi56Kfgp8ThB/VN23C3OtST3ZHTDx6ykj4V/yo09hDlVgJxE9AT4PLB8hJT+vuCz6QGtA2yFgdnmbWI5sPeChA0SzwFne4Ndtc4+VeH1YY2TDbrX7zZEC496wEY/m1n/Taj92WLyyA76L7sJsvqRcUEyIudjOsIHPu/uHPwcXp0Hvh6MzkTeyroT006TKM2Q8LTmLhbwXI/rkTff86MVR9zBYx28TxiVyvZqiGuazLOENrFFxXl7W9cHr3llv7aJLqk8BvkRc6QQRQ3J7s9neatH/gvCNymsoB9725tZPzXbxY7pZsLO92Wpve59D9PkXP+6zCLw+ozFb4UfhA0rwPOljT9BcAHVI0wKmNUBV9u88VCYtDgFICz9Hv8QMG78je0zz4i/CsWw26P2VjzMugAcgK5tanUA0tKLUlJfFn++Vfy/MrxJWX42S8UAjdELTyiLGM3urMEyjjGbIkCIXYW0E2WQCA+Jq4h2FKDeZTic5Rz0B8Km35/oXtgKcgPHucv7I5lbzF/dHVrsGvn9RdVI2nuSk/LYQtFX4pYKxpJ5423fKKmeDVU6ttNsLWxz719vaLJZG2upG3ZX0UA0/WKpYVBVsnLcLgkpW5wuaC47/fqe3Vyf6mX2aZkpcRcQkTw2n2U/Gb+b2HJVauMbGAzsaa2MtIH/sg0VXDGeT6VQM5FbkVSvYIOEHf0RyPAyUhZIe4r9iZKLmyu1YOLo+wxhr9dPd/k7CHDPF01CUHaoYsWlyZ189e/YsQGWcsFVKv4s5z2TUsb7gmj8nLClPs77aFetr/RHWF5kzU0X/qDMUuVE72pamKG+iKiFM9M7HR2+68klCtkVCe58Xj5mpfAZqR4Fa6EvVOKc9FoUuhvYmrAObWRqBe+EKngwziTzKRvNfZpmZFttvC1bYSjzGV6ilgnFW7B3BFyD6IvOFjM7Ecila5lNUS5oDsItuGVrhQ/Hm1cnPlxt1HJY1IzUL4ow7QWbh46oDpfDu8Oi8e3BB9kL3sPv3KOhd7L+iTw+4vJW/J0f4h2Ns+rJJ54K8bt3N8oJFyhG0RmYRUemkHKyJqQwYJzcm6muPLU5DuDR+7iL1XgWpo0Tiyw9TBGY1z4j674lCI3ggkDARIXWkfxTNGhBHGWNHQnJuyMy/42NXcXLJY4slm4XKQiusniXJEIh9QOoGU40U2hUA6QEyCLzZpwi0FOxKKw1BH2lHJwg4yW3TDiaWXwcbicOYw38kyEYbvlS/ubmfzm8NuZqM3sZ+BJcDhmRFdjmwRDNzOQMaZjY36MrTScbpxxLWj1kuA/fDfv/kiifNNnhpgSyezuoAryEGBSaeX42jq4k4ksN0OpowBtUL1Phqow1TL1YFmfYf5qT2oByf9Qxn7HLraHK/y0aL09s/OXx++vcC541hpbZ+hMSJRap8OIeiPDBYSMWg/SG7uv6Fe3gqaux+q1beTgqmbbVyR6Rn+abH9hCvkZZVGApUGZdAFpWqsL+4qyhvcsQXs4IKd0j62t3FVoHTLSStPERG8QUZQLUBx8DAeu1a1qTSQlDRN9Kpw1GwwpmTfoTV0k+vBYjldyP4FzaCD5TnVxqzpB1shkZgv5Y/6GsXDZzyCBqRtyGLgEY/jVjCYmSDlpUpHw1avaIHq1gk6ux8T0oMH0A92fzCciPDmDvG2JDxsW0p35B7K3cQw0CL+YNXCbcgL2ZWH03GY6m3FERIDV6QltP4Zm7O2obp3ZbmZkXWYtwF713CPcRNeQagaOnRbLTrS58LUg5/wpVadAG/sl+nkUvE9lprkHN6Csdr8XaYvXGDrPGY1DnHUb0XdDewDcYq7zRuHbIpcvVo3+Hj58GEVMKHZLRILZSbzU3s0VtqxbvhxdAENK+SBz3SsDYSDUecItSJIw9XC82XOCTs4fQ9Oy89GP1CBp8gastGB+h/XcbBQVJz1driqiPRuqq55U6nB86dew6bz/A1BoPdtN0fXJJR7s5bHL+8fqrdVA2aQTEANtMbkCXBdT+0WHu0cfm1YwDdDiW1eTXRUhS+sYBQo5JKj+W/nM3S/QVN3Cz7Z1q7TvJz22tcf5pHslXxSDbv9Uh4u75KpkA9ZIbUUZYA/IstPtILd47OwVU5cGGTNHhL5YS6F7bYyRbnZK5CiuXcGpOgYdGQsBI1P+BrmGEWPAz6ML6hD7UqeOCXRekukRXXFisuBWF8zHnSj2yplX1rv/SOhNK22IBbiV13MUq752cIIbw52g8OTg+72oPselQ0lwi69aqvUard4rvlOiyYcvygKDAGI45frsFiqBHar/Tu99QCmWIbCejeqcO+GCcfyNnFDo6BqK/LaBCgx4xSahdTVxaTwfrFrqpPk1nmVIbswGLn4ixxIxi7A5BrJqtGwxEOnNLSr24wr+RjXb8byyMLMbOrzDK6PtUiPC+NlxWr9Do2Gxy5qh95XXxwzdisKPMnYwaYSOYU1EzxTxJdxjpJJxdnqStrpSTbvFgSfuD1sNVU0NKCU/wRLlUJNA9hS4YO4qDjgvOec98W4wc4z1/LZHCkzx5idHpNIxBb+AvFec3+u98kPjx9pfjHdqd5nIfFpVVNgpVVWLnMK3EHvLjDCbRsbaacdKNlVqwgoOJGQdWLXootN/2t8J2qOndJ6kmRCPR30/UXNV2dZCgRtOwLTReLLWAEpbNMT/tVeCZF9IL3WDKGisWW/VZCZ7JZ52x7CqDvUCE6eACN0AJ+lrb5eGL3n976UTeTDKhsBFSNaUOf8lrTUbRipOvxKGVARWb1dpdXnhCccj4eTaRsPaoq904DiSmI+Z0DPLcWmoNQ5hwNiY2w/hmWUzPd3tjZ2WCqcndUV/Y7zVGOiR2zlo2TWxTv6qrx0YFeDzkURD3TYLHxp8CWHJu4SnF303Pi+STmGzzRWKoweW9uPSZ5fqj6N/c7CXlcH2jD9Bcjjkz61Oqc1pKKJqF3GhrSKTHKHYHcLQKbV0UOYT+6x9LxuMy5G2M1JhubA6RMPXOMZDH4mXk/JX0vAmvMf0mnQEzPDl9wzWjIf9awZ+uhHWbwn2fHR0f4nv4GJgEmNZVWYL/u/btSvXtUoKtUaw531VeDg2Lv4saN5mR7NhZeTGN9D5pjlUeUUX4qiyfVR3BwJYtvgnrD9FIKuV3FjBc37HvVMBXZwQGHZ7DkLDGP7EMkMyQLs4b14O6lynqYC2RJ+JLikihcr3u3CUukudMHmgGm/sjJX5/qHUO5Ve0/0/4soc+WSawaTAghGGvc6W1YZsjGF8brIYTMvTcthBAlbsiPBGKQtz9sUBHM74Js0Ag8E9kEE6VBJRna6ou54PNNdO1thQQ+9jhMcvJcB0C8HNCAb2Aq9NOvS6ZZ2cZlA2xpkNqwWtAPzZRZmcu0rs3XWqpdkZOPtY5EVYNs0cVUumAjYbPmQIXZaEVmhAPmckbrHftE+XzlntWDstD9oukAJ12mUf0LGWW2pQilU7+baA8UD58lM05Ce7C8oMcVDcjBEMsB119cwZzDfu6Uj76a1f5F3W80MXZhvaiIfJVW0mBBzZ059ciyW1plPAH1l57AssM9dF05gT0YT3fU+dEmd6Z+VzwqO063yKlwdvJSNDH9WZuBUonGKD5lYWAwIOQyqwATRSuXMXXPjteDsMtv2x3NaRXXlE3MqF6k8ejrkP+vxhU9N8lHvo+kVCrzYMkRnLbz66zMteTVH5y+enV6sn7IGMY3NzQR9NdaPidnUx97vP+8e/zucP9i/93pyfHPQSizgrokYHXbiCZexhSQ29IKKx7FUZpKhxpd3AleHr0wT40CTw6iwJu2KCjIQ8TTtoeHdPg3+Bo/iIK/nr3kwOU9mavvMEp9meyGFaksdChhUcUhkyIsY7PVlh6WUUkGIhVcXbx6qXx8a+mW33xwy28GNewt0E/aLS6M7brLt5+yy8+3On50+MENUDBEkvslJ3pYbGSdS3YBz2Nhp0COxA55yJ6pFdRKJOw4VrtUhUqXa5lULd+GdhfaDUhnJt/qVjpprY3P2OHY0uYHujNIsmzc3IJzOuvHTuiybWfjaAVZ2l4qS1sPytLWQ83c2xVljvSGzKWrUiqoEqhStHH7If3Gah9AFqyjutozFp4FFZGKgpIAPVpPBP8F+fl/97Djn326rlkuFaKB6L6FW5V+XbgzKScrfYbqFyY1nW5rYoMxOTNQCu71+sobtMZbuijbPOyyFHpHwmNETjnfNGWk+RkmGgI2fDIsHcPAnDBQ5yTj7MaKMBWOheKNcjRaKiSAr3FjQ9ir4b9We+Nzqv43di9b6SWHMEyey8r3t8DnMFazvh9p2WSUW84ssYFeyHTTH7oktTqphOd2CkgkVEkOBYRDO3XJXp3PDK0XfXqTccdo8Ka13uQ2t2Hj7Rjt3ByzrG1uDbeG/Z1Nb9NyfdzbxXqTTgIUfw0d3BD67YBCwmHiWMsolsZI2ktiJDuVGMn2vTGSxZxkKQ/+GPww4T6Iu5wr3K7l75p5HeCaYLYYSdUzoldDVCINtR5Cioi0gEhBS0lwr4NswB3Iy6rcHoiLVMZVCIzItzgeewNmOeRFeDma9Ek9msE7wqShMDPdkgiiWWZ9O261YoGkQELQwI5LD74+0cLcI+nk+smLL2dxyGbiQroCOFNgbKi+l/BR6FUHboJz1AVqh4rqaOdKSXuLTLMMwZTS0aSzhUNmA6vuauBk2Qvyj0WWaDK2TROpwiHp8j7Q8YB6NCmUGSbmxS2IHmdS5QAxBwUdLZyMY83UBTslTplbRfp09XNa7WByWEP3GFcPxyEDvxIuy1fU2wEd19TaDdMpcu4okC3Fak4toHEFBJ05nHFjpJ7EcSpyeGkuhHzIidf/6glKDhN0jKQ+rdPAX/RhphgfWHiBVsawkYu3fg7y8CjKuLa7gs/hn8mfp6k9TNj0uJ5lzCFHrsgHD71MRkO+Hx8ZqLm8ox/VtZHLlf9JuyE3lOgq+nVdocWhj4do9aJrhwnZBc/vpHAp0WiBiE9wOTIuGZYpj4KfzPJJhBvZMw+2BZOj8/qIfogvniITvVKOz3QtjiW0HZTzDCUiozsDIuIpHk6ieipTK7nSufHABdtMook2eYI1mifvQTZ4aElC9EYkeNmAhCll2wB5l3FsGAGwzZLhB+2c0DMKS2wugTYTZmJbvDLltdLbIzTn6X1kR3CAu906XeTX7ggs374R/p50+2WTbqAwceok94tcuJD3x327fDV3wPmMGkXlb4hAGD8JHBVaW6w3+Z7JKOhO9nyofy8drKKGzaOcrufgxdDUG/i6DVJrQjwVuQmcRA4XeoDwbW4Fl8jUJOGM16PC4714zywZjGOpgzecl9mczLhlvBe6w9eM/lzbYoBcLXRzo2aeX0x1YWr8Xf2H1tb3QQ/R5U7w06se6QE1ITuwjmOn6jpBy39NvKIJo+BYZSWB7mHvJUk1mvOL5yy2YXZcruFum9FUKu9GiGJw7uilSZA5imxNjzQIs4mAdcnGczr6PsMEb2+tt4eDnU3OIqq59q0z17yTjyV1Ie398+zyrmGrVkHTsFB4cJaMQmXW05KDuxXDd+c+w/cMEXE2MLvjYTy5jOnwJM0LjRCAyR3V6mrZLsaAI5fc8tyYfEKGpSYOFx66sLtXOQxzKjEMfVzkorzrSA9bAu38foN42Xh9k1gi/KUuW70UGxUvhsqYjvU/tYxcXloMOI60RHpeB+G+G17oHd7isRgI4VKjyCy5Itfo2nbmZvPIMLK6qis7zzqhVYv1xC/JVt/azpx0A4KjQDij/EXQeLFdClJ+JDTQhlovUpp136LdpwGN3tvUYnyZDECpQw4ePyLPwF01MLR2FZNV8vYk/9cIlo7vTLBd0s6KsjLR9UCly2Sm6lON2fj+PhDeTWN0LhQgnxfjZb28PnzSdJbGWnCg5bWrpMCfMRrhcmlAqYR4KGyuXi5GIy40pRv3RwyD5O8lw6R3pFFYP9HlNTSjCRxWkNmKhd1Vu1IEKxSAjeMPE7LRhnVvqaXanX43ttvPbFZ+MQDoyMzDdstp3blhToIHrBJpAybDyBNPzXFp4GtqaJZtlaTfdjOH2VZeeG2mt6a4Je0r1N8DY+qefhbbczYaPdhX8ZBZ/CmNFapfPq2dgmYT04UWGAQWNLOYLOvhlWSv3Wyu3tzR6UjvI1uNVfVrc8+qqpd2UgCihA3ysMd9lwhtaJY0NOFc2Tu2U75Q2pZfJ1OpzywqCo4NiVW+rLEPi/whw3s9hkQF1geJkul2EpTqgfT5/25v/7b7M5wO8Zox3IcSV3TvIAZ3b0AXdoLum+75z6prtbDyEg3TQI9xpzrpmeySrXrX6+OXHz1Rg3KIdwBArqO5R+PAIY2xvw+1zHJVl4Z9x71CoXeZ2m8KfgrVG/RUYRI1zKkyD8t/GjY83ru56waEh5TdaGzBoNjyCUqKr8KQrRpNap5pxDH3QisgvDs6tU0aq0c72DsCrW7WiFMBI618CBgqAMNw6ZK9nHc33RsS0d/TOm9jcspJoAEDjSZ+htm+sTFstwatlMx2zz50grm8ceJbsQy+1bWq+RPxIbcn6dMq+raaZaO93bzPaGdOLGsTm85EFPaAsmqC5gY5JqRwE3BZCceopC0fVX1yXZDfoL1m0aczjusgF0oJICUBHu7hx+B1j85Lmof5hK8g8wCUcIMsNdexvWE/e6g3wjyo0BuhHxbt92steZKIrDWZEIu2/HTLA74k4IhTIcnGDGPWiFZrRbuvUPRzT5OCXu3Qn119q6lCmilkun1Jx3Or5zyaF+QEldCp2LyCYWNRcHhdch3k615sZvwuuBwlV+W6OjuNHayQ8iufnQdni3RGwnBOnmcUvDnitXuTza5Itx3lowTYVS9fBy8XyU0U7PeC/Rsyo7iTv5fcTJIoeHVG1t2MX38cvEoYkCZxP3z9im/3KmNahtPFfITOGP2WCUlF0bKupBEzlFnoSQ65l3cpG84LRlJRf8aZwaFfOAxZ/Zbm690if1ecCNFO1ois/Iq/a3gS2oF06vy87h1GQff1Oc3B8zOS433659EJ/XP/Nf2t9/KQU5o/0xcn9H/73UP6iYwWo9tcR9wad+bo75z1nq1c4fYAcW9aO01DsFHsCphNJg5cn9PFxkq6QZKz+CKGcM4YlR5RLKwsVU2utGO93YyBqq/li9GS4mNzbZ4ms8E1qgVJUfYnfYVnFc/LuFpKVENHX5rGUltO8xADAtiCZA3UUDA2rUUa/JXgfMzGKJvqB4oEshLSZ0sQNUz9n1mlyCuEkrYOg78rJpewE3pV0ezP0ZmXys8yp/2+YA2gnBM9JoX63YK9L2IsipstUBx7mmaQE5FkJm8sP5vkZ+ubu1AwG60tGqen9mu0Z4cLgZCVaBBrx54izLFFaQ3S6vmpNpXVkawVpS0PNEXGlPYUT0Ev3EqVcul8KJawFjLJ9qyWl2pt7wRlbYZ3IuUIG/w/f3oZiVSbng59Qf+lc62l4MIx5AJlhDBqZyYwgLBC5BRKZBRYDAWmeNBASlVjRs1NCatYZXUtuJt4/VgUDxKDGcKs0D4k9rpfP8M0fNNqt+jYoT/WyTrEv7ia4T5BqB7UQjtC/uuwvodb6T1WzPvTDMbW0wzGIzEFsd2ANTxj9WxFUOBree7K5dcWa7dibtqsvUz3Lqqpx/FiSipwaArVB9dfzggsD+1Rtt6yZgjf2pino1HuEJwdfoQ1Di8ZAf0H0hswVHBSMeI6Zw3ITxsaK5sNN8OIbCqJSSKRKU8Q9bTtpdyhz6QXZGQxkwZ8NNLbZcvuBcPI3AAQwFj4dNDfufMHWynmKiNlgEp1VcyKmCwQTrrljww8+/HRlpdTMXuoKgq4Kav347FEzUG4IXQfbN52P3K3I92dVMpDv/OttdWWVuH5XOGkOAoJgz9h3KPkDgc6uqbx5TsjXQ1zt4a9HHAF4t11Ub70SnqHeRBn2sEVfxdcLzjKkIMRhM+jQaoJJP0xfmt+KsDiKXIbs+TWuo/T5I6LW/OH57AHbJUOw67BE71azCxkRG4AdtlzY0l8r+3Fm82N4KJ7sn9y8e7gh/2Tk+7xu5PTi3f0yfPj7iHd9bmLrML4YcxN7h9OHPGyIoyygxIBPV1363u+OJlf84d/TT5wzUmSiyNjgh70oqAMQPZqzmuiaXIQseCcMLJpulhlnjSfzgaUOEZG5GeJemDkmeS3nOXU1IWzpWwd9NlRcMzxB7e9O9I3otQmdhH4yhlbODFJ/lQdfHPRGvtxU86+kXU7hOl+NL7kio7ZgvbmLDV0UnsGyYN9uAzlQeIAJQaIjJQhtzruj1LuBrcUWYXxHS5msL6FdoadgstM6mrxI4Hmu6R1Zm0SMQrsDY241z3fj4LLBY+nLnyTX6+NZ5VhXaUIb9jl5qXWDJWttoK9J2beUuUUcPpWjpV0uOc7Qbb/2UF02HqrRxnX5hQFb90TLe2Wtbjx55b5c8N240QOwMLUHfa0a7OnsZ6eHuH0Z1v/3Pm6Fvx5ysG8J9vwm79uH895u6Mt8UyL6cGGAYvWaI3YNyw+yXKuR0sOsULACwnBpccGPfJcKj5gTTD+jn8EiIY0B4Ggc8jZ8k/vbCn2otW9EhCWUTZd6LCICtpZQ7hGKecG5oav/cTD5N6zxBb3vc+QArWmkKBRWNpWiKJDUsktoI61FHlVOssaWrgXu5wZu05HU5pizuK+2W2bXHhIRrbr4SbtjjpJxsbg9cjfs57n2pM3WUJXTE0FCcehQm5gF7R5snP/9poPe4FlT89Y1c/hDWnWSVSbYrbjgTgAOae/mGIQSyp2w54EHjGth+mA/Aiyrf5KZ1oL92aytexqhlAt3wN6kLdkzPTSo6C36GOFpqNkkLL/yg5hfp1Nkiy4MdeGeySmugCy3nnB1K2Fh8/j4Qw0tnpyZcLylrBYoczplLwoOoy4jkcrIM67vYu1q/Ozg7Xei4szOuHQD0TbQx4hzQ0GkzA8GeZyiwNIWUinaXhOYzMDMx+bENNPnEkCWRBvcFOsenB8dHbWPY+C0+67i/P9g78dcQPUxfN3r/ZPXu8fv+NivFfMUcy3eXN6dPju55O94PDiIDBJTC6AnwCeNjxGfZ9SKvTvyBPbYMhb+mMz4n+0+f83mXJO3yjEkSvhqMSw+/IxNwtqG7FgViHFTVPHpUh0ADcaWlZ4CERDNICSfOJQYbDljvUHWAWO4QbCqeoenHcverSnDs5/Prs4Oj1597fuzwU4wQ8ce+U0KZMg/Ha7rqxOtor3QQVae5SFD1W8Qs/ylGOr1OD25Ut2CTtd4StmCRK+ILtZ6k47dszKg6/5U5QhYLw/RWrod6fKNCcScXpGtzx6RxaqkQSWAL7ulxUtVlyPU7+kRiY3DAkykJwPCvJMffR9OpkB2WYytQyuEQf3KOVVepSGWtaVFZ33JfVcxOrLYOg6e588w5PD3rtT0k3HXfntu7/2Tk+YV8qpRdaH9ipG3VumHM1P6fslijJipu98MvoAcKWxru1h9w3qrg3LGntbixvSdjwfRTVYW6H/1vjPTfmjjT+gAsu+FO3Rz/J96JYl76cWPsal4e25X7AdzMiOmT87d4njpZZEyB41m1aWF0bzczKTA9qBhT4U1d6IrGh9aqxUYvZHHNGU6QcJji2Zgvwv0c5fqI9xtdbd7tB2T2bcosAuUiN4ORmrOpBY0FO08SodG7kNHC3fksX9GFUWqiRSUUkgouoGRnPfA1JsK35rqmtgk2AVVQmFJnK5TIkNySDniIQzkF1M0tjKS+G+w332y2JRJkNSp4PZ3XQOu50EZs5qjWOc+0cIl6A0EAGMidXy6CYVtU4W+n63F788eBUA2TwHM50ruYIZHb7hsyPHHUamrpy5cDlIgaz4Mp2ec/HX3WQBcPbZBAdPgjE5DGZSaThTwgj+iboS4knQPtakO60xO4pJ1kimWUxf2prQRo6di8/JgfrA/eNAZz47P31zdMgGnPzzeP/ixen5q3dk15HV9u7ocMUXcmZJUzKrTqskkNJ2gT5b/mpKHRuMEtP4mRyMhM/dlKs7wwZaczMEorg4fZkcmHbTnHwvAdIDz6HF5od+mZS7t4IaH1qQ6A8t9ed2W7SDNze1C6XPSrIefg6oZ3833UyH3CApAskEsSQUPT3OSCQX/T6TRq+0SsTrpO27F7z9Rqbu7Tfs3Lz9RrItb79pvB2fb33bCmrJZdrfbLVa36at7f7lLmc7C02aPfM46+MNJtM751q69ADpRRIZNUhoT3KTQ04eU3pOUpcWXBJfO6jR8YC+qWqLqDSAM9mx1lbq86wxw1tBoVRPxT+PvwvLyssp//5oMes/ppl16VrBOnUOPBOPGrJbu4y8Vvcs5UBx402u+knNsBKiejzb1v44WIyZGm0cuLAf203sVqeuNW5kLRIkT5YB3AqcFQoG5crX58euDzbkIxtHfGjBK4sJI6CYPhCQ5E0aY2gx51diumkMGG+JrRTqJZJZNadknNHKRVNu2MFYHxgBvHTSTjd8LKW5R7kjRdYMtoT6x7khJB7pXHppLzSFKGmJu1d9Ce/D7QRFi3hHlnHcKpduSbJ50vHc4zAD3t9CSohv6Ad3MLMnl0EXztCFeVClAcAJgS47n/c5aBb4TWIxzTCD6rffGoRLW8IXOWqrOzFXga2aoPcJiRrtQeV83WI+431tNElGkv6xTONlZY/r1UhgAaDqFV1ofNgTO39pSxk2FAbI5HExKY+jiqDvMvimCi0sS3kYLZMh2a48Bi48IhFYcm+t0J4YTsspGkVy0hRkC5TL6zHVWAWc3eJMCeu0aanU17dbkvmwlSwHRJiGBGqM/ja8TflIHC+YkoykyTMrck3wqKneT5ieKvXEnIRsQuuqB7M2/oi0gRdCWQLJhn3/EObYl+JEflg9PJy/0AD2OPmQXSWSsOGn8N8avFQI/dHrh9WldTGu6xYuqQhNg2kv0I4NykKunjKdbqWtKTIaKVMhtIcRlIfUx+/l8V+juEh1iJUdgyHGGMquauxOElrYE53gMecXi9DKU8bHFzFqB11X11qsANp2o03ZfWDaTtPbwydAWSRZhyS2vyNcrpFDr1qb/HzOzJVOcgN0kkkNMXmmF0o8niDralGML+2/HEf23Kk2w8llZ4Dx/EDoLLzejPZH4/gMI3sz3dho77YZOf91xeD5k2KkjNHx1KtMJCfsuW09G2Rz7Mdnb7/5ExnYAw4IxBI/tFPNnozs7hnQkkgXGyKqpxX+bJRNuea9QPno12JPpYNTexyPFyj0VZiYbGgpGtrNZmDLhCQI4I1/k759nnAzAbLk6C26SUbsgsMpYCYk1PukebFxhwvRF2OOXQGrnY+HooX3kzleRa0oTCI6DSKblH/ZdbTZivWY9AdS/y1Fmjill1zWwp5Y8sWu+V/VwDrVuWEMmP6Ai/zsvJFDI3e0P6ev5auoYJTVqw2V0Nl5eqU0QYlt8kr00BWL4R+COJoISdTQzkHMi2ANKsW39/E9uOX0JmXFFtseKe68QGpKmgpZeQB/YR/rfZMmYJIiOR6kEuAg7yyZwh9xhRfCXsxL3E/5YSaqNizZU8tXqSBh0kvBzszRyUX3/GT/+F33/Pz0XFEZJjR+mDy3qKAFhahpLoRE2W4xTuai0hgsqqS9QS5NPgq3UNOQyECccpDLFHfAPhykwcZlOmz1d7Y0f8lIIGZL0IIz7w+aaTnAwkAkHemmkVcAzgpNGS3Eptw3FFFxyq8R9CZa4s2mqch9LsaQ9P7hB2TUTFMO3Rm3IPF2E9pavo6RtHRLlSFZJcDRnwzvvOab25QbeeQw5ZLVNHnvWDOABUKKWOB52FKkfyNfTX/aCALvh1yBnhKZ8lGimK9muSAWw3ROJx/q6lSvMJW9wuVdZmNz2mhRr9AkD51j5/SP1C8ZP0z3kJdtMpuNK/yGqV+8e0U2dsyi5mupPfvG7PWoqf+7hfVlLawVWkUOZ9Esm0azQFQlgrR/zKHF7uG78+6Pr0Gip9JgNOdbBoVVhRnixieTMLhhaeynOAqvSN9wxIyl1mnI6jEXim5j4RKZ9DWKVNiqXkkMiX0nKB5QlVPJqBxWNafnh91zhINenL4+OSQdw2YRMuZqD+UpK39OZWgCgOwTnhRsWkEZ8pxk8uxQBCwGq3brQN3LVq/pJgrxT/QBs6XHiRPt1Ud3ITuD9KqjUWR7PswPodND9RrdxarK6Z3yz4Htv2xeXm4Pd7fIbHtF58VkuD+7WvClHC16leVIyXTtgt0khi2Wp6QqGJAcd3gqNZI5u2GvP81G23yajYZyRK05NEW+JHFatRcbdsD4bEK25p0B2DpnHTlLZ+Zjjk6ks8+0rbSTce3ih+fNZrMQKrNVkfKgJa12+2RsJAuGuJijNWAY+G+2rBJ7kZPlEPS53YaJpzJwQl6i/AkIe2xEa8YRQaKxlIsqsa/ywYp9vsAdFqaaNP04Z4t31RxyroU2KJwSCUcrQrrCEySV6SV79/X5seM64wPPlK1msyEqEbNKDfeZDl7YBWBTdIK/xy9Y1uJTrZo57HKX2d9jM1iWYvvleJKPaeNyaJq0Dq5hWkTyt2KkMfk0izmTljIE/ceYNNszshJZjcWz1FhqzCyOnETnXrEqvTTnx3iW4osZ2YlsTdlfwZxEt25f4HRsKMjumwmypuD8ZeODF9BaH7B7NKzXT23rmOoHCd8jvWZDUA9ZRA9waD7NHqpug/sI4Yv7gr2lxLWUYns9yphocCslG9n0nImYNGJtXXObGbS0dpJJkFWQKxCOxfqTofRnkeXvUDxca9X/vKYfQIfz9vHbbqDobPMb3dHY/sg7evTMytXpI9oVMf/wav9MZ2zcqfuiys7BfQQ/wAbrJ4y2i/gW7Ww40vaxJhCgtZFcIkJqsHdmSe+NduDBkJCwYV5yUzDl3ED/uxX2Za2wLqwEX6ELfGw2tqCYQW25qRY5WyeqGjr0UXG71QXRTZtaV6mrt99osDnOZ4Mg5I0S7gmVcczB6RwQvKQmx2lINtwS7RbIERBL8D3mxG2M3gL9hCQX7Tx8KgFu4qNS/XyK/tZTWzR1UZfDZPT0R+II3AqWgcAh/HDx6riAnMhRNnSZcRqTr3jDSQ+2k9RXYp1hsWCsar1N++YCsVBd6Rj2IG87P+8QK1umjVPrl2hSRORDRNFT2YxXfiVYLlAQKw+TzzAF19PtnXRrZ8ipV72blE417HQO6bX4bXx5wcx9WxEXlhb6+ImC8jTjsF02DuWTh8ibTEUWqepkAMy096mygJvSE5ypLF9aSsjMnNpX+S7DTgXhSUG9g0TLmoLsLjyOp8kWiFXpXbgchNwSKJQXGYyps1Mys7nMnQ7dnE5dPgFp3uYSFtY6ElJO2SBLGrTWaxO2I9fwjkXAYS57m7M3NrWArnL2nXuvoLvddfHcLTNW3YZWJwqPY0dPaKJxwreaa62NNYFI3uisNzvtrWD/1TJbVhZGSNI+AFIeGtN0qCQMKzxk05g3yUeDcg2SCQOxodxh2gGFVQXCIY+LQ3beWubBdUIizDceF1bafwxPg+lJVEJru79vkvy95dJk2Ba1xpBUIPcC84g8Ht+b1gak8Llhqyyz2gvyhUBbmGALQkSxv0i+nCm+yFs6dED1+w6v+fabzttv/vSnP6nKNpUq72Q23LfOrLDHkblfMqDtnJdv52hUcjF7vJGYs8Y+LRvih+ub2y8+3Ga77b/3x3/7x98PTravu5tn72/Ppj8O6WFtGiRtIwZ8o9UZ37HyuL2eoORqUtg3KMLCaTl3A3fpXJo2nvbcjkrS14UutCoLgdfCRrPcinY3t7UZ5oa1/WWiHXdOMDkSrMxPzHqcyaIJjIEg6fnmVKJI565BrygKCpksP4cU8Q0t+g+nUxQHg48oEYAkj7P8EYgQX8aaX6Wa7jfoRbewtDKYtol+K+KaxhwXFvVHd6MZZGoxy8doCB4kjJ8xV+yPxLA9+6TQr5Lx5B9hLs6RqQ7fAwWrdZDmBpI8x8LR/aWiHE7x3XKH6f9M5nfz17GIuRVNNqQcHGbzmhQlHiQaCoOTvnFUxsSmkuIPre31dlBrbQang7kUPtJHLbKT/9Da2l3HH1u7+GNzh67bkOuQ4i1rK9GaABbWqid9WkGFctzH07cS7fA0pugngQ6lp26vq161z3pGz+FtkUn95Q1UqBAkCYs7f+EOoVzyM2KNFbJeohIawTnf3pTJeF1WnCEW09RmtEv7Lq6GPy2pxkbzM6zKYXNzZ6u9wQFGNXj2pxmbO1Khyp0UvQAhT2803+rfj4asGAtnMseB2azXBXF+hR7yaypC2NRPTAhXmNO37sX7LZXjo/s79xHzmPUmuQ3Qk6DaT0rHtTHcuhLoWYz5WJMGZuwhrwaw3KzDjBl3Uy5+HAbVQr+yoVluG3DKXDqj42v5pogRURip0Y69i/1XZ7133GDwjv9yfnp8/Hz/4G/v0Dr2Yv8ItbKT26qR2DUWIp6pbEDGLGyuWWBY/mcL/1xuGWJQgrgHDW6aPB2zwxITuzx/I76BJeg0+Cda8QVbVgigy/2myzpNeQ00D7KMqNNMIxtwgkbmQyqa8Azpvn4yz7itlOcWsN2o8WM0xYBbFhThDNh/vEU22+2NdHjZjne3WoN4c9hvxbv0//R/7X4rTXa308FGp1xr0CFN96+33yAX8c5mBo3Wa28ML5PtJIkH7dZlvLnb3oz7/fYgbvX7/Wa739/eWd8gc1F/n9Nv/svejJOEuMlme3293Wy7697p5OBbKREf2BrEfirJXsX0YuNOqvCC7NIRq0qPOh8Q5mSQSji6huvyEd6WfLyyFdCrLeAtkYE6HeldGm9Ji/2bzVcyEzhYjrnVI3uoSWwyMUgzOliKzECQsOPfX4AhnD7gLR0h21+ZSg16m4VqPEEeRT7Qfm3ojkUVwGC1tFo0pn9M+l6hJHYUSiKsySimUnrzdWlJi/qkbBv2DKiewtVGeuY/SqmwRwCEXM/xumWw/99Ns1/cNKseB6jIgzEjWQnbak+6NPxVNzn3+UGFkiRJJonmiRUot9zFUKwAdmXl2gryBew13vLTLB2ktbzesB2oFmVA3TRNFdxMJ7NkltFWXIyRwE586GVaURJpv5BGFIt/jHDUKHKqnPfxEj0igENqf/L5EVqCe01bpxBg5eKbMgivVppxiyFarFZoukzg2+BYqWFiSNhrvPBDRUoT86/9Wbzwl2T5Xu5ukP1XskNmFYmiDZDbsr58cXND0/zP1McEUjJ4g/GAqjiPsfiJULEV8vet3fvsvXMtkdgfJ6O7eTbIOx48p2JntFq2kgJQ/oKPyESwWhUZWqNPHsz8R6T3SeMvZlOuSY5NXwNPTp/+fA9i5Fj3m1bJ3G/xVUbqG306vjgxX0IFHKdcVCERrMl7bI9b0axkGaHFh/TFbZq+z4u86gB6XNJYUZwLc8KZUKl09govOpaouR2vt8oWn3kN3vv5FI9UyCI3RbkLAEncJQ5+Qq1bRk9gEhfeIhnTVp3YriHBM4toE/2TPj9FnIabKSKjkHT2GRg5HS/IRmSI91T6XafcVTuMCij92s7hh3w01y5QuwGrrTtvNRPo4WQJWRhPMZ+SqtebuzQ1He+Vgqb3UvyP8mvxZ/xi/Ke8Gv3FlOSyO3wxmZNKaLUk/oJ/gZ2TAy8gg8rmjUByVFo4o6um8nANwCBnig/Ab2rFGkpFizD9rIfXLyEQQxopRBmbcFQic+sBBevjmfJLpx/o9dISoc8XFGD5ViP2/IhKjkWS6p5P7GMWIyo3GT9kLP0i4KqV7fhQjtxHWDXcJ6ZbpLhRZcH2bMdNOrNY6KWdF3ibNXwK7NM2YJ8iq1Hj9cfiQP1ucT1ocUH6aZ2VJXtGS6pmmFYuSxyYHpxxBgLV2QrGb/aOmlbaJOj0Gm0VVHJJ6a0+ym5pMRS4UxiEIeZm+n0MxiFGhci9gfqnjVV0jUCTt51P0spkqtQwbAkHohOYpRPQP0YHCug/6R96fwZR1sH+YXdjs7W7CaOtzxbFXHNZ5cE6Wxa61y7uesd7iNObe0ZlNoM1siDX8Kf5z+lZ/nJdVCz9g3FyzVmITha90PLUF8FEcaJ8jtG1u94fJusDMrqKSyuVnrq8CXBebmgxlTfWIM1qvt3Sf++Z6+aTBFCW9OvYyJ20afdHyfh9Q227bICmzNviu+6hlNLMAojJFtOnGWw7T2u+fe03XeZLmmBqaeOqEUjXULFfyFVX8EcJx+ZGMZ9jax/v/lnXYOoIKWPTRvlAz67f0/joxtwlI1vaiYsHgYAm6HJ+pdqZ6+P+f1KH7urpwD3vP+U+rl1OJsusRIapLPTGkqZ48npEQelBSyKH8BtQOpwx1J02c4c5YuO8La6gz8h7KohIpzBZthlUmjGzXNgCJeLjGnlNWTTsFNP6ZYwg9HFF2qlQ7rYtGYTcdiZQnp/VU7t3fz+tGm4IIM0rfcemh9bQ0Srx38re2aPSDNoEhES3ajrzgRzEwhZr0/ZeTWo8YpXotYDJnnO580rL3Zdp9AhqG+zMbag41h+05JZI61IT7jENsMu6XyNju4W97sXF0cnLXvD/VV4+lBih8jbDMYPcyEsU+2Pn1RZCsyi0Tp71t7n+60TUPt2q8u25zzUKf0uYcNkNQ6AJV2RhM2emK0La3J+sOot9sdCe0Ia84YzOGSb5dX/C6P618OVkopI8noCimlc2rN/XCms9Q2hOgSnIJzfK5aDq0dWUlNSUoVjym//dgCoqybWbW/1lY+JyfMam6Tb0CqxD81TW59FyVe4rcrJLNTvqDhE8p3x+1INMCX1QZHSTzn8ZbKuqF7HdwSLOlxyxtt3ZHWw4z2zLcwWVwlteo/Lp7TpfRt6gtWApSrwgm4GiAOeRjTWF3L1DDgkCPaZHkJHgdPVHOL7pWPgz/+67RgCyNS2mGUt91j8WN1OL9CYY9CpIhnjs5YS/OizI13P+gRD/5XuVBZamXJld6Uq1pmHu+i312utF3x6AIjV1gVYawtGwxJI8W2J5hKURhYZXLZfosySMcU9mWHiSz3AotZmIMaPWAeeB7d+WPno5gBP/lbz9x+rIcDPY2CS/EhfAJrw4L6wQWYCkAsrPvkYG6b4/dPcPjSuSjeP8mnOm5hZY+BsTT50HgECSXvHwT6E3CIi16c7lRpOn4ftUOH+bG/e5GJLrGE4GaJrKl7eGm5bkcWHPic9ZsNykBfYPJ8lJ+GgXAfKANr7Pcwwk4n+8/7x7HByeHrxmVNjeqoZufaOQHmu5LXUk/9L+v3+Lsllmi5tHqtddNTlrmvBEXkdnhR9VL5rUWIWoUKdjC1HDI0EsLCxB6PpU9wG835OGJZpwi4yjGahEufSW2uX+S2hEzVs6UyuYz40tJhOtDcyS/89TFHV2NKg3NNyAfIgtHXuDW9FVd4l+DS0ikJKfi6ID5h/tXxQWnB2+iNy/Gv+cjhgWbHoX/OfZMa48A2eBiLHpExtmOauV4VdJHlv5LRvNJy7wg8L88dyC1OE3e25qp8ksN8xxArCk0AACbiHCKjvB1ujI2fkoa9eohq8Q2vw/afpWjRcyeT3FBqopbDO74rrfYgNMWtrmHDWkrVjXCtLHbqjIedND3TORoPNZ4TGWgNskZqStdR6rdCe77o8983Ws3cnyL785ma0bVR9xC1C2+i97ke700Dd8SkMvnvyVc227+fRGWulg9tppJzepKPsiO5vpgc6LDdPV7mBUiJc6oqNSA3Q9MoGAkA2K2U0yQkKnVuyHVoTSHq8JW/I+XFbR2P2iECnnq69o+RAqc8XDQOmfqTpHdXf/Tv6y6m4Y1xqa+mqJajMhGy+4MXXtg5XHcZ0oJteKr/Sg0xDugWQRRBYLliG3bD0WhEUyhEUZEeoyycAZqdDadtNSkSiGoy7ns2eFDneXVrZCYasj8kLhj2YBWdCS3P5jc8lBzY4Df+9QAuTI/tdbVYioTMMgULWmpWz0M/qHX7xWAijBxXac0uVg1e0F6bp2s7O51dhqF2vm6LEQAPxAbSW6otFo/NtcdmCK6UpoBW+/+bfYFvzW/isJNEz1pXC34ks1Sy/1OOCG0psCqcB7J//fdvCV/U/DR53xLR0QMIBkpEAyKa43g0TIkk8Eh96D5sHkcUMhY+9eXRdwKHiPsGknfeRCqC6EbCoizldT4iJGfV+x/UymQnRM8HwymXuKxkNy+ddqMQhazQ5JwuYuptCujMiWrg79gJwcidDhMn95TgD+wgjxDKDKbfVBZaSyPuwK4SfVV5GJNz6JN+ssFWt21dZYQ5imfTOligzwIU1Gxm4SpXWZSnTBYHAZxJhsENuhisnL4NCuzsqdJx8Sn4KN9nRHutvMC8zSQTZ1vNiF79TFSfM105e/5mjKcwbYKO4ELfSSjbZEmv8daXC08BTLspjrXcsbrPf64KDb6y29bVEdtDvrm53NVmNjk3fxbwWTaAUgTPwdVMy/5E071aNadrxuUv8fLEedsLL1w3/vLUcUw5M23ZPkLPCfFC5Vqpu7u9vNVmiH8C+ohY7VYdEAA7GqM4SC/fdSfKKH0QT86LkYzNAIgiJnwCQ5BphxG7L0LqFO12yA/60h9AeZr35LQXSbz24Ej5L7VSaqEbqgJPdVi/dxUh9UpZ5DhlHxDPQfVLILSo/xzjB9kB5h5uz6l31OZOwwPpH0TAvtaUQjMsdA+KiDiH7Ax9C/fwX+Bru4oDGQuKZ28dvairyjrfkJzv/4liO51nZltLsZmY71/3PiwXzaZUdKjKcaGAzuE5dPFJH6Hi8C2V/x5DKeoUk885Ag2TG+sgVGnsnI8692HTeNmeg5g9p1rNdlxyulo4xwYp3Vf05Mx49xMi2El6lIFFHkmwQ1st82m1A0y/3NQtPz64uDoNZsd1rNumnWRn84hzdifnBwSXas11m32ZYMA/99a3WXnQnUPzJ+L1UVspnty2HSTDqNLa893QurN0KjGh7frpAlN++twOHVsVQP3wVHTDMg6/RDT4AFFVITDc8c5qMzOf2nq3tvrW8E0490RA/nNrNtfso18fAu2f0tEC2j/kzi4V6W5HKWICqYLymehm+XG/rswfvg26Aw9ppfZa44Cvz5q78drzPDgzE+0e0Z4XcCTDumhwe19d1m8JwO+jEX1Y8+DLmabAYY8dOT4FX7TbBxvIvbHo1lkiJhgzuYcLApuIjphjMgTRx6rM10PRIDc/e1mZuCM50vrq7YZuG+da5OqIQE6Fe6Djn5SoPrINRbhgIor69hZmNpfU3xGcC1RI/C2DgIGA7i6jzCsMSol0lsgPEeUO9rmh5QIcfA6xyQywXmjHbQcFIv5pUlsECyvdVq7raaQW2AqatL5Sx/SEtQ07AIbRYy5fK6qQfmwjcBYkmXBBCku38KjJC514elSK5hruJZE2EVTXE7Y6IuvK7/ngn5TbeBcMDnzLgMhCXumqE1DtYCAJuuSaQwYP23RrPFXa3vxxn/MZiRfx47kxVZhsGCMw2Xphh4lnGxYzq8clg10IoqJWCex3pbFeW14vPciNoMVeo4gU+jGqXqh8kcfoDpHAcyzRHGpx07NMbBNRmDQ+WCYijZOChMPVM9kfNDPiVXG0tVCleY0ybT9lag4yItHTm3X3DSXOIsG2P21G4xsu96/dmMIN1/xQpCav1IEDYbW+uN9SYd84dkiq+BUEUeevq3Pbs0Ck7H55WUjotWHGaDeW7bJBgLGKI+4eMFqc8zFSUVQ1C2YBqYSCfXj5vNhzzA10ef5/k5bVV2+V6lSQ7KUk3bHZ6+6vi7F6C/2RhIQyzVqoGfWdUi8MX+l5HbtsliPrnXX2q1gpqbPto7U3Ll+VtbIlZ/Qk5mu9WYjn/PyXytnMyqgxvNZFCQ7a2mntepoBZKU9QOfyhbuDad5Jnown4+GS3mqcbygQ5dVFIGFo01UycIdU99Kb2kh8L96ikSHT5PgI6wf3a2f949rmzz0uZWMrQc/ClFoH4gPFeRZm8LOhDNMk73PaDZ+AVKaitUnSiqUlL7TotKucjmpk78Pl16ewjEfikSoNMVYW7uQLQhvonw9rlOFKx8jXavWGu45/oG7V6xifgzNXIiYxbdmn3dbMm+vj9ntf4ZxmZNcDesDVbvBC8uzun0RgcpCuWV+YwuIdeFU0wLnL773V5dueMGi3w+ucmliygA4AIghkw/BV0aHF2c+EAfjNmqyPOasPCMpl/S6NwD/Se/zY/7YIkIzk38NLIfHdBaPMYWjXTWyFm75qnZbG212+1mywLZovXqkgvoGBi+l4xSPjq5hbA4y4xRMnfuUhhzxVZxroM4lg2ps4m/C60i/W4wSmYWyVz66Pa0XAEW8tnhC1Ip3IRMLuXReMBUxbRih/tn4IJnggnyQ2VtlJNBIqtBl066yc1dpATVPBy57Cx5HwU/pbCiIIJH3PI796gHeWrT7AMS0PSkPenMKxrrkVUHTNFH0x58JKXc4H82G+1g1HdobG8MtaYvKwcCnVacTsjqabd7FGw0Gxtb9HhdASvnMpWWrBNectXgX7VFg6Nu5GaBxjzqR7oI6VCBkl73DskN33PUBahvjLw6zA9ycvguwk+8LYD9bV6F22M5bqrYh3w4ueCM2Vdqvhb3oWpBJpqXmh80V7LkKI4jHXjOZcG1Rv7ohb3pi9R9WABHzgwMMBuTWyUalvnNBQKiUOfK6sB0VLDomwSV7fKWFvWc07Mlr+JA3+ePZDZw79NkkQdXkwmzZJwB1aVhq2jxynT2tfh+fIDEuj6W3cJXMh0Y8iwzXfs+9Do8nwfZXPYRd9MrofLQAAhJdQT4TLtHDgpj5i4cp+jLdEtiIW4MR42rzB8XybZ4bRuuM00KGLne0xVR4LbmZ5lp2NJWL1/gTbOXY7oxytKk68JjGEHfBi+6h92/y/zloruHEv5nlClu7JXh2HqiRviATa7bVD3vexoI1lk81ju0mdbcXmIxOTrTD1rN95xR/Fj/DEO+kKky0+DyYRzcW+doJSst8pk7ISNp0MGGB3QlbfJfJm9iltOG8+jyX1zM+PTXB3f+he86l2Rzpf/+914h1ei1Cl/OZ+6RhoNVjhTa+kr3wt6Wfx2pzHf0wHcbzXcbW6EHJyYhY5KKzeA6GYq9hnuxuLD4OltdBR/AY0CJ0+p4vo3MlPYfAm7Ow7DjLn62bD9Y6cmFKPteN6nZvsfpWS803W6vf5Wm29+bMu7JJ7nz9Md9el5rMz7f8u2vx9lc91op5VNZjTA2vaKSlTBKL1FLvsraih5taklgyKqUhzYkl1ik+dF8vKfbS49r8kEePPIwll/31KupqgxYU9bl3c242XSnYWVT7aFF0a/5MjamC7eogL07MnRE5YNQKnxvFbxPqYxWHnRLzjn1Qmqfcc7Vv1IPSnlX/Ia3hJwjj90WnarJriSFk2nuE4YZW3DAUmWDttJGTcKteLFF2TFt98UXqMH59iXk0lq5dSPtPHZ9ujluQCElTSjmeFS8VMXxENhqNZBpE3yCJHKbakH+GGhptQCGdduFbAc9+RhczTjXOFmQ2de74fm6SqYScqruQbEeryxBrVqnchoX5o3vPNaycf9pOMhn7z3gElkVC1PCxLjZFcnbF+mpKQ5KZ87wx/OY6FOIczyfxLKqpo3GGQ7Sam9v86wsyE/qsDlJb3u6kuitsUTtxaF6ksUC97rHv2/trgcH+1YS8ie12GxvPC2sY0ZpDoXEHAUsVAbZi5YN5dkG0mKukFuar66FP1xcnAXt5gZHyxjhS//dDF52T7rnRwcNrSvW8rfhZMF+CZLadONBihYjekVyPW4zoc0QQ3Gcjr5ePrGqIm2g5kmakguHhXxEtlbEHaYS4wBBCacg74lPeOHKgu0ra5Jr0IXWxLOcMC3aExrZa/4os2uSEcW1Xs6LJE/0doVQwtgRFcbCZZ6mdI9Xn0SYF70maNoG+N29iG+le3wcyygoC8B3Uifpu//DTNDvLN+hvKjRfGIbcdaynyryEusi01Xa2vK7StH3wuqJJBm0iT3QTSiAZF1o1SDRHmdfjpi3wbBDOJjEgS4oUMnYBld6iSW5z5kzdsxOcBFg47sF5quOGiOYepx5Cl0aB3b/XVwXJGSwmM0EP2MxTj7Q1QJrxH5Rimi2aW5COCWfjBSljAynBXluP3EVx2Q0uWLEKynxZZQxetEP6TjjlbHIfDLjaJtg5P2AmX9nKPNoOIZpeUMWnz6dWwn4KgUVK3zKS7KSaQSnfDhpWsKJq+PmGSHzKA0gHMRfoZOUj1xWlqdspAZzrgaykP/IS9g2gT5ZbO/doevRSgkWDM/znkNe8JiGaXbEGPgC7V8VTVGcNYe2oHPI3+RwxL9CaAQnxX8vyFptmFKrn7pHL3+4eHd6cvyzzKd87dc4fVFJZ0HxG9mkP6340AQ5B+6+yU07J5+1LhNx39YM2RcYwS3XJA3b4QKjSAdkrC9+nfQzy2TSbq6LuvFLW5WKQ9UQy00dgRPBi7RCbRhRnBYTPx7X5fcENTaKQY2NeL38wcbvUY5fIcqBMxK2nXqpK059uwlYi9QKu8rbVNHX2FDaQ9ZfjMjG0eznSsvDufM40elu922nlYP0j3458lNg0wovlBy/sUe1TOI/o6HT0WOAL85mMqxhylgGdCFPrQyeCSwE/cbrXyXr1sRqv/w0fv0TuMe+HB+Pt5OCFUZXcgfNunSn0d82vlL04vaxwi4LWvOiZFpI+WtvAsSd1cowYm6lPPb3yFcWeWNtLRX58Bd44EnRPNYes5VOXmOlNNaaO532Jm7Q3O00URrsIlfiO4q8vJS6Dxlnfc/ryvTvh8cOtdGVVqXG2dXWxnpjp/1lwDwwxfEf48IUG6ZX1iH/bcTQFATDwQA3AYNUZDckUkhmumEDWoXLP54UcHDpsx8XwDhkuiXfrjazj2kUef/4MeDSbpHKwqZ5WsihSiO8VQo58Edxt9kuMsYJmyIj9wOlWrCVc9owo+SOHcjFeJqNDfDAbSzkUHmZ3oOdKHrOQisFY4WeFSGlQykbFWByzXldDCu8Zr5oi8kM95Xr42y1lVVXFgcajzQUTNYF9+kI9PV85jn5SOXVDrxGa7iepkAzojceCwZLsdjUxQt0siIphvEnLPLx</t>
  </si>
  <si>
    <t>SHK0ox1zIaoBdpDHyDP1AcizXUoV1kwckHNMkIf1hJoqus2KaodDzf4r1LgMZU9bknOTvOG7eCy1BRxqb8lNntkyus4nfomL51qbogM6DEeLYbpKTMyEasW7TGjNorKtt4ETZIXJnyIJgyqdQhk7UOxXf+joeSg+O0O9BXw/7sYkyVSAfP0eM9qRk0SfbAAQcrJKaI0+Bq32zrYg3juBhJS6Uj/pC6lz70deLVI2E9YzwQszNK+wOdxnIFb1hZXm2gA+yw/OaBp55Nw2M5t32Asg2aE//23Fy6z4XCD7RY5M3YY4YAs1r2hRxFKp4SahzltId/XeiqT9LuIp2Njcdkskyz6Co+S2N7QyP/CXrv0tb+ayd4zLezR12DvDD0zaOYx5s8SYmI7+rvNh3XhBnhR1Vk63zvae/kjUWKd8gZtJbWb3pDyohbIZnt+ZPXs9GU9QrozYNzdxZWCGmOrjmSabUzJhXegDwM2XmJokiT4UNgHAWHOvcIhlkzbrYmYEYWnbZwk0UQa9Ydt36AWeUra8+bsr+xXLllcc3mwSC1nk/Yq5wLupv5Xf8Ux6Au3KmM3BqQjIoihUW240t0yghQthnb6MbEIo0Rd9qEC2/UizprVdMGtsPeNa8Hw2eY9gdcLEpTVjEZjxkzUXHmb5gLHeEAsfzkiYNK1B6/49uEQEuMsaIKqdGb8lAXi2Mpyz6RmRQhxl71Ov/44Lj3s8S2uBkFDIYPIH2HNHDhkADKHL7RUmhcTx7qyTytvbPirJUm/E52130SFemNbLfsJArfyTM2PFoN5wYHl1h9kNk87y4XEFZVGvWiSFbM+ezmrmP+GewdQKlZb1Zd1YQ10zlGvwUbXIPUwiRtejuTernuSulYgsrVe0lTIknETwBTOJt2HI1XXKEwIkYwmsfu8cOkV5SYcZ7RZ3eeFjuhx7BD0zxZVXcEVzGi/JRzjZYrHxBMvifEhE9AGh5b+f/o2ee8CH36gRHGnAXKZCGFkYeV+Ob2nykTwSFIJP1U5fklr9p4L+CE49DpAwt4YKs+sYW4AdVho4GByAeyct9NyzkIyVLymf342kaeEW7BqB3TPiQuoWEdPp4HrGyEzSCKH41CyM4ZRxO8ZzGSrMG/hRA2ZAxVk2HGaaKdQbhpEeFpIsYOGGTrOyLHKeO9Tz4cTBPi4jtzZI6EUBVMXA68a2md233wWHKeclWe3gL7Za4cf91gZthdrrs179e0skFWK2aFzcuRcGtUECoP9sXHQO7MrJcu/ZwhyefmUV8AePpGjwQjikeXA6GPsS3viTXIH8zIjBKigG4ttvvF385+y7EzqU/ryWfff2m+8tVL4yVdL2u0mQVFZELy0gApyWXqLZQsNB82DB6i9tSB7oQPz57uhh1tC9WXtgK9YR40Gd5CBFQyQLHUPrlGTu3nLJ9U0/VaEcwZ+IumFpBXrN9uY3v2NwfNFswqXhqXAgzKzINSIiB85K88TGJstmikBWMzeQwVil081JHoTue63x+htjH/NJJJ22ek3d9GzpzmYyB18LdHw1MEsyowjceWTOonvUAKpCfwE1sEzv1RtVHWy0a5Gbb5bGCMyn5KuBSkmwe3/ct7HWxORONG7KXymcm+lHGyirtncw/gogIBytLcDfa/CbsxiQvAhFO1L+2Vit510/Y9FMNWsrVTNSvhc64xmHC8sUrtqTXOgSeUCu/wusuxZ+GCPDSCAfahBRqanV5wNA9bB73L3o2tS4vEeM98jXdjUvLm75sl1YMioB2muZ3WBS0iucb91vCVQOexueIbnyjvut822D/r5svxV9i6UGA9/hlzMYeJJA1iPDz/BmWrUzykySXIVMZOwMRu3TaH2Au8189MlshLYimN5iYXbsKq3pGukyGFFgE30qpSKtdtJvbfR3zI1s7D5tbfcvd7norBDFr4x7mI5q9SC/TZQ4yj/lMQc0Gdnlnf2oBn8z+FYLvpnUW75B9x73iTKyOK3rindQCtynBfq3Hhvo314a6JeiX64xlO6vfnqlcSZxK57B3/W4CHAa9d6QRKW0OaZaTipkhfl1mjI8+uRqltyQ+LKKZA0LUGI+UxejhLQG/dr8IxtzdTstbP3xzq8pL9wfDvVzuLrQx0ZNOys0PjhutuRl1AcV3pFnLRIFz1g9DZ/Trh0Hfwx6HBB5+w2SL8O33wStZvM/gj+0greLZjPdxf/v0D820/Xh28VWe2c7lOA17quoDYNBOoVzMjJI589CvCKw9SfL3i3SF5MVKcCW84zNNQtqM4H5Sie79PKRjMytLN493LNHmN3O8OVQUwXNorwXt6QC87LPfZCOAI+YzOXGMsPPouDbCMySwV+CWqIun6nKk6JbZAelbVtQzaG3J2PT2BlbyJP+nebH4Lpp77skxZgddIITy6FkjlBU2f044Nqv46w/S08vLzndSs9/OZnwb3ssoD4QvRbv2BbHlHeB+IqVHkZTHejtBxLs8mS//eZByXKy9RjpevtN9LoXkVLviEf4p2j/4OLoTVf0Me4k5z1LSX43nicfNRYMGFp/Z84spDTY2TUMYvZiadx8Zu+L6OQLco3p6mc//HzWPT8+Ovlb7S08qJxcKEWtJy14A1hOxJzefqPI9YeHXcv5fmtsp/RjOlgoRgGCIqKwE3BaANSdNQ25N4Cmd3aJSEgj4HSqaURFShstJ9yq0E/Rne/NCsIHtxlQnmYz4IZZRjDapWPTP3dAp12Kko2EoaDYIMkXsw80oPsP9+9M38R14rn7qOS38UHvmOf5HFa0T+i9Hn3t1aDSupt0six/VPppJJu+UxFELolwQ/D0kLSGJHAY/Ver2j/23eaTScfzQ0QqXNbK2w4Pij8Ni6T+oXGV/fxX5L8sbnxXv0ci9AVJSVc4/D6MnF6yplI4yD98n9Nfnt894+LjP/LfD4UoZjJ+tt87+KNMUP4MeBswNPdcqQxwfDb4dUUZCHB7ZBFArHVWM8DsHCu4EWwP0oyvkvHkH1KQiHmDAl+MecouM1Xqt8kYAc7EgruL0tBDUiMFpmn7z9gH3/HDhViYDXI5ybyDjFV8wDqeL/5LNQWEB5gecgkGFN7GE7ifLNisYvCO7wRjQxo88tlgbUHmMC1O/qExz+vBtWFsdnuMvuKjqFYX21M3vvEfBNlHjg98hUaAmyQKDs5Z+Ry/cDokzSv6I5YmeHGfBNpUNU1xPtyRNytQ10oEwb08r0Be//QojdhwLlqzuft7tObLRmvE/TJ1bmSU+DIqIWJstP7iSlwekXdS8BY5mWuNKkpe22NhYNlbFkxr2tKqbGuVXVNH5bu7U/zTD6TgH7o9mw1nx/sXDMEZNdVqCE1VWWoJBpGtzq29r36eIFTnXB+gBYzWFtQ+UTXJ1WxTJIpyoOU2GZXjLKp9JHop9kVxBE8Mu3CHiJdtsX0o3PJDRmH9VwjLeEE/DspohOaSeThVNUZVUaucv175sZuJqmxtlY7YsBAx1OXhAI9XCGDsv/vuE9SMjkumdGDOJtPrVLrFBCJHSEVy3IZu0m63gY62tb2zK8VUbu+YUegI9HkixsUh3CvELRViuX3FFCs+BKZTrFGR4lNKNtOWM5geaxBZnr7F+GqRcMKqo5QMZInAFaE19+8e1Gyy07yqvb1Md+SQaQ72656/F+Yw7dUgLAz5ntWLDvaj5697RyfdXi9a9UjzRNiKcdXCS6vqwUJBOaFY4mmoH4WWDasizdSwWql6mF82TOQFGWIbZAiwVn6MaLM92Orvrq9XYkTNfrvZau9slGJEL7qBGCPG8MDGsv0p4bO1b9fitb+sXew/t2RVBb+1dpMJiDHrVDpo60+L9mxX+KCb93WSPs+kto0bfxdkLeUC2pMEKIwdJbMrZKDYDYJx5sMR123hHzdoaZvlKACOiu8yJ4XORFNZ67r/2eEmcVlMBfuTLNgn1jmsCOnUvLBqlzQ/jnkhD0Tb9BaZyPzWkZA/hmfynmB0JMkMbRFEAYOZzpU3CITV/sNAGk+l20yjBv/PersZMcYV/lvfbEhNilRa9NhAlcmuRmdKL7CnFxaf/x+VvssSaLT+KDNm+9CImUSeTIU9s3WO0ysJGas5TDq1DlpIB4yHUjA+lG+Sj9nN4oZdfgkE2gU0saxVdHESk0qUF1Lw/4deP50LoJy9rjpTpUlZ09cjd6lt+tXC3uQm1WA0DAfSWVeOaZIfbxsuXCk8yjNvJrwt2P+CKzBg/vepHBIZOh2BkT0gRyxtJju72zuKBKWTgwU31Cxex6TIAzNAM7Y12xkLc7AmYGzkadQ3IXFrNVG4kntF76HIpmIR8MlRmgjGrDBQJAvBngRwXwEuWCu0lAOMa+vTQYZKvof950diOz3Zgy6vaKVT8clC8ADDT7vC8PMIeWk0qmsPsqGuY7khiXpvKT5Vo5GzqzWYAFIbO0g4AYk1MtLmpNI96fuN+9COtn+vlfxlXD8pN4plKGXXT1rX1WExXtJ9joWroDV+iBxdXVyNDNI8/9hptVtt4Ws0/AGtzU6Tz/fOxg4G+RUJkmkXcH61cKSqLanHZek44k24estuFfYrqMl0Ayjii+MkxkqB5VTsn5iDy0oTy5ptouYIX8LdBVDBsEpJAd8wwAv21KuMsU044sWasOMdZeqAKtKRQJ0YR1JPNzHbBXfAh1IH/dfVArzQwHklI2WP1fZ/SENHUXt/WUNVZ93qdbYneSI/ZEnwcjTpJyPOaACa5Afh1glqmzvD9mBj8/KJxuPO04xHlmOVlI5qicQzP3B0Sd+pOcwsWo0UC2cKItAvWKHyw5ADJmOh4X1cO9B9diJvUBdZQFZKwX5Kz66Vjhpj4+kbCNQOjv3EDHClWQk01lbTy0l65h8D3B9OAHT/8FFvu4K0A8gbjbYUyf0NtgIGUuoBqnYJPd4CZUkv252ngvGRlldcsTxonpijQBZZZyrSxn0gMhiBMXXdlVSaJyioQFVxyAaTsdMiSKivkiHm1uPMeu4ymCa2xK45AlBiIouMMSIalojXZaIBpHnSb/gIibkjbuOHSGAa395MPmhT8NGQgasYLO6Ug87mJQNxlwAroJlywUwJi35YiHdnG1G0T8KAFEh6IbSNgnA5aebJ+/RrN898WQNuneF/IcJGbsJclzWZz2dZH+TFUvRis5MqC8W+GkGZRAykNJ33mFI7v6Pl/25K/WKmVCHAVz5GpJZw+PnaC8E5BbmTAM6eNhOKvD1wzmzpIeP2zwqlZAJ7viauduhIcF76MDnst0o1PtFIknA5XR7UhutbW+nG5g6XZJWkIPhr7++B/hBg/UMOjiC+ztEp5nhajLWtwU7mPznmp3vmaQbT7tMMpnMFvhKmTgGUsFkh/bSDns/UHaeGXSdRAoSgFmYjxjIwE4/AGXOBIU3AR6qgSuDY195SBMBnd6Gat/nnFFPtgdsBNkYeCIU3MOFPx2J3bASl9+TDlZsvehwyptcAKv+L2eQGds0Lvtm+hXr0CgPkNnlEMzLjmHGLrF699U/JXcRIpndcljFIriaRmbZRFPzn0Vmw1dxqtph9YZOuk5cPXo8z1rG4kO56hiTFt61go7Uet9vt2ID5v8jGWS7BKxEOPaBsU5VKjsSRCrxSuDffY3+UTzrB0lw2/UOm034kO0teYI1udgVQLCw2r7ViR7r+an6kX3jgk7Jiu4kWeHz9lyKySd+ne/BSVisrnRJb0qIWLYxGjoXpibO5qnUrnakQdhwdM0S/YFO674aeeJs7msQeE+zkdcO2kWr6PNGRKOdGbuI3hd4sSJpczlR1AhlYL9mamGJuZkIc08RL2Sk0aFOsz7AXOZNFV4tX2Vvc3KBDHO5AaAWRRdCJH73t614YBcsKRcoRaxNPlz/3Zfs05D35ua4yCf6MhM/l6fQt2YvjOxR8+9Qn9q1qzhMeMBEXuRLrwmXmOfwwZudBW76Ql+Y0mXxd10QOY/ROU7JnhBegsL5XbNvPC4j4qN1DQkHlTEB3Eb10+u//Z+9duNNIkrThv1JvzzlT8HaBAIEuqO1eLOG2tnUbSe6e3c/v8SmgJLFGlIYC25qd/e9fXPNSVSBkq+WZPd6zu20BVZWVGRnxRGTEE8QbCWbsJv7o1EUt30O4gz6t3EG0sOyaOzONZ4oSEi9McFAp31ZVO/O0AWXSufehtN/mjSqFNoaMucbSJ5pQCTlTmYNMHAROdJpez2+4CUSi/LKwgJUw91rai7zlpqLBSlwlsBJgxtGyHx4dHZ6cHl5U60/D4P94J6GEg26dLQAegSf9wX9zNm7RLCBv/3iaNIPQtwvw+RANg27IMArcHfR30AGh3Z74azEPIe1TbIpcB5Nxe4e7h8x8u4GpHbgW8xKJNRss1EkPvyqB57uj8YTpOvkF45N52xm3FuSSZricgfSeo1JIN6yjAbz0OQYPYWYIT0Wky1NgClkq6afpc7orPhzOQbiLHDKAkTP7Igh9aGz33lKbeHhUtIkFGFMWOl5tE+Hh9RVWoVsca+TllrgrHRdu/fCK4/O/3I/Z2u60t3YbQ/BjLBQUGEuHRbARsFaLYBJZWGxGyA06DM1Uq7Hd2ewMcmkIzpzQ4C3SEg8ArTxzXmFoHTtVXcfDe56vGZ9qfsLyJnAF73kyXD8Pp+1RntJOo1CFsl2sQtmu9VnXGI+JKpg4I0Hkk1pqmaii+k7zeTy8IacPAMQYWb42z45q/d7FZSC5P9vyo2SknDdR0JbEq1vNNgEzP8G3vL4RuiKuU+NqNmpTQEe49mljk6jyCI+KC1HMG5lxAWoyo87FoVsF6mWp7eJS+1uf66EmrAt22CFVe1HcgBqGjqSmHE++m6UTWcmqoSTxSpFSGV+WI2eeH9Qzc8054IhJ9N3Mfbwxv5RrDCMRyLq5ouDI2P2iv9lzL6QsIiUOZwarKCgEtzXFiBLK9Gr+VUscI/3r/NL+tel9Z1Yo7ywVRRcsf7pKdjOJj2e6dADGbseUWSqHUeYqMCrOFGPdwK2UjnmkTmYl9I6cklqMtZOS4OCPue+2w1ScWxv3bk77X0xlzO+yoKLrUPA6eWFyzeUt6N7QpVXDYGwB4tkpM3p3A//2j1+44krqyED8KSNTlQQA9pSDWHaCqbdXgJ8j3+LnMTIEM7sZLn3hxipyAOsoI0SP/Ey5gyw53xlFoXx32lIZuSM5fxjP+K/FiBr3AWAlHzt2rqeY0hWevcJlyNHzERURYg2pOlVNkpMtbstCTcmYz1F1cczR95om3dJr0OEJTlkqPiE3iBpPb9AJYcd94r7MGskoB7Dv8dAkuX6wpCOokFpvm7nWxZIqiGRM7BrV9V0aK5KrPBr7q5/xcO1F48/Z+O/Ji1YHfRrdFWwHKCAF+8vVintr7wK43bbMKyZVYVXI3hrhhRZe2G60naMsnqFHsHTtNNbNPOE60+++zBP7MvmtwzEePh7jcAEH3/Fv2rvk4xhUwRjWavhoRShxufp9eo3rME06EIwKdgpUlKxlsUc6K7hRwc4ysa+1tY7aXFZ9sLqW4Bt7ZsQNdRNP8H2EdhxtdjrB+sg78AdYCq75lGfd1cRZcory/UXVnHSUufNtFyFVnaXY+3IRoLvkpcBaUqauovfMnaJVSuEyeWqp59tVvTRy7dnsYs6uD5MBAS2Dyc088UcFQ4INmZIayEPiuJ30ZWs5qobBKqmUoHgs3IunRB8VLYHXua3b8owHsy97Z3pUOkHCABj/ob3s7T+9xr1T4TqMZ/kUZwBJMVKsdawVrqsgflySzDyNdk1/SbTJX+5F/9bsgCVtN5OkM9wG15f+5oXLZH/ICN87JVg4mdSelTTHPA8WHufcNtd0blsNz7n9PX/2F/yGxZn3SLbw9sJ8SAlPUviLBxC/9c8PXx/u9y4PT0+Ck9PL4OLt2dnp+WX/IHh9eg7LeHgR7J++Pbk8/4+QOUKZyy6eSJ8Tp80eF1SbnmyzhE5nQfZXu7M5t889I7QvhRyAkndlJr5qTvzcV+wG2+1W0AcAyP3LLpPZLB4msBX8YEsUbLW2G2051vOO8yhDipn15GVQGIlgFvRC7+DgvH9x4QyWZ3qVY5k/MqiQEpwlwxQPBIvlKdU999F7Jqz89qLsGO0GfC2q8JUEeyEiXthFqrEPoFLAdbvDWDtFu50JBskwXmTsqbl7UFLceI3t2opbH+NkZ9b1gCFOYm6UZVr9lHMckLlyC9BrwaOEkkpqqRKaSPqlnwPmQRSGSh3W6AlCBUj892ZSzOmF5OV7MqHnMGYlzi5KrtQ2LoMEfTdxtO3yANzMbCIo5tPhtuFSLr0xeCKwDLe8YKbdkOCUywIvB/vqR+DwTHCq3tupuqLUcph3Ws/MVhTEVNhxJx4nqlMpwki9N5SWRU/Rpugp3COv6ZDMfGKbDm3oftG+zKz2u6Gk2Lmtl79ONiL0FOLuf8sD98F56qLgwhdOk+XIWRh4orsycjD0P9IGoTRlH1RYhWtWsYsQ4As+dcbchxolLd5RnZxh3qqu8LOa3zP8v237YrYPmlQApupTzjDYE6PKw8arKi6ZqpUvUpuRbW31NWqS9C1p92d0YbxjmchFNw9PHqaMuHbfsbKRrhNoEJnR/d75+WH/PNg/7x/0Ty4Pe0cXNLH7pyevD395C5+GTzOPYiLrwRu1FZRo7hhRomDE93qStiUWmXzkd373wyOkBylVEAougYHOHIBnLVbkMa1MzOg4F+84HcFzBrN4SkFptLLwhOxYHidWVnrPaOvoIgqVFNDp1fga+f3Cx8HyVgGW7xRh+U6tzx8bWK6ZBwOw9V0uZY8C5CKcaCYBlbinGIvhnBfiqtLu2aQwEbiB4NSCMB4Msbnq53/D/28yBCSOCvsAk9XSqyDsvdo/6IcczsFDydUA3B1jAYKLuBKbGIWsKSHn4gbuPdoLTnJU2lJQb/pQ70liHAx8L+jjawef/23P5ODZAvz7PS8Db8+k31BTcawO0NeFWzqzRW+6V56Vl6uU1TcpwHR+GXuiLoEaPoPivE/OzivkDc/0PQPw99ulVOFEHiPdm10acDP/8d0duIkZ+mnMdEAKZTS+HtMZjnRRF5GJg1aNE7JwuVmAWGpcEUArFmPOnJ/95uQfFhNPBBzajDeknq6ZzcUZa4q6DI8WTIokwpGwLbK42CnlJNWaqcwtlHLLeaXol/K6qACyG3hwz8xzpvAuNCLGY6uH5VlVTtIAi0/EIiNZAzTXWq2L2wskDnaXk0klkGnE75AFFRR5zSLltNHIlUiTIcqsc5J+xYOj2BhVpWH35ykmCJC5urfHHEgKJgXU5lRG60r4hGRwn18o7b7CKi9yYvIq0ui7DdAkatIjeRxKMP8t6ndlZDXUOSuRfnHpVyH7EqlgsA6wHKw9bbCuqFHC4Eg9auaeMyV4uqhIndPoIuXKpJmGGXlBu3FjnkxWoO7Wd9T9bVG3Z78iMVmRa7JcIiMjOZE1WZExWVGZySpPGreKpmCnlmSPE+CUsooLUrQrhqf9bL9eyRXPa5y9ptEFNkmyY0jsBX5kuZfFVEh6aD0wCh9j5qzxOXKh6ogYlNWympiXF1YXklrY0PgzvTLU9BHGzc/rcujoKyxJVZ7XM3eC+s4EXWjql6A0Xx4EojkScYFiME3J4HCXC4RPxHyRM5/dIOxPud6RwQEvUkUxQ3aHrNzMFBcFlSqoOmkojLDRv5SX1Lwa5sf+2yhFrmz+9VuJBLqwg16gktSv60HvCETtV/6p+3oYt0IyaIqBqNfLsAS8nQM+JRkS+TNlAngtV74ifr+7vbuVjDab1a6PaukUbzHVVGrCewqwaQVfpzNdiQ3zDS+n/fs/QcY3govL3mX//f7pQf/9Rf/yQsGd1Eyh8XqcZ7H5FJ4FAMPd3ZrJ4WZGpcpUdyJbNMkKp4rzKqzNB9A9BI1RmRoCIcZkyIXh8e7IxWJqH+lRSOjeg5EU04d/I/ipckUx8cmzhpbR+G9FBLoVN3/76PTkl+Ckd9wPevA/YNL7JwfMfbwO8nduxGzEOrIcsI9K1FUZ2OfJpvnl02KZtFwZil+rhdsiQ7RNr2xQR9DqdKqK7RQoE296RiX7ZUQ8KyhwrG7faCvXSY4+oZTJBEzSH0+I09wcbTc7sRLi6Ckqlf1RoZRW0cjbkhr0WRUkxDJPKHlBSttpF4ypzeod4vmUz4TRRFnQx08LsyXoj3iJiYxB6AMpZZQC50MsqHh7xwBrhReM9Dr/bBj7AdEwIJtKX6mwYZQQ+40F249kvtFFRiBBrBzd/6bl7IZi8mxcnFhdH8eNo3UusnmIMkrZunG7D0A+6wFVDSqah3UWChzTMcUrUv3CyovveP4JegrGwWajkbdnsEpEE2JTO/Roi+lalgh1h5PVGgC65KRLOWBSOX0zFDBBhZQ3+Zm2IKrq9NRmXalRxpWEM1/8rBU60KGRJ4Wqw+KjZK8eRVvuMKiWxpq8dz5ztorWJJpTxiy+F95ZAzl17JFVvwaI2pCLqE45mECbyzw46kC7mpqjIGM9CuVJGNxLnekDPRl3iq2md4toabfWZ1hvezJOP465w9isC6P9OBZKd2Py+Xxc4tFsAmDSWcfwteMsI1477S9H8X75jsJvTF5NhPIOcqLojVRTzwjh2CYCs+wBekKA3zOvgTS+QObgG+e9sB8vbpV3P/wtZlM069R+Gr/8zL2Q/s2hzo8oELSM65ACn9ih7+1F/1wbRVygCuK3lQpm9FhLB+LUMvOIDIm2yUKZYtnoGNwFcFPcLm7uePt/7R2fHfV5vEb4OZ5qcRQOdO/BMbp8N2fesmZOADQmm013Jr0tnUfLcKO5ep6uM+G084fLCqZ1roOKihrsjQ4NaQuwJ7c8TT6mH3wK0+AYYTsFyEco1hTJokzsxOw48u+whR42J8CNB0oFdUMJ8aMbLIyR8CDj5AAr5+x1g2aTHSCjpWhibieNbesis40KJJKUM0VFQ9Q5FjPZSEHKPpFMFtomEo3HORBkjdusxiXEs6QmQ7mNR5THIN0XXNBNfRAniQLFSaL07ilB9ukHR8jwo5yMKYVyaYj7Fa4QZ3dQUBKVb5iXs0qrGkqSZGFDzD+N8aBSu7DzSPA1sS3Wfnp3LyPUj0TXzGE6eKPpF7CmYwDhlWZjo4X/29oKNgEWdjc7wdkx/RL+bKEhPjuuevkktvY682LHdNIHayLNwMdIGS49ePm0bR3552JvuPbDVJqh3FN43EwEdp5GApD7ZM4Pw7kuatzph3rpFhX7JzPrSafWE66raMj8WYThlsIISwHf+Pm7RpDufyAtBuaEfldTqaOgeTOo8C7iT6vvputetlxtyyx7Vg/XawR3d4OKy27eEMVm1DBvl3dTN1JYYFJ4c3l8hONAeZdWFgxFqRy3wkEtzgI7f70fdDZbTU4yHnPWK+wQbiRFcoFAig6duCIbYxTc5rYr+CtivBcZJTahopx4gTCU2CIUAZ2TbsrFJ5ceDnxvUP68zsTDBusB6Cd1AEyRFLC+a9dmW2p4YkzRs+a+ovnPaNarspv2HgBCTi7Q4clvh5d9vKsqp/3T44joMR/YuO3GLvg5U/dVHxyt4ZfX166QGYG76XK0mpdIfrXVbTfqO9u7nWYHm8GwyGvVaM7ekS3H+BabdrTKsN0SsVVsp8DXyVtJ5uhD3IF2UFsXaj01d4tIPhnXhUgw5GQ9/qS2bD6G7+fwgkh7RYBHnf1mu/OQh9FZ18PoeB4GQfUunu/LGxHe/8gpnvHUQVDKGso2i0/Ry4xapOiGkZ+snUtfR4gu5Iv46xGGUMIvdioO1Z2xoVCDdddzLMpBbtXJK1FMfjgtLD7/QAQmJdjBsVImqDGnZDJMmuu5pkoh7mEJ097N+3I7nD9xCFRmp4DPOGYpGluOw5Y/ihaB70ut8h7pKWAgubOut1B50FWgkDS9PYUhLToe5ZH9+VIZpFXG0XPAQM0kmjU1t59uUmLP04WAKYxss3T3dsyHm2tUz2VTGhLk2NsU2XrOdZco4BI/JQZVkmR4WgmQl9d1bpKmeY0jZ4zzNC1D4goKBYs7mc/o6bENgd2FHafmrE8wXJvQ6Q8HXEJAyY1uZ5tAs7e91li+MKhwqkYBjFYx8qwnXUIAIOLBZ6KZeioibqTvkIXJTnVmi1+04JdOthDd5NpVcW5fbbC4bnQanoDhjPB7tIRV0fva6pilKsZW1k2FgGtsMBz11kIW5Ydyx18vprRUsHbfDiJvdDZYafsMouUYNtsg7PczRa1edBqalFKRXsIkRICAc52Ay576lI+jFkncH/kOSy1MPovbrpZ3KrupeuCKgmBpcV3PphS3dr7j1m+b1HI61Q5NojcqD6G7qtpTJ8tkDfspGPBeiC9J57QYAaJSBEMGf213W1sYSKBbiGnFx/imlYhBLm8Sz1cEX/oOc9xmZJvGt7fgPcNsTxATwi3UaLMIsI3IowWmhIaRNOtL8BMAdjQndFZIKo1kH+YnbDY2mm2Kj0Tua/l67qGpJb540X6S25kQBbz+yVhDzdUz5qv4b7BVm23LG6yAGVwTW5WAbzJSuak8Qmo8SajkIZboI9F4yxBWdUmIx9YY0+ptyertdJvN7mYz6Onqyfgc2woiwiYLxhbS79tt9/eMr50LEADyFUiI4H7DOOdJcvB7FERg1EEHQ870jjZ4VHvSx45dhR73lfo0nj02o76Hb4q4nycba7ZAO0/oBA1bK8f6/QU4UONhUucH8q/PeUI3Av9DnjXemtIFjd3W9+f9i/4JmDP792+nv/YPOGQIs4CW7T098j1HUrK0fMnxlCJjvhQ5jl07q6bQqZzbWHpeXLtZ67NzZzuVF+sG+KxsgIPHjNsxt6LWnOhj2IbjjJj8x9fTGho6eQfxdO/iLMNSuirztMPUZ4tbuNGvCSNc88FFAg9FPM/ZZlJ2yXnDwXnKud7Limov4OFE65Q6IzKuwQTuu38DKlwY3xkM87iknThnOISUL6Nf/RwShcwdd7sq0FDlO+I5HqUyuFYL9QQ9LenGypgxdRGCHUW4oeqe1Oy7C/DQpLGzl0qu2mgWf8LjMDo1pQNjIvnnGkoCPToGw8Po9EzmxsfuwEvmvkiGy7NrThDsIkxSbFhuebJ96IqsB16ZLT8eAdyyTmQK3XLkgtKWfMKZbQtqKEsBVklcpyOgISjkmeMRzVLx30wuXqGIwS6E3knqVXX5zw5Nm65hMhbpAjUf8omEbAs9ayAZz9cDwP434ngbT+NrDFDwCQ16nhNKb4wX8xQZ3LFW+sW7HwD+1vSidz/YvBN8ABZKjGixh/owTiCAgft3Sa+utEF0jAdoNV4uTTfAW35I7qvmPI1lS7qE02XuHGNe/32ZR8qXuQf5nki/EA8rLNUIsqrOEaiveHQWouBmfH0zQbJ2DniJzqrxDXgF5KQeV+++dDLUIxeJhtWjcx9edIqY/2gX6y4ezzhwoof+Os/jkbfitNaZZm3FfE4sJeWfsCVFCr80TFWS1jOekQTxkugz98xcjc36oPjSD2SYo4Q7wgVnsH+FzkWrI8D31KN/7ZLOjYHMhsevSQ9isb/85hWqJa7IoFOg3CZnlW+mxeex1jkgNh0OgOKtYddvvE5G/c8bby9AAYi0EUJw6/MJ85MWow07zj5QI990hpSUuDFYSZXaCNSuNWux5Fj1lrLchYiaIpXwPLHgCshLWBysAPLb0rJ4LUzpPNrrTI+ZW5w9feueVcv+qfw6hkGge37cO/9VEqrR03iv0Ud/Y3B095IOPW/SyUgTKdwUUd4cdkvw9pzEGgT298RekMFDOVOMBoO1bceXZxK5IuQBH6G6zo3FPkF06X2QLQA7ofk0QkfGDbMeYT/Bs3/BScAkNJr1x0qTN4NIvk9ShWCZwyacBs3c2Di/e2rZzKy7bYyt9aAID/tZNFlafoT2QiSGesBTTiN/SWGsQP198CMk+Q4D2YhC5yW8tftK6k68/pUSPsuXXmcAizCUijVHm9M1m5M3cKQXHh6YfyqmQrVLytkh35ZdOUg/c4zydDFHntQDKsOXUFvl4vXlGVzT/ywNSS/uYfi3OCK+NdMq8KeqOUt0q2usCkGxN6Cx/8BjY8Vi+bDYudc9nlghKrL2fDqB7TdIOKjWo5qDYcwqS+VQZBW89wVLEnTxE9xmL+azhVS1vZAttFcwcs7trOCvc0uy2mx4Ob2zXBOCaHKmriAsnygyRyOUbYDYzzGCU3PusUHF3ByA0/oY3jxi20yzTnGs+dWOxe6BYtx3PmaaCIssfOyGJMN2cURpRdymyabXLg/UbVGgLjLeUK2V/2Az/0E7/0HnEfx8ne9c408a8jM93fNeFssAfHFMtiT/dTfnZqF2IvDwsmxTYEhlCSTdsNo0rzFps+25eZ9FjRe4Gs/cAMFhZji77Ehq0oek5BsD6Cmwxp7POG/GrQWCicFdSh40e874XIJZwXa70dlqwv8YtwdjXakmpCEfNQOiSOMZ1NyH7ZrqyGoR8ajdMnaWY43rYpwvQzhl8N/DOkZXgh/owURvqHkQ8jjosa9eo9ZDPGOI88FVUOEW4MrAiJ1BkuCuvwz56a+YNYvIW5lS3TdWr0SMB10UCEABUGP1kRsBp7Wm4625o4ly3zkDy39lx+Z/jmPMf2Z9KMoV1dw2Iyq8zRS/4kB/kaUnHMueBJk8quLp7Gyz74fTkd3O7+rXhHDh3YuaiRAnqzWEiVtk+Aauc4xvYfbaYHEtVBifKGoxdaXN365PEo0lGeIW5LpvzLGLRmHJpfHWc45cEUQGGmeFN35UhBaffybr9BqGwaQnXN0AA9pXGBS6zw8t4uctWeOuCtJRPDVBPzpsGS1u73Rdi2FL7SJ5+7g46/aacdbmTmmc1UgHypFlAuz6fO5jYpyo8WNQ1yC7cHD32bIqUL0P89fBXAwxuK2vypXSMK9E6Mx09jT2VgflkS+V+L+6InQN3tiPsmI1bMwP/xzstLdBEIns2HjGRinRsJPPd9SM98ujp+bGEtEIJvE9Cn5ln6jw8UbntDX5cxtB1cQpkK5WkvBwJP+dcmuuTK6xVF4mpMGX8DJWygjaqsUo6IGMUoj6eVARN8AZIi/mNBsjdLhyiSJjg2ww0cFpP1ZRotEoz59YCFL2stzgdSGzsXaWdZY8Uumq6UGDDBjj0ePplLUDh1uw82EyuuaMeiGI2mBItaGMqxVV6w5LK9+4SpEp4vBgITOayxPReUlOeRHZyaAzWkFMWaQa84UZ/ZCaE17R+eb+TQjjC39LwNVC8iCacRGGwWI+p/QYjK3OQZKb2+3tWnN7u4NMF9k89+aaTKB7jmU+4hJPfg8YZrPRbvC3o4QCSvh7+gRD2cwRWA/ejEFFCc8dB/jw1Ifii1QQxB2HRXlk1lfX0xdJQucXPoOlwhthreJs3sWcA5gZ+O//2CaXNLNBBTDWR7QeoxqKao0+7eo2635s4aFjXvuQtq/ppPFEtVvbmEKIE5XC9FE+BULJYZSbCZ6BZqsRPTjYugprxFUi1C1qTNnw8rr0w1BEKvx/5mhJhpZRtTGtBvID3gdoJWXAm+3tepnaOeIaZT9Yx7qFtnCXRDwCCTfU/vhUEXgrOZs7bbALW1v8/IdEZCcvIq3Opi8itM0YYWBCN3xBW026ZCtJEZ+4f0rJLuMjVLvzs7w3vgSwNyGaDe9lWVFVMjQohEfANJuOA3O5RsEIZ33jhBmTlDEZOAnFzqa+fqNZeH1sbA+fmVkQydjeyr+4qTAkkV1T0vdknc4k8uAsUjxLHLNIc7raNj5f7+clEanrZP4K0Rj8iLfEOdbwiPohDWZ1ttFisSrTI2zJ0OhabRZUPtleBNU9kG8kHse9oZu3K7uXjypcUICehnS7YYvw6l6NGyLSm3SaIokcV8dg8QonJN7JQo3lLCjUmGC2AKfM8KO7UIOXe5QMJ/FMOeZ9q5QbwIqoz/ZjOioQcgNw1uH/dja/R3CeJYKTg7omoOOr5nrQmxuFQvKy+jZGM7FdX2YOGlsSaCFUIpk+rHvIFyNp5MAQBwVWKyBrlP5nlZmR6gIMFZE6d2wHWgxWWtbQEL6HlelsNkSxNjbLlGjBejj5WP4bLsFdvmtQ0TZYgEYWM7oLoyAa/vM1aeAJoJXvrphUTttcZaZdIej5OqXyGW0QbrBOo8rHruvPWMUx6bwwS625INRsMsYWM1yYRaE0htkomtVyc91V5wcbQf2lJ8lDrlfomODN5o4NdW4Ya2gQOgU5YTrw0/qDW4mOvpxQxVcQEnUaOzujzeYI0IUFItew4XNKvRvCfiJ3Pqf8K2qVbhOMRoyz22o9Lwnc04HXmSS228A7/TS/ebnx03z0UrygMbZViKUh+0+001+aGEXS3B5c7WLTDi9aIU9CkkeMHfADqTk62y1UFPT4ASvQLAHchmL4o/nkjireaw0bjwgza4Fl2N5w2QmigydKAFPZxf5YMB54JK4jhqAe2VthZ91gxe7KYEU3eEvFR8ICwdkvWBkmhMgSkhHH1u3hlQ9Ek4i3OtEm7Bxu4itMnvSHljOP4vsHOgKuE0wgM08b1+5kcXP5dVjiTIGLU71AjMTyahg24NHRs4pBgPw7Ss+2amCOqSlS0js5eHX6V7kVOj7MaPmn3c12c3fT61n4y6va67/WDs9ql29f9WutV1VT+WDmpkC76gz8eqxNoAkBYnGYtEjgMxIzLp32ChF5cKJsENJFVLZOTwvlCNlbdj4G5NpRU14ot1fuImnS7Hv5PfXNbTm1e2OQNMwNuexjF8eG3AIGUJhjUL1GhOB7PAPZbm/93gAQvL3b2nW+wfvtbLexsUlld0e/oFfCqyT/zD6MsTHVuuIKK5UYTMpbGGFP8qsicUoN8rWRSbMN5KCT1gQNxCwejYdzp62CmFtOuh3PsQ2dyTWxrRJGmKqIEVcV9jmS5s3HsyRHApXcwpKgF2nPURfZOGFagwe9nUd0ift6z2fVWbQcOXdlQX5JpsmMgDSv+UZAC7wRwGJuBA36PxI5Z4mmCzyPmtpIkN77fy3F0XmCJv9fr76D9AH2iTSrX9AJAHLz23+qMWgyJW2RFE8NbEcgJf72392JHPXSkE4uK0VR0x5KZMvb7H8MVl4+idvOJAaVkZ7xCFfyCJtwpHdUn+uMnPPoq/VVljTybGNX3nJGxeBLjD+xk1gDSSSsdpJ1afJLSCu39YiVk7xh7oxlVg9ft/+ZOfb4DNtEvCohKgx9hIRDyK7RO4TV+hevfUGvOI33BNYQph7gJ+Ts5l9fDbqTorYUdesR3pone4UVx+fTqGpU14D9X+d7wS2eiNXALk1BzWEclntjl6DI3QKK3CyiyM1CaYFiaJCxOXJLdGn9fmFeLuLLQQoWtsKwhHQoDdj5Q3xNKQleM2k5CaMA1TXdAbbF7RghMxdwEKEk2kKpucLuCSNKjJQbgryMp1y28/NqcJkftwsuM/muNuTvAGCAX2Av0dEgGcAYs3gLBP2HU9NpistzOU9BgAI4ojUeMsZC8biysl3VJA+eOsr9p5i5k36///bi8vQYxnJthU1n2k0JoUcWIWxfKwXktezwL/YCN//eqBw+my6cS/1SvjZXKa41e7ML6YpsCd+IIiUIl64rEusuW9ZQDjgxp9p7bVQO/MEbPBEGv3hMqgzEpBJKGj7PWs3crEawtobgtSg/oFvBpceyk4r/lnJUWRXSS4t1HXFHEBn2aBJKXmHOEQjOyMDuzEYEWCS62F6wdtbb/7X3Sx/82UXmbZqz+AMr0KN4do09JJiZB6l7b1FT6e9epZ/ld0xtrBD4cjFI6uXbkPLYE0Sf2twlHs8cKafcdnlHpden83uaVIonzFOf7Z/zT7Gp8SDBFGJM9EGRoipw4Ru5QAUN1lFC4XwJNZV0uPZAxRJ8xuX8jMQXg9BmF4YZvjpiX7g44M5SzjVXYLRCkUVMaZDU5xhDNlR7jKM4zFyNNQIJGhASnWAFIIJ+C7SvyyTi5wcQ918WIJBPBLTziikPuHuibI1k1aRVj31D0IWf/1+wREj36EtHDKNVIrhE4vjfIp2F3ywRVpZOd2/DQIOlA5UUXmekK84Pdr+Xd38D+I8+KoYPiNwZN5qzy7jodfqBKXFEWoleSJez6pJNsrqsGZPqyeM66tBRhSho8mztCFwPXi3mKxS3IRISDe4Z6oh5ISW/gAVQasR8dYFqyCiuogqWOLUaCeKaNIqHkC6b0j2j0PnF8a/iXpMBE3uGVZwc9CBWYqq4lfbQFqyxEcC2N+Vz4RC3PmNOpA8oKXVukc3T27xJJwYXV4XUVwK+l0VAh9tAEFHVey67DVkehflU8nlghz7DHjlOBb2ssOhGw/8xFWvR+Wz4y5dAJMqHhZ/z1KgxxW7n/GxsZuD0snahRizQBQzuavQSVM63DBsuF3yRuO4F5x15fdmrvnwnWdXJc7R9EUx84NKkP9zEkysDCBbXXJpX83Y9v5oe5MSuwa/ZvTqYxNMPSv4zi8cZjY3D+KiWhDir0/6KY5Ct7U57a7cxpPzH8g0zT6+vAX7cjEcjLNaZYkBP2iUtWeYfQaq4V54RCXOc8VtzqwkGJhm0wbvMnWnQd7OkJp23gt82G2GmI3pvRvRe5OEFFWoo4Nt43T/o/5VL9q4F6MmA6ngnpCtVtZRJrnygaOS9/BTnhYmORsndJL23qS3OTsIgA/MIZfeYuoSeSyEf8PL8LXVc+RRcTeAZwuy67oHIbmNNV7bZesCV5THBncZ3nBWl9EaYpZMtBphylXHnDWlfRdrjCnAA4iCkYqKTBfQe+WBTGU35l0/ooppsTCIDVj2DD2aHY84tzcikyDCxbj+exqMYHL1etVtUDIbjw7t5UWvCU4re5ik9JMs1BaJKYHroHh/N48gGMfrGaf6nS5tS9LLylQH38nKNheHDKNwGFP8HuJNM0MMsvhgn2lMWA83TPE2NCQctI+9D7nbmdIUxav6/FlhcOE4+iQRbr7H4LJcBL8yvVTc3NxUwUNqk86J//tvhfv8ieH0OZuntRYAUuc3QGD8zeOIF4GMj7OyJm9L67vgs+eF9gu1suIFvQZp8Maa6LtbfoUrN0eHJrxcBaNaQ5og9OgYOmALQaZPS4WdhIlFC+fA6FOYzyJ6dY+sh18qbBBEnpniQgr393l751ij9NbZ3nVtsR6d3FdIqetTMP89WtEDebXi1bbuN2vfubN/4oON3tWSeuKCOo/aiOQXsaN9ouWr1NENRDfCx7RIlsFdUlOwYUA7glypLaeZg3lEuoOJrV51fuLzuz+cvLDHQFJ9yX02Wq0QV83oVlsfXAWobSpS1cyVXwJUj771A1I+9c7kpNOvMpxUMLEsGvlRGVloKhPVdTdLFDKy7uVVDXLlbfZJqpAKgoeexXyNrRBMI0I8qkyZjEJ9RjZvy+UtXWoTEHw13t5Lt9uZVDh/rw+XZlO2DDzDi+yOsD4OWfcscijVJ3A+B0IreRAilOGcIf6cLiB8YiGAEkBIPzf6SjWXq093ticxE6Ks8DvA21wW8zQcAr1ZdsSnmCeDgjAATwA1DSfHVkx2ACyFT3Os3VIGloP7WK3LFlmni8RqdUgMQAMaQ+rWwZ4FxiJ+fGBy/oWw+h8OBD16Yoj8YD7EyoVFlUiUzBVy8oEkzbtSHyN7kxzpHQ1B0Xq1SzBkhqTTvyohZQe+NUaKZXhva+ZRZfPj8Zi/gHCSa74ybvXP4g0JEFwV8x6F5hqtl6UUlgghLTh4MaJTb4hilSTfowDycrgd9yyBIM836EgmrqP25JcH2b4mHUlEwvqJfkjDwXUEiYCyU8Yic2ySnfEkY2YeQXcvw8AdTDnSU1ZL0pFbTTo6YOG8dhXq24TQoStPJHJ4R9jI8ICL11g3KN4RYSBoTll9RciL3+Yuxk+WUGg/xoSCnRvomBn6TDGEE2JxVQjMitU5eUoGPRH9q/ZeZ9UVwK/ln4WbNagvMBtjw5mPDXCiNWtDw+IsSiY8gUsiege49ETZzT9N0W6eRFQqemE1T6oeGh0ULIjsbZyGXIJASJRaSYJDccIs6lEhcfb0mpCMcX6OYOOYgIXGjpE50NCKNCFk9Q7/Df5AIyFr+Mx3qrLVkQuBBbaH/v/+3t3Kd7emQd1Ede/7eaZkaGMyz3klAtuLFeiL/vbHct+sFIacsaJF4CbQHe5ktZzjCtWekukPPJvI5Kq28mn1HmxJLM1jNGswy7h4Y2Xw2Zh2GQWY8LFYtYXek3e20eblO/z4k24+VRLAlDdO3t+HroMvt00JtjYh14qRlZnoCzfHcZqNeXd0JYbe1LljazHemVe2MvTfmlJnBYeebJP5IebuAG/UoO8zcwLTb8aXS6gSTgcwQnltz3iPaw1YDvqk+Evi8tN5DnpZSvsAbcoNkp0049fSk07FLUGrBvjk3iIJmAwvB4f/aAcco+eJj+z4tbrN66UwCvFVFBq8dCq4xeGhMUGkbARXJ0B9UoBz04JwITcN4FLQ2kceXm2BJNTMOoFHvqD3EwDyWRoxKs6etTeUchEzXsUKLUaMkAnqbqun3hdlGg0TzWuySRkqvqD07hJRF7DPXJjBFGi0ynu9xVh0yoCBstFTlTFcygD3yYd20BnHUkbiEmC3yPXJdcniZ4xpPpGkgkCGVsUw/cllzl2ohOxaiP23Gftz7a/B7//CXN5cso+zWwQJc9s775huUa/TdruM5pc3Bff6ezLDXwi3WyFOxA5VvUgIIx8fJJzYY6xrTgMdD7GlpD7KEp0K7Ln4aj3Di8dCK5kMMz3Jj/eQtaB+MFa6afTa6ezS73eDg8Lh/cnF4enLh77qoMOVRca4jvNx8Ut+Ej5YHC32qrN1WrVW/m34PFn7DYKGno91GSayWrUYuiIaniEk0fEU8GXSZgpRjRZIc6Oi/Cpgsy+kU/n54+ebwJDg6PD68vMD8qrzulv7QYynodtFlXr41oRb1ddt0//7dsxuodPWTzp5VNowSCspmo0zNcA2c2zoSq+pMLqk0iQilVE7d7Fwrs2eLSRoT/bJ82Z9izYvL1jW9KWsBx+OoJfqqBr/uXQGpVINbPMPCnBlpKjb1svJaDSml8cGOOvdHp72D/gG+jxDVO2RnzPhFaFKEjHJPMVEvGRFd/i14zfjj6Xjut/bVmiQyHiLd/G62VNawMaeLOZ6nW5oqcavdHSAw198HzhGYXJJOpGnP+PYuBZcI3UrhDn2K+ChhkZfuVF4v4plD1PSRHifGTFnPRJJMSHSz09gZtJqNZfFP3AAawKzjPc8YYNlecJm7QV862xcgUbvVelxscrMAt9tFuN2u9Rt+47H9dJSA0N9lXWzapdzGk3GcCSDqn59R+3bT444PDgF5AVCYE3mS027VsKTfxjQLTlvURbYgjniYn4/jWJ4hYOiBAkUdo1eZCB/W4ClSfbaiJbHNKofn4pNwNc1rYckaggVO4GxselmcAN1Kx1stvw3lbUTCHYNHjfa+LblvCwus4/ugp9TX7EcQ5SA+oRS9l7/XHl8BM08Pr4Al2OHJ+OnVy7/+tPHqJX22W4Ul4j4sVoejPtxp6PjkZSfIgWF1g+54L/ZVBvhBcFjDcSHjCLsL96Z2bvI9fVE2kpHb0rcS0isUf8NM1zrAGkWZ+H6Y4CJ5YWhJRRESMzjehhhVB8mVUhPmBZOfLvzENQl04oi5kJSo+PBnNC6GEpl18pWv0HMGnMpRs5zFHqTmLFo7mJQKmFGiZtz4vlNTOZST2hLpyjULi82Lo/ZXzu45MgLqoyiAYBMaOWmUHjRDPhrtCa3Fs5gWScuagZaGdacUz29SFqmaYKV/IGGVjdwmsleTu4ELIeE6ZrTAXpAc5gPfzfzEAUN85EjThDLhNhtnWeCJWpFe4HPp7m5+Ty/41h6DkNdqG1bHfHRxpdvgOqywGKv2daRqAQbZqMrxltySk5FXbmqHWyxccn/AeZp57LCVw/tOkqIO8d+k5IHc30Uao6rLYcZAb2EFHnvKsbQLWMXGKAwlqD9h3ggZRyI8p+/4x+EzugsGWeRaj24VgQOt/FZv+cILzl4CGOxSwz3WXmkG23bJymULvQC+8eKOt2yNycTTRaZ6Wm2dY1ocoeC7+2so6cLa3YGDdNrYnNEfteIcjxDXVahckC4fLK6FxV+t8ZxCcVd6Gn+FdI6zWM4tEW+StaYm41Zm1Qmh82q8OzUH4fQJeiWCAShZoGPmjxM413P1ZM/vdliRRoxgDp4mM+NgcTfBzhyJSgdNoy6OOiDvftB1VOv/7gczHZThxk7FA57I4g5+OFdRgWcg5QmeQzg4HnuSMoVsKUjCaZSxOEeFQlCPmycCj/aO/zECpfN/qyROeBk2D9H7Pc6TaX+9J+OAT0pHaDcCQ4GducDT6C7s/yw+H0JJXLOwP7vje2TjvyfGQR8k809YPsshlnbD2VHsC8vpMMdRAyqA+yr/JlrXr6EDhjhobTcdwm+cCIUt7Mept5Srgn3ID9kXN6eBFB9Hpye/7J8e9HvwPwCM+icHQQWe68xy1a91JT1Y5jxw6wbmGJZUTT3tlBmsgGMs/2w3LNTXDcG6C3nH6fQfT6yy3ClBUr+uw3KqSEgNUIxJFLCmnnCwL+qDekRheEpwnXKKkmMSyYNLbzWjrI0RZ6u4RWmvigOtLWNclnU1AyWIbXbw3EsmwGngZXpV4Qmg3jpUVqD0E3VpWTCFb4MVKGd86FLNtb2S0+9JBdosA/kCdnEREkgIh7ojPeQE7DO91z8v+odVXH/zL8f17e8w/hvToYAqbKxShRVF+FYVVtfb5U+zqZ02GKbey99q1ot3grbPCJBjZZSxNooyLStidqJAIpz0vpHb/4gL87DlukROqwRkr7XJn1HH/P6uksel63hdK+ZEvcH89Mo1b1CwuZMw16st8RS7CWCgpV/ftONa05mygb4OH7cpHP2Q3A/SGLszPUWRm53r3BxRWRjO1BHN1AsY4aOQVaeArDpFZNUBZLVVymDH/H3d4ARAPsI8DmxlTjtHG+7T7hCYUSdfVsK/xah8Z51QnKU4M4CiKvQHsMSpyDkxheEj+Y58qi9ld+sx2gnDYZHPrkb3zTUYldcySEpHG4wtvSpL+V9678877y9+28ev/A1wMUzh0oPT4/7F5eE+nyeZRLAO/z1P57AZ5eih2WhY+LVPL14aA+aZoKgnakakuOOZCzac8WyYR8OEYrAUz/9Hht+TD2dGhSO9QttOdz3H3EpX5J3wlzbMkULFyG1YyH6ktsAKPkwxlFjhrFmsfmQyIpipy94x/vfgzRHG1lgAQvjJX0N8RAhXXIQuVneqgAcJV0mnM5aimNknDCahbt0oLiSGuTitOtH7EubWidww06hppfL2izvMjBrGmdKK0HP3DJ+oqd/DoSDd5EdUJcgMK40TYbXp1U1NOfL11YP8LMdY1pnUyPnAo0kH+G62qpYKcOy6yZkjfppIo8vDR3T1587b8DfZSlxGcMdcYBI++EqTw3H2lsOvHPPmj3qX+2/kw42Y51y/E6/du2I5TOt8h2nfOj9DDQo3EnN3Beng9mzL4gzcpFu4SSNHy3aMjsWsOkpmgGV/hKS1Gs0gPEfKA4FYmO3Op/hl2qJ9vrVhBqIl/yv3P+/4S6evq25YBn75ve9udqNxv02DrJw1fZlfsGFhwbZm20ohYZW3w1PVBe0+RcMwLb+4HvyKX3aDotUAa6Gm4/3+6TF//P7g8Ly/fwlqm8PV4890v0JbFzVQFbVOVYpSmJiVLj7AT4oFiZewwENm9yDPGgF8ryFIGBh0WN4LXPKEVAZWH7FAMP9BR0L3SYJbhl/AxOOFeXSg3ZkHyTDGFH35mWh1p53EE+FMf2Fpd8+S/8JyWNifxfWBiTOZxtXHIc+tp0GeYZ8mFzcY+BbjSehg0BGHVTm4aXruSas1x1Tzfstv2EcByiWo8TVvZBYdfNpDGA3+aTUX/MGqq2qoBHJvi15po1mD/4W5bgSNRreIHeWcYaYczH6TH65tTJViwGxhZD5fB3VGa2BHKUiKefKLK+Yd+6vnJet1tZgvZolznj8zKfTa3Bs9ZHgc8WRU5O3CPn+AXYtwp/CSViOngROou3SCiBDuhlnA1p/DjTael5zli7xoNgRPVG5F8ssRVJyOM+M572eb6sstA7gkAP5AXzPkwQrzC4YRxnKYQT/WqiReP833SswwRrTmTjwutVoCXvpjEk9k7gxfIOdqIYzGi78lk/FTIUTp0ZhbG1yVGi3QJa0Nd7sxGo1FWxiCZkmNg7XFi3QHIS20LtaK03y/d+7u1vfT/G+NLy/1uNqqu4d2se1v7kvW21LBwitqmmyklB3mmtdUsX7lvO5ls91t7nTbm0K7K+4LdqXey6uJ8VwLIHLqwmGTWqkcBHUqxBk9Kp3X2ytLDkdpC7arzxmUXGZaKvmFrBbO+vIXmdhfLMaHlWLI6T/p1AG70hKYlEjKhbNuchaGOMTOb6OdF2gpZ0cIPBKHx57wPH6qls/kz9UQy4yx9ibonR3CEkyIC5psFo10DktiMWIcDDCdlXSm349dqbvoSO3uTtjyOB/X5o+3G5tPgybNxNZ4YjXHldaKwJn2U+4/Djtur4sd/fNgLtE+iz+4ib6jMYwS3l4jvaLDC1iYcuY42dsjDNFiMJuvD7/bJH9TKuzQW5Qg5c+PBpUGtnG4aIP/+/6s96tizMeWqdk7mumg8vnlVe/4wV6eOy4P8k6nGG2/xv2iaodUrBIjW/5QRILEtweXTyTR3OAR6sK3QAI2JkWU9cHDbnp8tqStpfoDZnoid5F53Zjkz7x2V/JdanfjZJhY4gEqEoSLYcsXeRrspFXMowBWNjv1DjYOwkauzXonX0e0SYUTvaCNt76LZwAdDMEFQTPC1AjFiLnsM1eJOYxWslWdVyIFJoT0GB5gVmAsSAt+J7FjuiOXWxJ12gI0AMA2qhN7zlrr1fguJ/gg2bKSwT8cgf9H8Or08g38B6kf/hE04f+wG+I/YMX+QZ7SPwTn14ubgIu+zOoVVidX0bW9hSv2ZXXVXNj6vafFH5aL6QtLUTHag9OcCgD38hG7vxo5dShL9b2jEDSW77DkVv3BSDUHqYPnbmlh+1hE0qIIOygPx5klp0J5qH7JXLOn9HWzLZO9qsJNH8Y4xc58ycTn6982sSHveK5Nf0i1yiSAYqXWTzad0NOSYtWeqn1EKQihafgouCEeztIsUyCilEw62h+5bZJZOWTC8YbLzIAlqKnYrWy7iJq2C30m9rF//VUW/Dl4k+Kx0L1TGKQZ7Tf8DQ2mNOxGwQcUy0ydF0mk6DQaPplv6F3OQblQM5segE+FkXoHvfytxNKkcVka/DJJB7Cr9A3wgVrKg82ZyXfY8qrkLxG9yxOECpIrCyuhfIrz4xUFOXfiTF+bIU2Z287dTUJomCcVKA3H6bhZIcAztpeO1Zb2RyWZsKW0RCY5Ne80FarvqSDE63PmvLNTxRObEVeWDJO4LGSLsg/EAJ3acpktahwt7Pd9v6oIX8JFvPobNyoZ4KSi7HEinCnR7AbhRXqbyKExFTmB4UWO59KP5eVZluvB2SSJkcADGxfRMlPHzNv0ljKjD6+4Dozpem6wnGlKiBipqjABOlvccaedMfH+EOzFc9ydVnNn0LkCPMqNPhj4xZS34jamC9W1rAXnhavhw1Eypx0oCcPoxacAqPlo28vM5hZomKnDLgzmu5AriluY323P7ms8ELcm4+Fe2dfxXdfqDtMc23MbJMGVkhPS4YIaXyAu9Rr5YcIetucEM0Gn/5PxXVV4Vj0R4O48czMaXvvImePO1c5mp9Mc5PriCGMWmL5kciXcjYvpGGYZiVgAA4xnod/vicuIX2PaUea8JJhecHSY/J32jxMq+JDQZqBr/k/p+IV1nZKZykbfbu8Ok0Fn0+YASBBziOE5Yn8ZX3GoHDkvsDlLIcjLVPZ/bBYA78F1grsluxWjuhWpCLDarroXPGK3V5jPH4SgGpXtsAAJ5DLms4clWkxBqEd4aseLju2csvkMpH/OqX2Sg0t3vYux1cFUD/ga29u0GtwJY3NFfHjHjw/vrB8f5jbb3G67/b3d9h/kbxRhAFFF+DAABCxv/fecDhKEacgkYB62cxfH3C/JT8iLslotPsMy1AJ/lNmq152NEm+2487VFaZBenUSD1ohvfAhK+Qgmgdi0xqQlp///JxFYpiPi5F9WApTWMCNpS1iwuQwzOgqQc8uGkRRcWQiL1YVLDSSE9ycNDnXPF6I2o4QrcFNoZLNVFkGafoEAJhsgfhMOOJhOHuMD8xewiJA24/7SxFA/hXz1l3fLbzEoKIJg+lgCcQmkywhAnQY9Lo224OdaLT/Fr/n/OL8iHx73aaKUUM4vgYTyFrjLhh72yLG9agQApCvVoIBHijWs/CNmge402Ro4GCASh3FKyWleRnuYMKOPEXDSZzd4IawOzwK5t4DZLqosyMecRQ3/1ccS+xu7TSv2ldX8GqHk0lyHU96s2sSqv5nzBfBVcbEm1tKaE9JiLLU2c+qlggEfpLUAzqtMVMN6uBx5xi763rkWyUeOcWLSV4/aat5iZxzNN0sBckszMDubhVe7wN1OkGnlLD8A944L94Tet9Oj8YQpC2kgzJ4lPtOXIx2kS5mYDmOeydve0fSvoKDUZTxRaoAw79gR343E4A/692iOMYb+yB+8XWKP7gc3yZ/T6eJzY1Z4lHbO+GtkSKHmOTMDO/lKBhouPjz5rrVbXax/CxqmxhofpHxYcnUpF7J8hZOME9S57Yw8HB9f5jfwHGGXTK4VdDiizHEzlaSDLYGV3kMkXwGZL0CQuBdVqAHrYrBZt2ZrTU2B0uFTSJ8luDVDGC//Wv4Q95qVcycAihsJc3OYIddDp1hZUqcjpymTZyLNpcNgd2K0SoZT8d1cYoeTaTujHVtwH1Z7tp8bwD4LXwXauVFRqge+ArN5rhRqgDmnHWwFfw6Ikc1bpc3rHxU7jKjGozNwZ4CpCCdMui1QM+j7vxK0hg0DMlHAx78KNn6/p6PhBjNMpZJ49qax1VAJEgACa4XeLYgZ/pX3KBaMEtoRovZjM/ccQPJlsCKhpmz2JJrHQejWXpXG1HjqytnIjR5dwoobPPsqNbvXVwaRrza728aTa6+QaEpFLtR0R0eZ0tSyoPSQ2rIPPxwxMaVumUXE1Sc7JS/1v56cf66dnn6a/9E0lSK+Tsol7/1jg4PepeHpyfv++fnp+fBux/yj1MB4mZReIJsflF/94MsuUoTzp11ZUQ8LC5ylvtpIOlrhlkgfVzFhLJ8eXpwSukABMp4PfFd3/2w5i5594Nt1tFqbHc2O4McHwSDrh6u2D63S5hgVHOW1IT4ANfOmcfXvwJuQgf8UxYc9vo4RUI4z3P0GPTbbDSeBP3CQlKJhJeNn5nc1jAztg67lB3Hs2zjdHJ/e7dAqnuT1KetYqR4bKoZeHiLPwz2FmFu5GNcwFQwBrurubUi7tqqAGD3fR4FdMENo3yTP7UaCrE3qPBug6Z0AwQFkxg3vCfYZG+CCERMuPwASacdM6aRONBpq3rYO+lxbKBS7KWgDu8NrwT9NkviGfqSHIy38MUtPaRmdB8Tt2yUaaCRRl18gpPk0/v/mKUfvKRzydOk7iPaZBs7FaALziWS0n2xkBSupUDnOJUS9suxp1HOZmhnGecYn9TSPFFvCWPJJua6IJZ0ALiAxQGXATiFd6euIDpOEW+tgIZR47TsqVtH81/mDVLWs3umg31B0OmmcnbD5EgWmtnsdWJM0rjU81I9Ojbsng2p1efVYobZ/l160TE2XM2wCcSIm/kVym0kU93enxMbZ9y9UZ71LwbOTf650Ty+3rHscXwJE8aNiWmRBcBULK540karoQ9zIyTfW0F8u1YQxlGnPanKz+HIogox3txGPWLynoFroue4xu+KdR/+CrZMPqwhmuXt5X6t0QFFAmLlqRL5/iS1YihbFjObzAmC1n+gJnAS3EV3+AEK0COstMV0tPOxlip39HYVD0JuImkQEmK9ZQ10FvuioGP4HzWdhzyTrEl0lL5DmTPBlTIdHNl3ni4mE4A6oESvneq79lZ9ZbMKgMHropPOUnTCjYwowyD7YILbFoSzfcNKmtkUJFPiEpWwGXpN2NHgMZWAZIqTYyIVghjuEJ/EuTEv6xCZrrKngi/nmjf8u+NFUJlBqu+7WWtumzZc4nzZXzOMlhbTBgWtyDumm+458TDqcwyy0TU+C82ukxGAnkseiJzT2EzmiJ0mECqd26Cid3T2BgyxRhPJMUrKQnGjrSTJSNqbOQQdZGg5LNcDM286NMpF+dDca+y0h+V5onhgjkM7ZU2LJkZSf+EWXMD2SGJkcDNXdIOmgAfxCplFQETLlBELH8MwQWJt+CIERMIdZKi2jXO72MoTGRRqNUX6uEwDjPWNJUbsBEedkjNHxn63C6iVeyld/2Cz2beAHdiC/6FG/QQXGubK8Z+RXaVLmusFT15UnLDvxvaf6pz+3OggJyvVWVPQq9HSrcS5Pd4+wtHyQjs6YUmwZc0t9syRoYKm5jxdozzRJFnNzYeAnvaR3nhLX9qLLlFMKTLGR4pkmYrUxpW07qkYFNp2vXBHN0cP6EDu201udJcKpGrqaLATUgucZXWH8jXBm3gnvuoMWrGJoshEOoV6frQtqIiYO+bsNr6r7uHskvbJPqH90NMJonfCycM5xil+XHCltS582fHgyxsnDZZXitgJmIbjZgaf3oK163+E1zlIhkGrXaUQFQqO/RoJa/nrTpVBHf/hV6LQITSXF93//GiQ4lUyleTwcrvBeea21ixCjQt+PQxodXl7Ub2gbrVWrdWmf287n2/z52Vne9N0WnPeyu1Mr1RIIZbvgbYGpF4vbRw6Sg1KDhZ35DW7E7uXWwZCzDPsWnXvTGklBfMwRTmczbHEo4rDKSlop5ni5hpY0/gf4H2EvH503uo9SXM/6CucB42ew+ImJLOtjrtVbUdT2a/o4mJ+rSNSLEPBj8G/AxBuGog8XMyo4utHzpy/h2HhRNyOr2e06UPT7xtjSzKf6D2ZIIIoH7aSEkeBO9DzkL0ezwipDFFGME9FRiNKYL/36auwnJJSKelAJdOLXHHWq1PDJ0DlooNEFNqz1lqVo5ySXeIKfU4C9pw94EvCnrMj8mJTMQtW3XM2S1532F99x1D/dJXxZdqUdcTDGtIoB1n3mr/yREbvG4paqcrwmgM9icZ4XuRVNocY2XDmESeok5sMb/byXzoEUjIL+HOeBzqSqfzW7OxWsWBofH0zAEBEKRuSqJVjH5K+89SSGpOzxqCeQ5pJQDwwc28vdPBgsqgoFQOyNK/8DhQwkqRHPCiyqp9sA5+eUdOUIHT2+9dgLny9YDjYTdrJCI+v6O+MqqMEYPgThsJRIhiPA1LFLko7RSC1U4gDXSAdKEWkyJQvqOIBfOgR9bOMYT6no8wyRGDy3mxO6NlUx0dBw1IBcZ3K3Q1Fk+PBMCSjhBF7AtM+Oy1uaDoTWQ2rzmhgCKv601EtvaqRBrd2hAduDq8Kr4QyNQn2pXoFVzwyfzkjjfAEiuryKLkHdMc+GLYoOAPLhf2f/hP/h1iTYWxg2GmOKOLY3O5KVpJ8inRHu13Mp+SxcyosaB5YPYNNTLW7Q4Vkxs4jL+Eyl3M3oRZTDsVfzk/fnhzgybip0nHLq+Rt4RWb+JPfMalRQqHaBphbJeSOuUFAB6BePlgatAHuYIwy8HGITDD9ME21XiOPN4Wfi1kVKCfR8oZppo/cSSRNXkJjOUP1kygwxnNMZlApMMhCEv0BymdkMnthJajebxZg/ibGwOZ4WglXNVVmIyOvpLhH42vlNIDPeemFyJaHwtzAIbOOxZj7RSpnRbPXHKD93STpUoNfmhwz5RSWY4qNSng8zjLWiVxQo+sY8YAjdMlQYKNgOJ6zVnZHzK1UCZ9wIw/Uj+L0pxTonKCuxV1Nu9zvSiqbzp6gArhD23eHcsJJgBi2JYOHCxK5GoG6ulpmQ9YEPMuU8sx7yR0t0gEk0ljDKAi1miL0QhDGcjTmFhpT91RPebNQFjk4qJc6gpou5sZAxchNg2WW6V3y7GyjMsV5/PvK33F31KaxdG0q</t>
  </si>
  <si>
    <t>shVI/9RE45DYq6lABGR0cyPy1d2dp9iqS/PjwLh8z4/7tniXdEapzfKtU0SkX6JaohIjtfFY2xTlbdIqZSHt5YLKoCjDkYm6s6UQWmC+9KAgtPQxj/8CdTqP3/8C4IC+ixiMs6J805GHmZ6MpicMMR2gkE8ngYJ8E1GnGZ8k/NadCWLafUpazXSv7aORABNjeRkw3up2qMMKo+LxodtaSLI+2NehNcJ7KM3+eDq+XdwGFdxilEiIrauez3fgpVslh+XCZUSSpVFlMSdzoNgQjRTAB4pRdZlAqnRR2bwQFWLdmZT2jMSygA2cp1Mk5KSW9QZ+0LtU2PqDmNxhY9Ao+DEKalFQgYfWyZOgou/wzDGyfr4ePgFcEoYG/FtnHizqcVg+6Ve/L8M0ouEJ1vD9hM+DcIjDAfYJ3B2TM55egfCB8cTqr3poymcyr0kux4vwtUunKCrJON0T9UKppgxfcsTdlZz/tl19muC1+AD9dHSGrWxBxmVilfbVAR9jykBKOHscFvGnzRqtq6KmQaw4yXNdXvVfn573RbGJRnucD1bs/7Rb9MF2wQfb9nyww1ssp4fJ3whezUA1Cs7dj6fxaAyaIHy1AFiDjskJL++PwfkxZhGiCDhEsppiWAvC3qt9L23QLRaXXhNywgmOTmuz3dna3tk9P240Gk0R3tUuWWHIrj82li9rA/qqmieIwLxmFBN8xNmq7rez5BqDLCdwtxtN4eB2Xdqpg+YoNhS2Zljs5Kk/V8Es4X0G7sF+jx274DJFdJGqyTw9YSXG2/q481vQutwyLRVgQnHTrloJ5zWZ0da8Z1lWo3znnDtZqoDaSxhlUOHyvMz8FIls4UXIk4FRzmYEu1CJ5pfQ6ZVQ5o/N488B4s35mDdwrikCp8InAJznqe/p4GB5yoMp+siqLsPzY84AoI4r4kLV5PCjlI7DahvpdGUJbxWyU2j/1UVPtjg1gp3gUOBur040b2NAsGtVIdHSDko8vTWZXkvaTzyJOum8T1au+wveb9J2kCy4ul3qulFkXmbZMWbg451QO8rMcdRgOvdlYbwPL2BBh3PrwaLmHhW71tTdY2DKJlGP6Sf6+CX7gcSZSTJwNeb6AVeNw0PiyeTZPaKc5viyxljly8oCCHJDa2U7M+R/vtH0shV1n1EN6XyFi/S/qGfWvyrhGp7xuGqVe2SRNmWdxSKwaiuTcHTt/mRoOZ7bUGVQUSG9jD8fjvgKwBzuh2QxXp2w4SsVWh7aUlkN1ZBtiHUteS3p2tp0dUAVa9sdc9Gqkp+zROmazqN6hUtlgASXIJwLhOFscZTRQAgN5KI9zn9gg2ftDkNEQJDEe4Q67ygF5MB9XYKK2B6qDdh/e3F5enzx/uz89PXhUb8LmAwvGiN0y5KEgWRrp/rsTHR+hVpeutx+u1bGotXyJSmmmQoaqG0snvCqU6z0TQ2HPLsyuo7hazLI3WBXbS095MegrX9XqHFkDhZUqRkjKn8fn6jyF2+rHqzQs1tLlCxtrZKdwfkNhc0RvjoJ1xJ2b5bXEflN6eBsus7C5I0oRo7+G9dFezjCNFawFTafnNx+RCAbDixZuWkc/o+K08unYGO0t8/XOEfOAZPxFF6d/AhyoPWwyRTecsiIg1kRsjMewXE6iieP82066/o27dW+jaaOm0KPqzGH2mU6JaFq7CN5z4GhWArlwV3wvVhEI9u3T6+OAgYS4WO9GRJnSiznYXWX+iieN9Kzj/bOX8wD/hxcpFPsk/yXdz8E7xaNRrIbGh/DXDrWmnV6O3hd+glxq+Dv5MZCtzJkF6jMx8g7EJWinFbz/kGoowhpZUwh6qrFyQpZhHDB7TjDrOhYV4WxqKl04mHrQ7BVXpoaPj33VrTS2hRnks8OcoaL1EYXN5wA3OA+sdauohk0f3Gs5h59FfiAm+faEdEBxZydQ7prAwf8KQE8bBY11FbSNDI29OF+Dz+Wt+XPSbi1LYaspyYW+mehFZdQNK8wfgYt8me+/IWZfFYhkbQByqom795bHnocfDK5p90W36Zia/h2xkV5COu/BgSEQg7T/ixYf+V0oHV80fgztsB80erkZ+bPGfzn1f0LXiH664AqgGH4L3oX+2bmGjRxe4Ezu7K++BPKVvie9/NPxhOgh6eOBa44QL9EAxN/2UoNHGksCGypo1BoU+OvQ0JispexgywrmSbFWaukAEdpEMIwQqMJtMLI134ENFjlmXh13rSp7gSNJGfNXaucVii5EEvVSYj5xyVaprq3TLM989FBfgULYLpkHQuL6Kybay91rciqoMXy1GHFtxj+WuqAWKEP7v3Vq7irsOTCSGcU/4s3sOxgrmWoO+tQwcP7qi8VNkbjmkLKZXLE40HYQyaB+Z+YOAuptYdzLm6CDweL60ch0GVk0WZhFLL4M7eBb7hHNbsJNQjjdaKMKMAeMDmWAcCt++9JhTVAqzf93gFs1xZs52Cf3ttHtNJkEQYyqUv5oIBD4q+FB10tuB2JXU/ZGjgODPSldpdtBOFt8nk8hNVJ5sN6cCOhn7XR8taTnQSYwxquufKdn6waGmrPj0pfsqoKQbK2mUSHLwRpW0zimY+QxUHEsmoMhlp4boCxi3vpyA0HMJ6bTh/aAw3ed+FExjl48GUR8QJULfUHRQUb1eJ/+3Po48cLuEXXtMrMe6JlQyl7aIZeKL9a1zA+0g7LX61bdGPg+7r5+/2Mp3bMH98DzHU/Hw8zzTNtKrW8w0zVrn1Kkg9yXPgQltsnNDF/HiB3aYRSWjR5AkkHVn9bpOSVDNKPyYoQ69Yj+Ga3dr/zzD4lBrvS2EPRVy4oIBHTss30QOwyp7oo1wKlxNtSco/1dhJspCjXxJAiB02TyFcPLripxLS445RXXI0lUyB0gyN8zXaAW65kVz4jmCqJXMSWipMXDQQfAHBlibaMVqjKyJ2nar1EIyHWopfIKDDA3EecbxQb07JxN1nM4PUy0FbDG5k92DT+9LWtVsP1KpviTfuTigG1Ix2WGdUZRe6Zr4avvJ7BLS+pef2LFy8Arv2M3H14VRh09Z9ZKKFDHTegqHiKDjvTqnutzDAsS00tWFWZpmYFXeyk05vhw+g/pVJhfktng7yDpiPE//yjgOhiMxY9ECVwDcBJmKuXH8/ZLcLTW9anLj8jHWG7yUSyIhPkCjKSGj5N9LEoFSIGvOyEVZEMin4FTpecqEkoZ21IVWimxpTiHqTqbBZomBwiXyK7Sa81q4UVwdnJLwhz/v2s/wsXENh0CmmVTOwHF7/9EkgMDRBLd3wLMraRfbz+8fPtBIsHp3Ky4cTuvUxWOj1Smq4Jc5OtDkpaVlsntcIw0RaTKvQrTVDvcSs3RLkvimHLA4+q+IXXmwDvcDBL77z31u6sOH9zmgiKUiJtRiIpAyYcHs/nMYWWBGHj7zGNgEL0VDDKjGwT07hhLHnhXKpLwWEO1TN3AVwM67SBiyQRO/aFpF0dXItbEIM58A5VJ52ejJJOTAF0volntxM8qqFXoOH9LeaJmnVq+Kp1WOKgEgfNBjZMa9ApTPa3BWxZirtxIRB41QBfDTv0n5rrNBs+xfGj8FFxDL4YFUoINZgJqtJUo6RGLn+UznZIRDxIjEzL6GYWUAI7MZx6DKh7mCbEgQfkaF7eMKWkCnNu8yHCI5QDYjFxiaQ+YqgYwF/yCdYxlvwiEKH6g30uWpIE6Ib9cj/bMBaWpPBVnCVbberDk9uPewP6KqrX62jdQYKpCJwXqzaM75DoSZJahIVrOMOVGokIc11kop3SqdybjkDRb2KxRmlFgI29Xqgr5Z2zgTLKQUvHQ9PKkDQ685z4ie5nB6/lFgn2pEmGdOCKYx4ySC8mubPtw/A+xxYkJZQgn7afQQZC7Or+98TJ78HSns1OK/j1FQlegZ6X1lQzCvmsGJfl11eAzHoB9UCsEV6nWUIXeuTuFxhkjdahfseE24bnzpCKg2PR9WVHhI4w3DSgy1WMSdxUtkSsbBdSmR2haXGPMSeUXowpLKyT12DluoB5f8Im0UZk877Q2zvE4KIDeXpehCy7MGcR/+u/7pLrUE4r19g2eyqmzqbgKi0paCnsjxUu1vb3LJZvHuLusdUlSytEU7pPvZKQ8IRCetKNSQQAoIi3jePAATisDKkbMCkgVoGcnUZJ5Horh7hWzIzuN3Na7u006my8Qj+0a7OtFfqh4qqESJWBbHnJZvNMuc3LiZcaA3iIawhUU+AA63y3kvI2LlTIvJM5KhYqaOFvmo0ilr1mzT2ty2w8lNo3GTprxHoglJ7SJkpgnaP/K3+oLOEKBuWCsVWbbRcFww7rUnX74H7OCeuYa58byOWMuowhJz3fJqyafmnw2RZit82G2jwLscQhXqljWwiWjdi1+caIbaZGZFhM9bxn5d0eSSVMwGNtqBNU9k+Pj/vn+4e9o/eHJ7+dHu73nbF3ZFKmvF5s8sv3S4iuG4M3nnfiz8pv8Mp5//Lt+cn7/dPf+ufOg7aq3BuDiCXENtVwIoPw0uxfnPpSClKSuPA/8DgLA0Z4E1SJ9w57cPZhfJfZGUSCUMngmTM/Komm9G+esmgRiR1NJtwNOypSRbgD26WhhwD3JzkVoVdRxQmDGA9rOJ0Mx/ZMyTfsaJTL48Pjfm0CMGXCeQ6PORE5QjnTye3TLqcyieFNmmYJjQPhzxX6SsaRohHpxrqaCyDFYfAIH+ee76zrnm+vcs/fJJ+RAwozM6hZdElpw9///ndixZV0LXGT5DYhJrvAgtMxG92mRMSEwRRdTxTFT3hctK4vvszrBvhj/e2Ct+11/mOSQjrXg0X8K/iLr5udxj7vSHi7Je6raAPLWLgPLzhzuA31LUsPVx7pnaLevYG1cBeBPO4/nf/yKtiA/5z/8surV0KLzDPNrjrHTT7xEZyJRDKkTrjwuOoUBmQ5f9R3QiNqQqnZkRMMCXK5Fj+yxEfFAYPlAXRGja04sSj4z//8T7GLNDBpQTSKZx8ccJEthtTPfG9NJ1QEjZeBxbKMUpm+EE4MbKdIVVOu6NVNMCZTV9CE8ii8IivHbul1MmcGV2r7lHhT8Zyp+kt9nMe4LMUpXOGb7HwvQn5GlmAQHNx3sCYIdFBPkf5xkpVxq5FzEnM6AkPIG6vBa8Fb2NFGVVBK8p+azVZrc7NqSvs93aFBxuRKu3KAo5yZpxHpN2xn0Zh7OQVJ6ZDsGXiC9afmFfx8yMF90mgTQPjS6nySTK9B5WwLYszpN0mlrQO2kuibwWt04FXiPtSrDzD27q5pKZvNckuJjCgSZNPgEz6bVh7sH55LuMEoqrv2jCRoI/xSgCshYYqBGdJi/Z2tV9XYoyWCwenjkNO6plNbeJHd9nrp5Q/JK2fe+OU4wU2o/WnwcpBORj9tDF4Gfw7e/YA/fPcDHvURxmMbq9kHZr7wUy77pZEHu5vt5u6mY9P1dw9Y0NJE2j256Z/krpXjX49a7a0ouOidHLw6/Ssf6DiKHXZ7IftWF9ZWZ2ZU9eXOWM05asNe1ulcrK74bBwUN8F36WnAg0upgXzGra/x5UygWZrzkbi5Uy35F8FZb//Xw5Nf3l8cHZ6FePiKYKfEAGNA045el06uDvhqkgSiG79Ou561ZYna4CncEDGu4eoulfWi2MrMh5mbT0w0/pj/FIPWq2pLnSW9uBK7ORz7KyEAW5VPiAhpUXBOk6R0D40zmzNDIA3Zb/RX/Lqy/7CpoSYV88bTWDpX4+0RkR9TCiAg9u9CbhDsVA56yYEfwWYeyLPn9y4HCEZ50fn+2gKgvZVBcOzsjsinXsVdsuu2LYY/129b/B1HPGGE09ExCBpA6WE4wbaopHqQGiXRUi6vp3CQZInpGlSRaQdJPe0gneiaPVJExljDvMe0V3LWp4LNRDIDLAp6wlRMrbKfflCU1cPvbOxcu+Hkv1R8k0YZymfn/d8O+78H+2/6+79izEz3CasP12BVYBpYx/HnVUE9a24kVb/uLrKsGaIvQdpzWpvHXA8uysECz4CFDBmnRQh1itF62i6HxveAGhZHl98djGeKkAKWSWNYfEdTkeVp6tKurM+VlqNLx7F7a7ccqBrzyR6ra9tvuFj0tuHvBFo8X3y2gvPtnPiY+Cejgj9amPS9DkdB2zjBLhLAdBUeswEqgvXVlCMYEa4bQSIY79HKPMzU+OrNHOakHLt55rSMsFBGfFbL/N5kN5qNr0iWaVzFo3bcpgAeNdJmmUAdoevOCvckjZy5BEg5tO3OfnYm+W/Iwgvqbhbf7gWv+0h+gi6YaCRK7/w8r6NxTAu+wuWbwwuLCt5NLzn34XNQaW+NtkaDnXau+9pVMh/eyF1OB0jF8HY24T4w8NTZXHEqNqOuxbNrT69UCmOqSoMWPkqnRdX5eVTEsdlYN+LYXpkQRKGauyT+QGHu8JKFS6rA6A94jzLRoZQLyrRyhQgzWhLDFsXtcYw7xILM+evyCNfVCb8qI8hrfiI59k71QKT+NoYLeTMqzSFz5mMN4mrPp9RXW6Om8NKc/6dYGisehzmN4hGzSrdTxWCumyvyxIOOSN9CZ1KazPlzmfNNLkwxpbmjWV2+6dV4RuwvfGuRA7n18AZUXej5QGy7nKhveJZTOKBa8aSBbpSZ1rbwmuMZei5VYQzheYi4aAK2e5xhVgoHD7034ifyO2eR08sFPy5mgsasOc0s1X2qerdLOgVi5+4qwc9g6s8AA8os3SbzGGUClRqbA0wP5Vli/kRip5IpqH3CcKf7/lUnD5ftD03VDeVnigLhXF++Z03jm/pgf/xnM+pHJEPn8tFucIHwAz+Vm3SDfToBofNH/IDOyXjfjaXFq7zfHKkKUNXCb496J/BKdCscJQrHfnqHy6yDo9dDc0PG5o7cLyoP1wIwpWQHm+CwqhrLBQs9ZbdemAEyeL3TxRzzQg6cOoCcyuEyWOxaPWdWni7GjkX6j3qv+kdUu1I8B+RhOXfWa0734UevL+iyi9eXZ/4sH2PLPR6CfTzN9K9jobY47p3/Chdf9E8Ofjk/PKB/XuD/P748izg39XrB5Naa0hrifLwX7lKZMD6wvsSD/zBaLw8cPFT0KlmDoKRxIw58INV1/uy/y0mKVDdDntfITZQLSN7xzIhwJwBX+J6b3ZGe+kgVXFhuftk7PruoH53+/v7125ODi/e9o/75Zei6GeYYaoQneSlKhssXHl7M49s7xChg/4ZJ8NMLOonMUEVHfOp6eXp21j94//YMJhH+/fbs/eve4VH/ANZ7Mkk/1ZCVLPgtnmFTUZadE2n8E3+E5cLctsi9KR8zDu8j6tmHvG7xLV4VcU/jY0n3C5+1ZmRpcOASUR/MNZeELHfrAY+5bj3SCz6iOqRDkAD+25H/bsl/t+W//wrVI/9SCU6AValRJ6c4UWNBg2YM67wPjypsiqW43kMBXENJVhudc9z4fK7G9J4eKz82BSqLAXKCgGh/RPszkEJH9wg8wQPI7AtsOxjDntX31JlNnpGVD0dbBJAJxl2nlkpMDtnYkdJN20ChuW/pbeEmb5UhiU5YCZ12c/a/8rSWHhwXY59fWqNcsaAqLLHL0SONMjylzGLS21eMWSSrCKq0LDemYA/VHKL9AmMIT/CsBrzBShPwtNod56SqCfJoiUGO3OE4qSvOebOba/sNctTGt2iW8UxJuF3G2Q3ueHKIu/lNXzGbnfd6tHyfu/v7gT0t15o9DZMomzm0cD2kAEOU2wi44fqfpdHlxT34YkifgjCBf10mcOZrp5KMbZb7vpfqRkglr5s8VSqeucBPVAqIRMcpLFoaRKq4t6r+jLKF3ilMOt2GAXlFdl3t5bLYCYV1NMGfwzQPhmXCcmXAp2G+u63Lyp4YnpiwUqQsCNEczr0Uk88dTK6C4ELyPVlJeFr/pHdyiZqmxp2rjAGokfqxSlDu46g+uE1vQuGON2NMX7jPu4pMgMnVKaouUX7hwoPLfcNaDF9yq2rzSvJjelbP6lFqlDuedIMPYyXc/gKw7WLtKHBgdkRolxl8EKEhXza2TsBYEnqA1hI+rHR6by/f1EGQD1//x/v+MSi0iD86611c/H56fvD+vH/Rv5QP3170z1HIDy9BBZfrU8lcL4PQqIRZP1JG2/3RePoB9sZ88iZdII8P6OxloD+vIfEFvoadeKvRTNoxt9ZzlQgzByKWefcD6zc2m+9+gKV690OJ5RSOteq7H/b89kLD2WIwSCw9QtLcHlzt4qmyF6JjAXq3aDV3W9qkXvrppMr9xYO7SMQJ0H3ExZJiV9nYRsEhV6/wBjuO57Px52hZkmHui+wIZpU/Z2Xp6sozbnExhHkYUdUYKkVtHAgre7O4jadU40KuZvVxAcFCK2SG+X5AsF1IrPAWr2syFCj+MGZmVUBZU6r2oVQIBlM15onVTXIM5gYb4W3wv6jZJOgfFDiMp1ONEXEqyLEnawv0rzUvglO2O43GQ00GneHijp4HLjYryT/kBAdhaAwuOYEXKyArH5L74G/x+1nnfRyJRnaSLHpOJZ3QOWB+JbhqMOoKvn01kulA5mSeK2Ijbjg5FZijQ/fRAXCkWIfAjx9Ulc2MrrFTaIrd0CKUtmH+S09Jdv/So0n5P5G+E41CHsBdlkpJ3HgPrhHH9BZcFndxN5LcoyDRhtCO6ODpivwk5bANRsD9gnSjlTAD4GM8WWDGteSo5KKYNIKSBgzMkFUzjWIo1MsTDj++S8do4uix1wmMoYM5eM6JLOdDojvpcIRyRjPmXIYXKTgFdEb3iXTLLGXNYksNGFBcJRhqgLnZSgZJq9kO8f1Hweao2bravRrgJbr+EfcwQBp9kqBq3Vl1fkOjqPFVIzNy5AVHU0VBV5+lskYhjcwJ1huWJUmhsOFHfudmE3tigMQWMzpEsmPeGBwIjmCSJIB0pxIvftu5Uj5vBD3QsdiJchLDjh3TOEcauEpc6XA2JkoWFnWsUa325KkanvTkIzIoct2V0vYSVwWDHrL8mVn/yCy9u7xr3E20QQkRqS4xZYO0Irdfh8HdK8JGTT9s1JSwkfPB5vcSuG8SIfLyB8zey9tiFAzDloZiJxVycdBuwB4m/QhyoEbB2AQlicPK3Ji2ZzWyRgu1ADL+tbDdDTEC2fAwVVp9scplXtxRsB1Z7dtG0ttL9GpI2eM7h5wyQS9bk/5fc+2cRtYCa5xIP4SOisbTE9Ru4b5/Bdo63ifhMj3vJl6Y/h71ouUlBUxtn5fq5PZaOhkLWapFzbxKJX9bwmeSJZQt7Facda1MAaIQ8AILu7tKjvCPFUKjwrFragqID/nAGohcnZSDF4zJWgE8KcUS9tGMgSaGSnmXCQ3YLOF5h407jgeTeyHnM+8Xzw2Wy8E2+EkGYBF/sAnvuhyvidicnvQN8KVZc+wn3QHJkE2GOXb+weIxegl+hmwwyWI1tCuGRZgVRgQYLEZeCfpx6AlaGGT3t3cInaVWJp2Nr8cY52HRrQdEyWBelJGoZqlwVwd4n4rON3zDs6AhOsk8N6/VgjeSupeRFp/c8ZoJt/zctCdNQIl+TLR7/Z0DphkXSqPUUFUGtunAKBK8Ct7VlMjMP6WSTTofc+m/dph2K1P8PBlYDoaawSucdIun3YI4P4/qS13m3a2d5lX76qpKKVKEHC1qlqH2SIET7Ry8SO6c+g4TTrB65A5mYpyCw4lXnpxeBidvj44e5y621nQXcx1Tc+4iTiq6UePrKXHFIMTHjRBm0/hD8h6rkMJght2qKiFMLVsjv4AtVCMldavS6EOQJlXUSr0Mh0UWdxMMaZhuq4NJPP3wKKfRcxgL1WpujRuy3pM44P1/hfd0XkI8fz8xf/zyBPTpTxvjl5inYcvYuORLslPwRhw9w9s6T+kG1iUFfRFx2JQnJApOZUbC3uTuBjzWnwYvXyXzGKsAokA+C1nz7jGAJFN3yswYL/kx7jGLw86ZKmkhjSPMlpfS5bxNx8mEEa90M9dMlSFxKu/KQ4J0R6GbkeAAZKSdpJ+k4g30J1aswBo7jUzph7DYM+QNylfYLZG4+Wx8eyuKY5TUjNCNIg6ymw+cgu2cs3qquo26qfHvSM05uyYzJCvuPgDJAYM5jyc8/hA3zHQ4WYyIGcclzL1BmOW0LiP+LIqJ2/1XDw5vbxdzYn2h9oRClWL91TGek5H/V9xzalEwa4m6N1RWil+1LMuFkwnoJ6Cix8OEzcCby+MjLR3i6AtLIo9hnAnLGPYVpIRcSomk4DGd4pGmTzKcKgZxmDDz7IWAK53HIou3/PBnDnIfjl6UUH3ST0TZiETsSSHMWiqgzlvezn0XA/58A4r0L714heeYcxRb/5vqCP5VO/7kDBKy8KXYz93KjelbjWV/05G1u5KBfZ/jfygEI4gAAh246kql5PhkqJFc618PeqpgGTxzDvY6guzox6IaesSGoDfYqZYjPIWI6hi7hQpOIzkaNs0mMidIa6Bv4KKh2bBumgnI8WfEdpKXCgkRSDMUQLzGwckJh0Fk1sNbIRwgGdU9R3eHLvZZor2/WhYMzUWZRKiHNUhH9wU2NX/wTM5xQw7a48So2eBYPTmjgJP0SjkNBYuSxMbYqS3EJuITAvngGsQMOgqwzDuxZpPpq20eHP7DGZ79nNkIOFGApxTnDI+X7jiTX+MjcpbuIhgQHGX/5HMY41kiEELI44IgZRb74z2mre1Oe2u3McwdMjJ4IhoxEmsQDaNwALVvNWqgI/EEnPxU1peP84421/WOtlYfprU6HRoLyCrMKu+UWxhqxm5B+QkYbyv2Lpyux1KrPRnfyjmMDf4+l/vDQB8c9DLnJ5QsHpa2VrsdHIUY+Op0AjMF2KfFPxi7uMHEbRcFYjK5c1t4Wpg7UGOnYLl7Ysf5FA4JN69OucE3AXphnKP1IIeABrWUTNK2/eFJk1pVuNstdlw9caYnXNnKs+zgwQTHAMHMxsNHnFkFZ9hJM7HBVTQIMOj0lisNHA+hvTPcbTcSbPwDMr27lZfprnf61Yx3R82OKhT0NHG/ZhTZ0h7pJm+m2c7fjIC9iQyJ1I/pUk7qo/vy9teG4IbJwA3swpJSiaUwzsJHaxwvPa+H4G+OtQ6adC3A+sJKeFfT92b+92Buva/BZK9A+JvfC4OfkWCk3DTkCA81sdYYBzpMeEhK6IClp6FSqligQDjpQiqdYHDHhgRD3I56rocWuC0/VwlqAdPLXnqGigFa6Z50Oq9bcMF9SGwXZC01pkIEGjliRCqETeGq+mpqkWahATknuPtGu1Mg4eKe3JQPxKGZkFkymAiBPgc7dngWSB4ZKnzc5zj6kCckoIIMNy51Qpllwp9PhxszhOuijDCBQm6G82aUIfZm53XjwyCCzquNu8kILLYZpy/wauqy7LJanJ2D/QMU+VkgZPnLBSG3zcG/MSp1BpY62G1yio7D0aVPKm9rQt8F+YdX2NtgYmExlyMhgiLtW5vxGagMy3HFSo20yhb2u4mxMIpWYcl7sUDGc5p8WDrYYxOstjJ0IISieZvzaaQyeZHoVh4hIN6BpbPm1VWG/k7XVHazbiAakNTGrT+EKOB2qLutenNrp96sdxpmVCe9435k5Y8EBSdFZwSldq8gr5jRTQevrnzYfT/7gI6ebmLtw4VFtrFu+Xi+bsTu7eET2WGd1JWMXbmZ3zNyRaWk7uZeYUnbyORpY2XtfJZFu/bd1n7rZtkohpZ+wleIkRH2nAK8UwUYeYqvcM5tpIhM8dfu1Lz5LNoa3sTr2ZryveuYG+eMVlp/2NwHtE96MwUnpCC1QfyzcUw4Fo7Vl2vjcuvJU7iOjaPWds7Kdles67sfvm5h3/1QtrII//zVhTv2Dg7O+xcXwel58AbG4663Y72srjZq3FvWSmFdOZ5Wurp8YEnVIp7XGNLL16u2D7SsQayhZVoNfNNGHd624XaFduOp4kujMpKMBKFdfYpgkYAiGhFn4CArLZ+zcysSXJkNmFqhaHn3Ay4TLEm2GCCTNBadp2Yy+A5seHlRevzN44JKnTXxadOnbFCE13V4anVkdFDKGdnUbIKmS4ORXLxn+LzShbT64K0lmRK6gJyBMVcqLpgayyzMzfeIKuP019AcIiM6T6e54JO7MfOgD5NZjGB0UZE6qJVuT1ei5cIRyiNRmyejcEU6tsnDdqcGU7H1YU3bSQFVOHy1k9PhHn2EP410cEK5XelkPr57HMxdI8a0j2PXFBaUS9QcNM7hhLCsYX91Vi+oaAILMU/iNzhHIJ6wYrKG9HOm2iuhqqP0JK5fkRmz09XdaZAzJhPhrYNT780TAn6i6Q3FXePzi1wL9rniP5iP8VQdtqJ2bkQZkhWrB6+cNlLymrZ/M9czjaiwLXIEl8AkxZR4EkBEhSwW5Z9W7pqypawA8z4SHquUlS213+EwmUpQRQLg8C2RmtQkKkX1C/wbJc5Gd73q6GQ9nfikLE4iS5hrmEhtJ4ansOvfYv7s7HTLsLB7YmKMndU6CSVDk4haWRFYhBsKhRQn+fQDJlllif1E6uy/TFRWQO2OD7U73+ntvjWyLihDi69L1H/tpav3v0yRVBztVOXEVbZkjvoXEbXnnF3TolUSSj3dRyquVPmZI72v0X0+x7bZaKa/U24bqcbFAwPhqyiDX9+U862w7H/wmpctjiy+dd9KlVTBc3tbXIqNNuUi07zb1SiqM+6NxZ/1qMYmmC600GZGkVzMxlohXI7xXnNRsfUcdZLVumd1PiTNPQoO+kf9y/6Sl6o+KcKWxtN1KfISwAL3nCTOxG3IfG3AHFGzOh/liOp4FJbeWhdL75Zi6eAlh62FPUralalSYE/hLr2rIdig5EjkHcqUZkLO/qlWa0gEDU6CzXCBrGdXQlQ8R7yq3zLRPvhkwc14NKJyM0Rr9+lC75N7yJqhX32ZiNzieMmBp4+fh9ilnZG8Zadk58ZiK5uleoStFxT468zAHMgsFl8T4OM8ne5JRoQ6kTrTwTwelALp8qHvBaswti4YKXapnZJcyz1z1argsVlpSpjA7jbUjNkWHVTkxemPa0zMr3Jv+cyQEURmDqJgH/kvJnYuqLchTPfHcTbGNEzLkUdBUvJ/luePcjUBuvhBeA6vmgjMHKVDLnAvnGz7RbA0SQlZxZ/5dEe6S87EP4Dnuzkig3SO6QLJ6DoxbaMw66mGCg1noB5ckLRS0McXWLjnxySeaPfGnFDwCQ+LOv/kQAgLiCGGNk7A7YQuc8ICaP2GDpA1exl0PeZ+OqdJQ8RLnnx+89jyBfodbAKxDdNOp6O2HLPIRNZRnFZA3C0/eLyVjyZvSTTZ+aD9HQR/AxD8KZ0ZrPYp5WU1+hEkmL6hoh6VetwXnGrYZSWgUQDJPyQdbY+PHB3IJsmVdaSIhpUGnYFUwZ9cO6VqB9RQzFlijgEjhdXsNIK7z2CVrm+igBLuuWMombZ4Ri1+JakCduhYiC9W6YHBjIzUEoUl72f0lPERsOu2SX7KVqhUmIY04J6Yrk6xhVPoVstVE7QDOn4yEs8IjFfba5kIGHG0fLW7/kKvOae5IDiofowts+DkzBtX4s2zh6fdsWJ7aNNVRUeeJueXuIhvswWyCdOZ+j6CytlwjG3q5KLwAZOpcgu+Vh25TOz6BRX+PXVlvwV5JcJOMAimwm+pTQD4PHcqQasSh7pKh4tsA++AXW4nUlJAxmZBrL8o+KRfW5tfgaCvBs3mZnuziQmNsNxn6R2NiZOQ8Xw9noQjznbgs/A6ZbPSAmldXFdSf2dJ7TaJs8WM789bYAPEcfx3WBxaWLz51YTasGstJBr7R8att9fF2tvLsLbyHsEaMaGZUq4UWpzJAbx+L9zs5rSmRqnNiGwC7oOSDe0Jj3+UQ0UsKCxrg2jDzkStdzgmTamSS4G0/zZ7egccdvk4o+BN6cFT/pal2NjhfysmMwLw4nakxlFE7M2fZfpilp9+FRyG0XMmZ2azDkxuP4dLuJ0RPCa5SQHD1qYgujfdfPlVFNzc3wEaz2xZkFlJp8RrMv6QuMdogSFsYh2nvdK8GcuhZUpFdnuIs9JMp0kNwwam3Ipzm9xyUCmYKluuoB44j8S/iAYHeYoxXUpddi5kcjLemS0tS90S8/H0v2iSbZbTeGQbv1Ot3ixGljZOiYHNzbTECCTmyrGCb1E2k+bJY7LOFJLG7p/PXg61DAjLRuEmJhHng95wxfQw8cNhwv+1kZNwvXUNhbkWX1PDOEtTq3vDHE4Ik4yWB6wA2Nvf0fI36ojCheDOKbSaAWMnOFZW0Krt4Hwrr/3LFauh9WN4VC3jslCJ45+UChqNg8BlTq4IGZsDfAY+XB7BSY2sIbQ0ZWnP5YGcfGGLRHzzW0NvOiVEr6o8EhUk6ls7iAQ2cjKkcOrALWwyDbeCivxICCGRs6BKiurTTUJjdron20RU2mG3z9UEuhRFm22dDxFtSdnCAxb9Zc5Ud0uEihqJOEJFz3yzNE+kVITcQZUKEmaO/NY7OjzoXR6enrzvn5+fngfvfuhdU3vxkek23axh7LtgT0Miiq2FGDwN34cIi7m+mNJNsvvbQTrJ3NQS3mLa+JUS/C2zFfVBGK3mTzEzT31HZzNpx5a6LawBNResEm/rwqxx5oyZVdtcm6vENDB8eBZUlr58hK8O/68bVuvIGchNYfSWMC6c8Hrymfq81em4llNNdGNpr1NkZQFr5IEEMktaK6ibnbp6f1LAEmmkjHfKntOH3E2swUTIDNkrrDbg8yeTcGMQLxewualAtO/xxPsjU97zmRMs2tfE74eD3aSdjDpO/B5mSmP4TH/IkjhLEK1k1EEaiTVBLIhHTMX0R5vg+ihXotgneavoSmyBK9HwXIkS4tkul4JTosPIYTJGc5MVa6pQT8tKxIhuifFVCY+r8J7cGP715Zl3NynVEV262pMoY8fNJ2U79xbIrzy/xUosn8R5BV8zfDXGfZlSVxx48Y357d0G78/N2qwTKSXbnOLMuL9gW+7JwJiZkEqxYNYAbheeA5sdJyZ38o8sP3R+02pZMtXAfWrMqRKWUhWD8nOkY9LRbizuEEPkhvKYc4GynHFaxdxYhSxktLi9vTcj2nNKhTLrLOb9IVcgLHMJHv2NKeGkQpQQvMFNyRcGGD5JnjOllVRNdvli+gG0CWwsZTFHw+8kmOdZD0nOsRXr7d08qGTYMH2KkZiqOTH2bBFB042UpLE2cqVRSogeTWhIfUMqZBZYqQZXndbVdmewwzyeSaOzudvZqSrjF1puMkiSI2oEkPkC06uryJKNY/ncayTw5cbV+LdD6OEyYXtQCqdVjrDwVFiQDXaFiVAoLomu0Hl7/kAaZPz7xekJd4TAQwkaLsCgq/ndmUjGGVojqWBjpl+KGIUnaeDNqJIOAxgKCUhN7Kmihrl8r3vMnbUo0U70kMyAaismaxRCJh/zGHBHWUl75OMpfS57fZSylC6QbflbcCmWSN3KfPsHZfXw5LJ/fgKSwkjJ0iw6UnfFvOcpSuZctr+IyR7XH+IvVODqQW+qW9AVL0U3MOm6rSh9e7+geU5Oz/oGDZNPRsVQyz3MHT9LaSd/hLPzvSDgW6ct9aaWAcKoJg9XOP0r85bZsbft2mxLNIrX35LngpoaFJyH5Zvgi7R1a3vYjjvtgZD6OOoLNEvD019ekAolWoDOM3p25FSPcpAjY9JpgNwWfNUfwlovixirW+4s2vXjeuMjGvuVNIpzVhO9G2O81l+2VqOJ2TkOjJRXCP9/9r6Eu43jSvev9HPOGQBxNwiAAEiCY2UgkpIYcxsuVpJxnqZJNMmOQABBA5LovPz3V99dqqoXcLFkeTLHc87EItDorq66+/Jdgv9ru3CoqxEqTL3UwR3eTI7CuizS7rZ7n3KSJRTlWjSH6jnDKSDDqeEZdGoqUYECxcOtFSdGm8DD0Bt1qt7ILfU/3IMHnY78XvtM+LaCQqFRwbnIYGh2Pzi4es+5PFg18ll8nWhsRB/RUIBUSoHlJtmPrKeHCRhcV0AOH2RZbkJ4/bRnlnYFUSQ9hJjem448CA1FdLe2gHiP0v2/VnFKkr/w6VCGsAiCKWVzeH6GxMsAXiLip2q4i6UbyqhBI9ZlVFTD1VkLKDkhfIauB0NHlsYwNTDGViJWl8ltSrXwEmBeGv7C4G+6cW8rqAv4CCWZ7i5Tajmmd4FXInh9E4EocUa6H7VnOuIbbhpByxVudkDfJVK7VHeEY/+Q8GnP78w7YXSEMZRyNGFIMwva0UYjB03CO0qFg1yklJ9t/kXwHavk0/5wj+iA+goFK5cPk31Wc5u7NMsYJ4bMVPisCFNk7KFHlGJHHyXlCOxYBEPrl902ihxzYxH+44+jS7KDYRTXz/4+xr+zJmzfBg1GINFYGlPQ5Ic3gzfpJZw6s8o+By7N4WuBwhn3yEhQIwt+GJ7uvBme0umdmEO9mZNy5pSHeOpgNJkU5KrhUWAEyfW3bDq5pNSI8b6Q/BFnS793nfIf4vk9AZrywAfSkYDMpGeMSkK3qVROnVXJPKOUAQoVjXktA2CjbJkueGfrm1eXm5fdy7iwmfHYaErDNTe3C8JExzQ4s9wbrALxaGMe8Pij8+lsOXPSKw4+rAcXF/u7QR3+Mf71aj69e3mPmaWa4DrbOx3akAvtEHccbRprA6pkf2R4xujMydV99D1B33xA4gbpJ3oahWpRFAAumRM6YEaLMRfXG5xf4/1hJFe72N8Ht8kYI0Yyhlr9gP0xW3dJ2ImEAmgug3jsGqkRX72/TlFNQX79IPCWZR6U8S3PknmMPW3SA890GfvZ8IwwCH/oXizTZxZ7bpWiRhvlqNFGqbH/DEuIxzpMlWUmAn3GsAraax0jfpbzTMVaFFyc7/DXPMfKoS9QcPAnTOTBnozSbDaO7xkri80euqCOeTWoZKC5O8HwZN8YFjdhsHcHlJ9ddv3u+bO3xidLqIPnj2YNxv9qPBxbolGUJD+pwNMOf6z74KOXL/Ak7mAFEyIAGXIMhtVbg3xLdJwY4h60trzV5/qfLmbsBgibGh48TW4Q64Dnqs8mx44UKqdu+VPMfuT9CWyrfUaIpNREpndeDeBDm2Xfr/r1UAKtzvsTGqz0oW7UhHdqtvmQQkd13p1NbM7JYSN0uWkZ4H0FXbhqai+lIwvRG324pJnbrbX2+hqo3QiYwfrWoNc1D6qJD2vfW2JM+XOq59Zgvmkbc6rHqr7BqaBaZ9BtD9o9ume+cUfu1m6zlQLyVD+Xq7eBPVxzXt15u8vra3a2ut3OZk1jO44dQpUbopeDBUFbEQkZXmIki2sK6Oh+58fw5lmlOKHI3COKs8j9WAq0L07OggWGONlg0J3ZFw3K/+ewvW7IhecjUfHlhtmlgTEn+EZppnE7813uPNrtQY8uHB7aSYho2JrOUV+E0V7pzSQyLrdOuBNrqd7aGHR7fHtiMXMK5gjMXZoVzM/FSfqSA43wGJmeQoATXAJWbVYCcTjodWThBBYeHF+xxbTqHQxJtAa9DTydugPxQQe+MT6o4+5DC5tkD9LYTyWJxJNusbqP9iuc5e+21rvtrfWgrmhmI4KyMtTSWS+utPHAbm8OeusDo7uxTV+7/w2H8oS4FC6LrLyDw2PVgxdXOSceBSPDfHG8VMFKQd3QNE3tqP2l1nggYrT1jHGufRnj2pcxrv2Nb36LEv0SUSKp208XmhaCTK9kcalLmY7i+1rmuJv5TzSwoYlWn9ZCrAG+xsgYZY71PguQMl+6ohfHmEaLMV92c3zZ2hx0NvEMmghoVpZVPawjMq9ZFsgLQnWvFrp2rrcVsHiQyF2zIBVWmYdt7/OEStt6ThJ5MzJghE6SjwnPUqDw1dbA3HV46GFbSNCcdaK0W/UGLWOv4nVtRpZu6Kl9F+yt2yo2WzLRGbQ6UP9NtrtEWrqJ2+hdS3CUoXaBFCymK9vTplTy9QJqnMZfzq3ZO5EmR+PEGSLnjSqpYp61GINW1XT0rEzP3KKokJqT1kxhS0SCkjkzhXde94c0QN/TVT2rmhZslNR8c8RoD2eR9M9bXZBMewNQrE2zfhgZapSwPZIre5jYUFRKZGgub1Sx60CHR1TpYcNCbc4e4l9tonFP/zIr9R3ftkmjsTFGP/D1bu5ljKkGZV3bRjETtsncTvySIInn4/sqrTwQPu/RE/jf5rmXU/ZMVbiYtfY4OWc0E2ocHloycz8veUtUcujd38gUT5pAuXdZubsNLomvDt+zDgEq8qVRki8DnfvmWNwss7C+NlnAuJkN2eVtcaa+Lj9LBYSODYhZGuTEBFWNZ+nIWOghsHm1HItUb7c38OXKnWGxjIjLOYRZfC8AIZH5n7vELxMBSdaJwoTkw4DPXgQbLsd1+5NRKo5lXZSDcVmMos+GRqpYgRmKnZ7NphMUslvvtEHPhstA83cJZmBO0MPs6GPF0RhNsGyFM/kTGkQKStFWPm4uw4xVWp/SHycZ7LQImglj+1PzLtrK1uMvEEaDFo8Xu2YvzrFT8oZ/4RfzXHV5O7MhYE8tpc0oOlmUeo8ME/VnptqpnjS5syYnWuNevIqgS2G59fx6wcYwokrrft6gz06rGA3pt0rRkH6rVENTHOzMZH5syN9o0reHZwg6TqguAz68GySsZQrj6U1KITlb6/Gdi95/52dSnRjeyc+i5j4oKouTGDNN9KDCAi5ygK36cCSkNJ/aldiQ4Of5nIaWJqMssuPqT06Pd8MAE3aPT4c7B3tk/x3r0JPKZeZGtkDBKmTRYjqj2p3p3QycbKWStwNake2mVUC+HJqlpNltOgvqh98fdEB6Opat2Ww2yuGQE/JzOJjJh5PmXyykFijinfG9q2YRe7U0wDO2o8VrZMPHlzQzhQ6WYuw6vscwvDHLjdoSrPXJ1fwe4XkOh8zssrRcQjX/Gf2O9q/hqKA4rSqboXADkhRWidIQy08jUdIPpV5YCB6ciSgbb1I1L96eHNQ7sguX95aEZTadEndx/JO8sVniCB108TiiJUhajCYXUa+DoZ3Bg6SPKHtD4NpQJ+Koybid5vOzKRUAuYqRUIjenojHi/xat1Iw5FcpxHxK+vhmsOOTXSwlIHKA9O73AooZ6KjzTKbdZhgYxnPruF6F4x3m6pqW1rOSmdwj9vnxdkqOD8M0eMKDsjh1BTdbbxqzp9dpa9UivzCrPxRdZFSrMUoYXyq9YdjpzO9Df0LliqG0JX37ZQICiUiVKGOpUgwOnEul5t+XU8oglXOSxTus2QmAjhA03jaZ+hTLJWaW5sRjKVVb5yYhKfOuDiF0Wv/CJSXdfLAAgvp/SqiAi7kiXkpVU0OlMnH9d1b78Tir7UDGLH4J0RYvF1OOV2VcfUr6278d+XzUbiS3ZWQrAuUADAXyjaibNUoDVpAVeGtW3HGgmu9ppNpbr3GgTMQaOKk/ajM0vCq5DNrCRheMOBqLPUaYGgLuhVBz4fVJqvB4LtVtErENuczEqBzpUk4ZCs9i4EseWeEAkfcnuPhfwmtfTUEbfrCJNuC0z/LBN2ZeVJOYg+r7FySjeqUdQ+GFbU7V+zl6bdqFZ0UlT6Q7FDaz9piWpmEyN0alNXPk6zZAmogTrr5PcmaT6DzeVUukuTrCxwmZuZ5y+59Pwqw/PhjBNaO2nQVVLF/N00sJ3RHysiEKOe8Itk5wsW8eNruHcba8vIRXg72XgBZV16KlUxmDW/yrFrtQhLvV3B8B7kYrB9ji1z0pmoYM2wIo2Uc581nupTF4JpDqiKukdN6ETE1lBgOyuB7cHGzf9WVvs93rX+k9nue0tZ/otLU2H3TaDPPbkJBDK0pGkRYBU7Xf9DonMAD5mwVwOTa6oYMHcsdnt5+mkeZclec5Y2G1/+XnuwH8gzQFg0sYC5zQDEZaxVzyrPx0obyj9Z5KLRPS5Pe5nlTRcToVgCFqymHD2M1t1UXNuLmiKBJwufhCsVd3jL33B8ZAcsajUcnzye+ORFP5KD34kJCFFG3YKbEQdYbJEuRyWnKmZe+QMrbiNVdjp8/C7f/AnPXd/tFw53z/hz0xYXknVhyDt65GM9iHypi+z9h1jFHNMyXpr7+2mJkQxMzkIEXxKLF9284Fp7YKHqejb1fLO3QsipjwvaOue2fdCHhiQ5aOzQ3Mi2TvCQDp0TzkrqEmII8kN1/T9TAvVKACYvK6GKp06E/yR1jbRgKXhfB9NTVtF+lXMyB85QM+R/t/j8/xr1nGnrcTndR9USQhNnFYllUQwKRaePw6uDkVSvDJ7wnXit+SRJa+n7yV2IFqfoZ5y1PqeW27FmQ2CWyzFCqWF/yKKbpqEQP+GMWYqemJHW9SuVRJqRoyj5V8m3d5zdVMI3cCu/ePGbDldvd+CK24bthy2XzVeN2HslwhBdaLUiDXsiwADQ5Hnz5kE4OFa5p5623KvF/VYvorapCpl7tn+lWtM0B84pllq9uQQxZDltC9DA6jNDPg9eXypjGwMy3txMjYyIckiajbtua3XHJkb7hzuNeoSS3rPBZ/IMahkk6fu0gm5zki78QU/o81U00DoN8KAUYF78tI6zEGwGVXMfwQzShBTJqbgPL0XGy2xXuYn2qpC8onID23c/xgI0cE+fcZiZgfUIPtYX7S3/x8dPfNsEdMTe9Um3EWry7sJSCMjccqlYluS6T6j3T0zxK1/oM/gBv3T62mptLpuLqpi3Jkr/bY7DCeWQ2xUXJOQTDyEqxI8Ho1CtLNp2IXUZnwcvY8U7/zVFN/6zFTX6hpYOiKkEPpT/JezSZcjhMbd+eSegLSkoJLHsghX+iZecMLbYAY4o/TJ3xaUiCZfqiK8/9SqZl8OsbLIgzkD2rNL68nDKhRkzgbLE+vmytl5cQNenUBYCquqreb2gJQZ7QwsuG/QCbGf4Lyo9y96Fz4l3Kb1ijN+HQZHjaz/V+pQAWEInXNeVFXvv48Jdi+xDhPRieHjMY75kLcUSC9FLGIEm6QF+9aOq/gC7rG5Y8ybXdGDSI6PTGflHFGeW1PPaJMjs+4cMRuyIRtB2YtHzQGwKKWaVMQ3/BVjkz5jYw4kTY2mkpFnTu53yXeuwtT2KpUJbGM8JMUyjS+pL4CS/aksslro+frGj1VbUMxLulCFbQsI2gLzFW7yYLaOGg3CooyGHEoyUua7CJffT+58rJktwmswRG+enf256Od4G/TS/WPJOgJNxFW4BMyJBeGiNgp+Tp+SgVTqZSqK0V/R3jmDaE+bQWyQTqccR3RR+3l/c4I6ch1nlFYjUuNI+5EoGam2xjDTbj62Iu3TSeRhJdwRNv5bIqD3LERZSY/J/74XR7wdjq/eTtfcWJmgdmh+62gdOWAeX2QirQInS6QAPlFlqhElHsupiwwfS1JtTNNKYZyorXwS6H2OHufWVD2nJr9g/6grIB//Kas1X785g/BcHLvRVqXGYslClqyUuG+McJndYEP9wurXinjbbRIivHw9mN255CuHk6yj9TXwYiaMgyQM9NUX1oFWJUHzrAA7g+O5+yUZmqzAZSzi1pb0V47P1N7aHydLBPBNZA+TKNdrubTLHPmB8F2Co6n38Y5Sq+pMXqB4LaVtbfxnKo1jYYFaAqZ+V7gnrwZK0iM7XE5jR+zfgxF5aZw7nNVF5IR21QvmgXn8aXAk/Pi2FIhfHTa9WFG+XCxX+t0xwYG0PNU7Zk5abP5xr4+u01nmGdsDm2B7TAXedO6g3pu4ncjzE1Lc426BZj7ugJnyQ/8Xrp6RUMjG22T3CT7kLv1aoeGwK6mNdAM1krMJZtNzzf/HRrX7uMu7PW1YK96fijQNhByW1XPwi1/3JjLrSd8/BRN1U7fUOZgnUPxE0pxqH29Uz0Isac4O8/3EI4S3uYhQ+Z2CfW/1lG4lfFbv0kzwrLBLahc+IVst1YLW2QX46cp9aJb+T6ATvhO1i8GGWw1ib/liZOadJGHIKSLyynrSuwh6NO8Je0hCj3TODK7RPkO9pvNpWvTGRe0mCdmZh1cwjG9uRknqPWginE8WjFrKHZq/KBxsZ3Jo+pB1fplgjc6IXgfBWp34u8md9yFdCQf4/H7jOGcbeGudOT5XCwZCsicZp5PBpBr3kpCHg3ONvc4nbzX0EWSzm3dC68NV5CH2izxWI6hcgyU+0OwlwE45gNXr1no+hKX4aVwY+5hz4MVrES0v9vO8ffqewQAyS9syHaO/WGHW0apOpZmsJOnvLrP4AHVr+Gl1xbT0CHAmo2b4ODdqMnp+1Al2cf0JyM+0UUrMG88vJ33w6aseBWoOdqzgsoJiZEFqggllGeIh2UpXY3FZgykyuMYRM7NEymKsmyzVsUTzVzhpxRHMoNQDxOOdSzuXVA7ntQE2t0CUMlPzlFOzPajIgbU6LNU6mnJHgq4h6om7GoMI3SOFaXSSjbyHpI7OsqbvjnjyAcc3uVMf8KPhRk28DaVOIy2T8HR7hgYnOtZgYpGOMguX7u8uZGAF2dmqH5uJmBn80TOV49Si/Nlxwn8yd/0R/ItZ/ZpX8iHgdgqOS47Esa1hZyq72l7Lu/JZOTQ3FggIvhMLIZGk8NFe2zJNHxLqcp9eFpbF+NMm/9uyH83+b/dlvx3nf/b68p/pQ2sJ21gvS353fo3//P9j9OEleu/ZEPYPIkkFdAMVulHn9NDJ05q3vUiMGor2d6/tsj3VcpS9AeEQkFWGVnuZMigQvD4T1e1AOlvSEfr3JxEMRZEQeg8ZkkrRG69ZAR6cl7SL/t3KFElQJSX8+l72iezSnMTG3sXdzCGYqHRWCp64Xi0NnqNXyZvtZpIpA1L3IxZmlxJba5A93M4dK7xCevTSO67vvBLerKaF2aTbmvqfzGOWzLTmCHgn+YUEHm1/6e93UGVDZnmrUciT/2zZDn6gnobZj1EINv1oVMhYU79it0f1A//1KgVxtYTuCQjmu8fIdFkrmFLt0A8bOmWaaZ+NSWaNz91ZBO9kAUgHpQF/U6r12nJXFneRVRC0auYp1XDRsE8WmNsIN+Uwi1yjhQhTHlW2JyihDPLuZlsadmiV4biADvUw1RqRcGgzMuhsi9zo/5EvRL5BYnJuTnls/P9g4Pg1XD/YP/o9cB6I76MqD8iZnyJ9FkGO1rjk3h+dcspiAqb3ey9rrDg5BaN97LkWXVDD+fZN3Drj7/Go/eTOShlF7mmpUAw5XTkCQ0Np1kntUHVvcOqncW0F/PQoiePlym5+z5VUSTKHhydm9nCWIIkxlr16S3/RFjuD29Bzgb2zF/No16C5knXQYBUGcVHVMSn+tAijw9WOE2WT0t288q85a5IukLqUj8Go0wQ/5vD5hhAuIhcsYIkW84I5+xb1RM8/CWRUMDSCAKbsdyMLzvro8teIWMpLtJZMsZoGIIKE/wxK5rWLmZrJJrWZK8rnk8HycYjBJWxqVBiuxbkJLP+LQJZkhvVISwqKTO+PcKiZRHqnAN773xdZBMqlnTLyp0RmrLbHQkKGqkWhOSiq+WC80CkniROxwFFGy4j4n1eWrVbSqu2y2nVdrTXbufCh8iznElqRSYpEd1GNxCkLOn/Nr00IoyHvSCcCdcdKLUgVaLt4ekbqsCwtWpcc+AauliaKRz/xGabfIDWh8OHuXVyFteWSOI7jtG4ReeynLp09bt4DsExlyuiddWSAs0RrxPwUUNCVp8MW7NqhiqDjfR4DWY5VvfD6vJJXZ0DLtDqHPzbbD63FS0ZZLOyNy4MtBWVLSZz+zGNKXOjFCmMYOha3raYrJQ1CMTMx6lKN9myQVADgpzg+NeCOkVsFZCuxgRQa1aVo6I47vFSSKqp4ts8UIlpHIjrqrfRhXFJuTEgkDrkVKE9vRQ4ODwsAi2+oegGGds28bePyyintiyVnUKx2sfpnYA64WgWU3m5wAKgPua2/+fS8PoX8thHi6tIM6PzclcWbwrZY+YnA8sAhcMkOSsnGizmyyR/rMZmoLxkM3io3hqD6NMxZdRzdXN1qX1s/Exf/7fs4C9TC1klNeH4KieRTeNL+SdJgF+lAjKvHF7kiwcEZtS9Gc354/da8UphQWD1i9JKGmxy+OIkh8ryD/H2q/HSNnh4aOUCp6JGYFPln5Rdhtxc6qRPWfTE/hKawQ9+jc3pkiCCZaI3H3tmDcq7GHh14naWsdEZGpl3ThBVjeysnetWrRW2zukZmppr1LvdCS5/4d2oeTCrP7/wLmn3kuv17pYxNPMnv/A0aTBbkvFNx1K0RDIuaJJak6Pds2diDPRKiIudMuJiJ9pr5Y2tneUcGNQqIDn3qiag9EDZE6p5XWUxfB78qMbmpNwIBvVsyg2T02KbikyZJEEdqMJ42Mhytx0E7Y3N4Mo9RldFoZbKpSnqk3lU9bNrtorNe6RcY0vQBKxeN0p+65tcFBjwNxJ0kcvBkFEm3qf3Wve2RctPuwT1CptFsbL578azzLljlE7l1ociAxi9Gl9EfaXdtRkPnaTAuJRBSd+73qNYZesdPp2Go4BY94upRIvSc5aebDisMto0kgwTyvoZPqCaCWhz8yd870gqv2QvObi/nCOPseC4lVSz0Zwvu2Qcon1DWVMzf0gigdstn8rqF2e7xvm+OA2D1y9PwmBnaP7cPzJ/Di/Mv85em//548mfzRdH5n+Ge7s6npRgWgxFqmPh7RF1GG1XHLysIHY1EFhN5RLo6bQO9/TDPx3pEsw//VJ2s0xEoKb0uXBF7CFLaPuN7hYMUXGa0kk5eIwX4NM3N7Yjd4wxiNelyl6+XOxZYkBOhPPryvO+plnqjrSUTfJETLkrZ55cg8O83yN6BFE0p7HsTLxVv+Squyhz9S5ZjiKNj99EGAoROczNmui0GY0QsEgWmKNWt//5mSnNRPU73/xmw37h0Yh3aTaWtCOJP47tULNKlBeQCh3wN4xSq+2fHQfdjnmmJYwrDiyiYyIeRRDozVrwUmaQMlFIvzNJiUGlFHuu2NquSNvwDQ3rXaNY74XE1jNPqK5+Fj3m6C+5x7z5XhdBkurl6YGsZOfNKxbXZiES2aZifrdreRFk7ECjD9gkzElQkU15OD+pAqoapfiVUf4KClRqIufxx4D7i2jxBa1UV1uhkZuZWHVaUsVEp1UvHhZ7RZWWhbMrrAWyT9g6i3u4LmWzpUFjxen0MWCKUBktCHC75x+cqA/6hg5w8Ai5EH0QVRC55IjUJxzQTN0GyBAfAtJ2LZK4rldQaZ7XCCLB+Yk42oc/MykxuhzHk/eSPQOCJFRnRkdEQdlSPQYtr1KfVVuueaCHJ/K7FmKoLCFbSqcNWEvmsa6q6yU1L3GigkVHwYoGs01lblXGh8fqnPLA8YTBsPI4jZnkfMkDy6af4TeNjEu72b1Cr5K3X14K0MNhsfNysPEYc0jGJLa/yvZ/DDVu5+L0dO9o58/vhgcHx28PgEJXz1EuFYUszclla3eGYu6bcI/YGmb+XKPqSWUz4btQGcky0LfBYTx/v5wxYa2ByMGzpwdBsrhqsllMzm6Rmqz1tJoS3ZzL6SSTzRDfDQy6uDW2gqKKPs+d7Jdi9+vl2P26cSfX8+6k8N4eTUM45NF6UmhlbDfozii+IgPHDt5bJMgDU6EP4V9TJspxUmRRx9FVGKPzbhmkcBho6xx9sG8R1BkMwwJX8tOyR+D6qxduQ/aEgbFuTPGj4/NgGJzuvTYEs3e6h6Okjy7O3xyf7v+l+MEZfXBx5L6ndRyoX1mzr6aC0iVczHs+L2jvDSPlylAvfhwzpCrBilmhjEcMShv+orR3xdHtp7IbItH+IRL3n25+iHfegZw3a2s9/DRDp1G8XNxO54SVxciVaWbFdxSsJgTpMCJSgFldK62Yhb1eH9TVO2zw0L+YE+sASLtNF9L9wyM8qDcYgRkaPJtKOINBc7k2gAnvToL4WocnelCHJN0kPIGE4UgJQI/eol57s7yLJ+lPiR09SbErtxUKM77aL9ohW3vxpTwj3qSIXj+680jf95LK/k3170LllQfacPq/teF8xTYclV0eZtlX51jLmM3aIz0nGyXF0y0rnm5pcgygwwdkBTJAos0rEfbS5T3/15gtLrJCaTYqXuZf7Jz9YFj2I9VmGd8AWy2g7bdTxo8K6r3mZnD4MgzWu2G/06EQQIMK8GnGe4rE1piGroR614yKt9XCCoDQBVUOAfGwRsIbhVzMS3pBJBJDh2Hr76kLQqyByfLuEiuQuGPwOxlWbH7tvV49pvp6qFnLyygRQNP7Gm9co/jDsg6iQdtuiz4yWKp5bYE4KLQdBeSPrJzXi+AkPzqUvlfpgg0FcDYBKJmmoc1O30zn9yG/dqhVTJD2YDPZf6qgEc2HUCfowlY4I0xlEwlIIcBUMjuLYhDRG0TWVCfVKI72dZtJBRRcPU2bai32eG5eA6sYQOdqORieImQjD3PkZMQV49DjJ6McmnSM5rBQmoDDgI1KHo3L/94f6b++T+7DwJ+q63ZLlYns29HUztCVLAygwaHSFqQVuTxEabkplBAKEjUV6xASK3z1FHV2cbARCZI+e59vb5MJzWHE4oey+GM+M179Hq05RP0RHm/rHTo9hiTQMT9kkC9YozLgGVOJJdzISc3zVida3zAfRJv99l+aV9kHmt/BqN1Clvh1A7WxrLbZ+qQhz2wRoF4EHiLjsBrSvpFg8dceeWJf8EFVXGBfwQMJg1642eqErda6EX500ER7fa4u2ebxhELMl+PpZdAJNzY29NqOjkzMmsEPDJXOEE68U7Xv2sazcpUTNaskeIKUgteO76V/i37FSKw27ccTnWmaKZXWoUxprtPUat89MJ23s/Gb/fArBDlv4/E1l0M3fZ0Cs+J6CrdbsQsLEniAfzr1RecrSiqQaQUpZUiNDDVSZxVl/0Gl2Xdnb/ZPDveOzv9NZNl3che/JZDb/6BaKJRedxIWDegSS93zTYXgMiFSpYI5Ti+v1NzGaCiIqfX1EOg57jVFxofBhj74YcG1Fa0b2dWO1n3BRfPZqVOanJTpdLxIZ5K+1vXYu6u4pnVJB7Q6J1xVIUgRDr2N40O8v185FOqrZI1iLKYo0jb6cyGzYF64DQ3zNCNBdyUaVzctZwptWzfkCX/PZSNXSk0iyhKB0RbmiKxP4YUKcufoaumULNamrKumxFYgLl/LbbuLmRBFx+K6vJa1OpMpURnODwqiO12BECUmyCaLfcZYGk0U6h0WkbN/7GuhdN++mh/PfIQOt7Wqnj8OYAd4h1QzTnCM8i8cGLnUGNzGwBE527sZ7K60OENrZZKF+ax45Koq5LxsqPvc3wg+ZDmrGlzUCHSrr8bxPL1Ogb2fG/qaCz8OpcfY3PvN3nBXh5IOQZiG9Gl8hdiobp6HrqZM5LwG5FlpcTSZZ/QB+AAjQCCeU/jQHnndJ7dn1plsPtE/K8yyYP/sDrjz1sdRS4AaXKkmnsqVWWJHxjKTWR4hV0DfxTP8Mx9vtZ9ISWFoS9ZDKlefGJJDtzXRcW4MiogdctwMfUm3uvPHdpdzC+FghKIa5exqMDiE2Eiq3/yugDCACR4c0prVCT5AsRT+Xi6m19dZ8G/Bm+k4HcVoBi/lc4yd7DYg19USusaHuqvkiv33bbjm9npMc5btVE6aLiorD3XkV3tjsN6KMGyy16iqiWFnFPVVY/qXTACiIgd7/SvR/C/EtlcXdcReLM2+fne+d3hyMDzfwxDs3b13h8MTOLM7F2fnx4dn705Oj1/tH+xVzhnV3d4Fee621jf51bRmzQIsUTCD22FpDNq+nZNgjrFRDUnANwllkJV/xhQOdJVj7FMCbNm4AajukKYa1z7ELo8E/wlcgsicR0loAZ7twhb8CSEQMaMzC0EAEo0wIepDQtyOmIvWt9TzU31o1FtYJgIqX5rcc1Exj2wQvsMsD2/iOTssJTzbIZm/POJp3fgVGBR1coicdn7ROgRsgMFzazzTsybjoj4trM+r9VICkk0GlI6iMkTYoTXTdM7h4XauMn80/Snh6/UF0LecLD5SfJsj24K9ztQJXER9LMARoPa4OeDi/A3yjqen+3un74Y7O8cXR+dh8HZ4uvfm+OIMtHmwr/r/+HR375R0Gd/cp23VaZwGLxL46fHF+f7R63enFwceuYdFYtenvTs5Ptjf+TN3sfEnh8PT7y9O2JQjAAjeijtr5roXpBa1BRrD4jEgCm8stoMVpCxHIyNHzTVprMQXF2Uq61efrxTC0GMkgismTC7CFESzkR0lxYNHpOM2zotdsAa6JBhunomVegUY/JCnhbFUNLceo8Fm/vWnizzP9/6Di8p8lycCI6JwmquPvkAjPiGEeSpo0DRTHLF0rZvT3/biQd8JzZqr1lsWUU0olDo0m1xItNmzA8xoJiJaKefJByM+uElmSQfR4PjWhABLCGons5xIyfybePaAi775jHGo2hfflb74rvTFd6WPvit98b1V/fMbv/XL/2I1+efC7yoPQmVUXy542rnCFgrq0hjJQzgBrv64RYSu0OWckhcqpkQsMNiRxSyhL51BpJqczByyBXnFOne8YVUGxrly23EbUyq32eXkdiNP79xJQacoFbZOU3+AIs8eDXZO98DxVouI0dWNTvvR2zetdu1X6Gl3wAdSO2AeTqC19ARzuhh4G9TbfR4Puf+MU843Wtc71gAnQJLlbI0KrMLKDu76Bhoa2Dr15hKyo8gDS8mcMVcxDoI1hYP6esOzrWECGk3WqKag7gryKVJfuZaqLqqw4dvacQ6Ry9nbpNAYR4QwHYodSfUVWNONptjVvjUdVlDggM0WFvB5O6Vow8C08cwWa3WReSSGBFm8vhnzd9TZkqG4ykYvaS5bDzSl+BJZQNDe5nauA75VGHUiuAicdqHmAnL4PqZzwUpVb7h+3e1f9q+lweW63b28um5tNtz0ehnMuE9sjkw6HEvMKxjfe2AaYvMtKOMDn58CGTI7hmYQKH7DNS8hCmY8wwQtI/F8kXsYRVtoeTE9+iMHQSK01wOy40tEHV6mNxoK4L3hZYJ5LQesOXcY/y74w/Yj4Ufzt23iXlOSxT9hlTW5DSXC6FR00AK4U+MVGf0saLvDKFRQUaziTH5pzpDsQ/M+xLHKsPK94bCxlkaBeQ3vVn3D73LCr5K/gL4iYVPxw5ecuOZCq9z30v2PipXc58LVZ2Y/9BW+JYm0Q8Pv5LNm0Ouv9frQpmQALCdodoLuDm440rabfAj4qItt1opW6oVvKIJuQfuMwrhAdZBKrrW8WlsLTozXvKRDrsLyA79wIyn7eHJencL5dcz5Cf888fx0a+Qbvxklt3QrdIcwuHYYfQ49T/Ur+liE77cqeCGl0fg1Ok2u0hmOzTsRY695L8+ClN/ae2l6kF1XGUsNsX3dNPWgWWMBGTSNVfDvTUcHiPjMm8H65tr65urzfVZobOuppQv9UmjM7K1ETwal4AlnT7VBiwsvKVJqAw+ReLQk843KPH69fxSKLH+9d7R3amQ5Sy2S1pmH9sMzcIxgTT8VhDhHxqZXxq96vFDBQ9GU97BRoerXqZzHel54ZQkpq9tBOUuZAAA1t6ZvyrpurfjGjWeXz8ncCaprpiQF7QRp+ytB2EAABYvmAAk6iyl2SKqJNSsAHiXXTCuWelobFl9MizUF3g5JKOEpqv7LhBsKXiaV4S94f41QEYrinNEdBvgtZ6xsNe/lCmGaemz6DmQPh8HFyS79l8cfhMH58evXB3vveDwR3utsZ2jWurt/Nnx54H2wd4S/ZUFK0/jPO2DooBi8cN5uj073/ri3Q58Mz8+HO2/eOaMcKDB7+c9CqWaX14zntlaA8g6vjFYA/K8GrHCeZI/hUKG2c+FGKiClIp3/OQUDryRMNfMECQ1KtgkkzjuVyZ0ie9qyWhn7COpetI3qoR6ICmz970nc/6v689VB+l9d7ABVipWY+QdJncb2LyNP8CSRJvhXQWWEHjJ5vuQu5RKuFbqGJeDXd/Ahi40oEpQ69noYiX/VUXtYA57VUPDn0E+wiClV4eljjXP/LFnsYKwT8nKnJcGqF7h9p7x2hf4MzigDre0wJJ14jYOyxEdbB93ICXW2L4t6AEEMkmAyuZPLNWz/a3qTTgi/68YOM51/4PxHMuP6xDvuCpKgKx6M59iCvwa1dFAuYz6djRgkN1HcYx4UfSdABySkoYo42X4b</t>
  </si>
  <si>
    <t>z0c0z8o4iWbjDc8x4pBRLxNruCXumHP2m/fmxn6yEWPy+1Prrwct52Dnugx9k1NrA9nqMSpfXjb6wGViRshSuUUBEbEmU+otPGxDRjhYwMsv4T2TJSqb75P8t3kbmmbd7r6MqJtnAqy45Zj8B5uqv1rfSraSflLlMWl2Xo8QkyWhW3g5V4Q6x4ZgzsGy3UCxHUpDHBbU9w9Pjk/P370cnu+8Md8zI53uOdGiwuaH4/1d88WrC+4qKTHYWiC3Ohv+4P+Zu5PHtMZbemPIiqgqN6tcIx5WCuSGbLmdi4LsYzzj1rRyac0KwkjZcEwmyzvaJ2Mkk+h8hqe13ip5Wr2yp9UznlavsjtpeLIPWhmwWNBMrsyrdV3574zxjkm8Ug6GdOnxcLnQ0cJBOiKZwjMooqC/qUbxZl9nRlAUM4CxkxB+lI5+2ES89WkdSbJY60/Fwcnx2Tlu0mw216YoyF/jxzBP+u/BlhAhAEiin92ns0V8Z3zk37X73Tb6Wlrrg04ruDjfCYNXyWjvE75Z78s3rXV80yh5bHH+7fTxbHUBct8+ZaPT82680XkuesVVogAxBMpNDQ2KyOUN6GAhr8NhCFed2DFh5E87GngxnVJV+Gw5vyFoHS5CVaQte9oMkJdQI59g3zmnDa259EDcGitDh3HNEk5tUPv9739PXV0odDUKZaSYJfaa78wVuIB3hsw9vqzBPdAsRaZjxMZ5agCmItiyPWKsAc7W0Fue0DyBHwZ9b4khqJTfkAcaEFzPiMqD1jsRvKP1bmSMxbl5UwsDAkbQ08Qb0IJDVrvKpy1D/RPWq8amvjg5c4vhJ01ofPdwco/Adh6kjrEwSdG70jJShh6AH2keSmD2e9RNEF9Ol49CSHzhvLD2PBlh92h2ONckJT+gEXk8J5EP12Nfc8QDpaS+zAIzx2UssMuMkEA6QV2EKdt5s1RDdpyUT6h/4zdMs/9JeOPX03lRRDWD4+tgq1M8exRjdXLSRLOOBNUDobCadx/k082Ihb9NNJHct7zqs+cPj9LX10ZMsC9G4psKGVw2U3b1lge60Mbi4zaEUWF37cZsdlQXIXkLQdXuMJ7BVl/qo2R3vWdD9xNao8j5VbJd5G5eot83AkEdYLBXOjIRn+bmwKzl9Ct6aszfm50tBgdSQcpekJ5SUMeHKNzIqDLXqSiS+3FwmxAgrKK8UlUvbZQ3hHXgoTKogkE5oblnG+to9zZbRDkdXppnA3nHwqVoIVrzzVnevuPt5gASRLp84BlJaiRkJMrbffPyb9KbW0BbsKBuPJEIP2NE6gZPRt0wNxvF6CxzB40KsbGtx3tnpPY7OE3Etuoc/NDud4JOp7XRW+9dFjwE+u6O5oq5m5pjODsfnp5T6Vrxzqwk34FMtmlVNND0JvnEMcareImWq//+w3+v/fe//TcKKMAqWVg2GgjmxMXSKfv3PKu6/VSrev1hq5oL9SfGTSd4QjtLRcIRUPPsnLJLGfH0m49MpJnraYTo1B9Lf2PE1XHyRNoh7cMmpwI92MFyBkAIKliCb/NsM5t8Y5734hoq8Tp1x9tcWXcXj5JcdSlHBmi6dH7l9r615QzNGXRVzTByDWiMuoqyXSxND7KaOj88M5tg4bydcd+oSmlwApkWypWgsrkaVaEA9uU91/iv2HaH/qGFquJki3TBVkdGIGUpoePCtubmSEK5KbZQuv2Ut4peBLUzI1nwwBZep1Wj8U5BO9xYb7NkImvezp/kW/jUVcS03DDsbZv44TDlO9h4H9dwBWy1zEacrhg3I17YcljdfHITKC6khCzNwsD8ZceOFte0JEVHjbdriX6n88YH3XZHJnqhNn2BmhMR6LF1p+qy199dQEuRpmp44AI+RgrsNWmQvYlnAwwPuJ7H5r5Ls+lzKbuaLLa9aYNScwEwcZpRxi0tkVlxs/a18xafa1T/IdeiQ/TU2iaNzmA1ULkD7eORaXaWvsc035gpDZxkSe43O/rXt6PRCqbRbWPdTdQehrao/6690d0KPXa2p3qlpfIqN3HCXTZkJk7ROCwd0S4F0nCirySyrlO2vsyirPXkiyD27nICKLSRXGp2gR2nFNffUiHntB+HJQoP7so9+PGCFE499qwK4BZfTsli8LQS7LksQS9VQlG8iQyFo6W5OqhFzCFdFV92ikRevA8elmtfyT8Q32j1ezyoshQyKP9mLF1XqgbWIjqU+uNUeycqNpxjhW5uXJ9WQ//sqY8gUKdU4hAWD7qfN502trqbW+udXrvb67LeAAW4Jtc5QJV9y4iPiBE/tCFWzH1zRhK4yuTg6mA1Td7SHmBkbkT92ty+w+W7COWm1B/jGRVetJF5SWCYdKyh4DSw3r2XypNt3+nQGjyoUBkSLRMMfcKHkWCktzHTIrXIbRUMUgiilGuNLzWGBNNvGNM0+PEbwb+16hMb8OM3Wqp3R0V015w31NlzhlBE5axZmUJ+jBLkm/PzE9fFOJ03gxO00QA2ORlhpAvNHM4yJCYqrPVOyVrvl631vrHWuzlrfY+6MXYTDG4xr2RMXrONGN/Er5jQ12fU/KJ9JIQM4bcawbjjQQg8PYN7i8bJNacPGPjUmMLcZZAxjPKIH8kz2CZMDdRoQlZ8VQde0VRHed6AqMCNauVlRBiseUmmLL0AE5X4mgyoh1vLTCUBfyqio/O4o/p/Du1ITAxE/xQjndo0BFPZGFexndyIFo8QZV/IaOMTWXBlY5tukzn5H7/5e8ydevNe9O/pi0//vpa++PGb//CWASsBzRp2BIwKlKrutreKSWK7xLhbmLuTD45fv97bJXsdmGV06pF/eaMM+A5FgptIBwk7cjTBRpp3UOc7nRSbyIwa2WCm9bfmjKoNdHOCWlRDwfeCUBHbkfGkMw6EwDkTpa1L+x4CkMw3klDy6b58Rm5w5h6CwLO+BDCKaBD27b3gJRI56JtcJZjtw6Pp6BUJ/ltH2kfUwWD7zqljHSkHoNskCpnE6TXVOCqBQbgjJZRV8qtsfZd7nb64AT7xhkhFusSnmeIrfwqBvSH2QeafdukAtyuwk8FVkevUNffyqDJbXWG03vkNGuQrQosp5FFePbBQpmizr+E/BlorwhAv8MVYfOd/HokS+hhL7JL4am9CgW6vXUQQ/T2wMSiIZo3DNDDQPNkKQ7s7aPW9MYOuKQHMdn0fjZYzy/PXfHRiD3nWCpJwLFIeBjJbX3+qfu4/pp89d4USf4gVYoVSOCMqrxgBocls8joOn4oRKqhT2IdLScnuiCf3IiT9ikYjfPN6+Qlq9Imqkk+KDla7XjhgnpuVNaegMy/oGRJIjU6Ol5gXT8bXVG/zgBJ+sg525eWki0lP+ig2I/NtZTwOopETuVpKg3IUmXhu7ETsq9USdde6O9eieRWnod9Si6JTri7i4LNxCiICvcJ6pLIKp57ZTSnEPbkQ6ZpMW/6Cry+WKsP3mHvD87jKAJyIygNzdMZA+/N0WcOgax589YHbeqfB36aGsNzYkxi44Xun/EwuqCjM4mo2UVIM49i3OOpmR9M5dzxvBNRXMAiqFRz/Yu3fu5teSpve6wWKJ2ouHY1+ZUw0U5LDKVGdL1dcmP8dsf1OSwBkyYKbLqZ3CaEMjTM2huklJQgP8Dqgl7ikP0sTcsP0ZGk2AnNuwhV5zZPh2dnb41PU+pztcZ0Xff7D3un+qz+/2zs0YjRUHDs6X654uLQJMevsGTuAGf00QdvinLxdwZKRawW48+v3WP9SVgeJRx74arMhcnAXpweOFwx30X8eTKbzSD7h9kgtb0+xCBZNxlz+W9Dw1zNGrLlBhO0fOwllm7t9UFb8F+cEk9Ffa6L7pcTSS5K2O5JQ17ToLbwAxpLnPKfKWkbw1kZOqnQUsgG+kggVaN07rLh+khMzGd1XQKKciaKcT20mma3rkbmALBxHcgu8AtF4qW7kMeulPLtzo2y9bJRygW703h+nSzTBcp5Z3D32cWrGE/h+/+TEeEheGhBzVRyWFRe+knyK7eXv9o+4yFvSgCzT0szWv8JfV+/KN4eOv6cKioejC6WlB/XOpkTF8Es0llm/lRckabzj7y2mt6B9DW37BIF1mdOPcRmdGbVhcRCx9F5MXzwInhqznlcpl1+dN70ze5/OZlJ+oiVzdKkskIBonNKgFu/YxzfzlYiCiBNdmi0Xb5fvLb/ys1NGUdyleEC9JjcwBH/Ntd9k2k2hl65T4llndo7SbEaEMS+BsOoLSkzwb3Jeq31qDxSls7Gl26/Hy+Ha0mHUMZeDWm0Vmt3fM8wm/55GAUk2Ymt9fWNzKwzarbVNzKW0vWBM1kyDzKaopJATAV0GkTWnYtljHTBejL7oRsVUtcrkyi1pYo9mS2MwwZ5k4QUbkLkJMKh4T4KCZ1Esg++2Gl+9U8kuPpKze1zll37yBybh7zxi8LN+Axt1KJ6roYAQx9EGVIE5XS2PBj08EFno/hZZ+JVBR8+LmiQ3N/NMOKquk3mNYzm/SRZAgNT+RdYzyvcOCDTH2bkKYNJIcVk6hHkN5I0mfUAPUZJkkqgmUJnxNacQ5ffPzhw1EnkNy1oLVm6j+U4k/Vpwsne0u3/0mtEh9Rd+IQ7PRitvrYdBX3pQo5abWFfY8O2Vu8cTICKqx1PF690oL1IfGpjz2GmeOS0K22DddRUBlanhKRkbdVggocR4rVW6r7atsySomxSezCXm3iKj4alFFgYcK8FZeBgiNhdDQiGyDUZcI+KDembTpryhBtbExviMYrq432on3Tg2m1c2n/TkgQ12SzMvMiBP8xpu09GIhwXycWaPzespifF4pFET87r26fJwefZygi36NriMRzeEmKH9TbqeES8PG4XpBvOETZqY+q2QHl48r4SuNIW1v1k2mzdLSbnhOAH09RuuYx0YQqK/ecBNIiBqExDth2k6srWgMl0WGQqFw+fXQ1wz5jwlNfoTPhsLQZswX0ypuUXjoTxHF1KApwtJjZNnoT9sPudfIahvyUu4UJ48wdVTSBHv2fnw8OTs3ZlRwu/wj9Pjg4OXw53vud/Jsy63jUP0QRjB3DFjFAGqqpOB54YX5Slkt/n1bsUBCZNp81m2NUW+6JW84ToSt7IwwYijGt68ShBTrWvmSm0zyCk+McIvop0nfj6W0iRGbOGkW80/cLE4RjU7u5Nmdky51tbi9JdzbnoKbOJCSCJqVTwJl2Sz1QJumUjRhIWF2rxbSshJL0EemnrzmhsmUlJBnoI3yIw8DW/CjgAVolb2cjlPXdMln7LFHa7XQCQIqtFAWN4bkaZ4rL1Lt9dbT0bXvQghxMOKjWyqd6+4vvIk6Ceuw1v4xSM1zu7BOrU8BhWDAjtImNph5WGlmYLgs/Dm1/j6uABEApFUyT9uavP1a3I9DOst9RwdWawVSGKtQAswxEEPD1jUvd/QAH4VmxpIyyTIIJCuKVyUpWiyO+2xJNiysRcRHq74f5UIMSdysv+wdAM1GK57K1VoZHlRcZ99kvYEk3qjdurcHE/K3JO98gtYy6wpIz68YqUZFCVxcjybjVMu1ZC94eVTEoy8EUmsUdTP7u+gclvrNLmSb0Bggm3A664DXjfXcBEbAs1uK7cdDdgF/enEIywHCNeLM/Mp1yjN0uTKk71kYFxTwQxKLTldwHaCBxE0n3LUm6y+O6/NRerQEWT0zsfW93A5FZdd0/EqSO9nzIvsXfdHnc3NxsC+5tmSWk2ul+MTvFx2ZkyfAHYCWETqsTJb/Vs375klB9PJzVl8ndTtTMkjMg8aDWMsekRcHyXYF6yFL6DZ6Cenwe963fWGpgsSGbRIyil3AnzQ20XjiE9xza8AzLQN3fWM3T3P9CxNbOShzznTs9WO9hhN1Zqep9z7T6pzQF4K/iR6jgRJzug/SoSh+CbRCj2bWrFDxBFbsrjWrmXAVWjScDAU0iRc505P4mA2oysI2qTF83Jg0TRWhquyCmaoNyo3DGT1i/hSByGpZajV9NoTpy0UCl690W31+m3zf/nUc/V2YGKOeRUtfbyfSRif6uDw+73JQttTeLqDbGMmA3K0Tk3me1EjXwbR8YNWWOquhcFro1fIJZx7J1U2XWWlv5NySekUeU3FjMHZ8Gj35fGf+LehPI2g6qRUw76ZBxTPdzRMUdlWkt8Kmd3D3RkygbPw5nJ8DFJivDTYubZGl0jDMCMFoqkN2QgmQDFCJtH0LDT7Iu6fpxs6GM7o6QN8jHGz2QWjuGLtTNpEz5vtrTay4YZP06ss2DUe1V+SZExY+vtB13ilPGXG+Kn9dj/a2OhE6z1jZHCId/3kINobnp07LnDzP2TVNBGc8FcZCKAZ7Pt12qRq5pkODQvec+4b8V0pSXToNCuJilOSwqawlQhp06LrYRzlbTzi9DySz5f3hGWKcD0zYMoadxG/T8RK5vOBMjK3HOo+D4ITMLMrtS4WoQ+84vy/nBxI5OfV6fHhoIrQwiftfxScHw+CHUCqGJ3+1m71Glj9SbeA0nyf3F9O4ePPOSSi0swscewIRHet3m61gsPpZD5N6MmoO1oER28Nd84pDmjsZ/Nm3a1ey6gFTbF7x3Y1nc8TGpMNzPqpPMzWU+c30OsAmqF/Z8RW2Ww5v7pFUxttMEg3P2vPobeMiLGVB1VoB7PxMtNR9YSbA/6I7BJxxm7wiiziCWUBIrME1O/n+ytTnqpsrMKHXBS5isXcGm+Y8VAgL2fSwsHMY2yS1bSwbfaIcU9AlxSlM5vKE8owxZvgOjENzwi0AQNu6AJsQ8CaPT6qOMioCib4LngSrTzgFvF01NDq9ajzm5/0K3fxT4VpZYYpUI/Q7xx4NOsbH4rknDNBwiBngjxqa3FtpUp2oHohdswaFlFexUvFQL+gXUXrFxMqvUIsFB3Ds1v4JAXVFRqpaLkitCI2p85UQpBE01UbhRsF94Bol69rPO+Y0ibGy8PqVxpAdQeN7syMUNRXncvvutG8H83lS5gDfil+lQ1z/uZldDLc+X74ei/oBONLjhD7NhXJZeFTFhRSU8enW1stLzjTcYOxK3AtENxAlVZQOyBa/DZ4tbe79yeWoRnbuCOE2xH2Mzt1ozacFfLN2nbO8qGUiL2eCuQidOLz1BakAj6kyccaU0VJA7MlVWkpQgskVDs7wsgOvqHXJ1Yv6520Wr18ZXQ7P/N3Zh3WFcxlcWwX6ns6bnyA08hjJ24jvvLKF7Q4WCoZLiWSaeh1FlNrAbXhwXMeBAQFxE+o65MghWihDVkTGfr5NaN8YdXKoLCfbpSG1WxtXafHWLmmbDvMGeT8ltUeW87yrnDTBszpzOh9z8YTx+dx/vU4FzuFcHaOv8x+zVczWC2sYpNqFhH+oIwg8YfwBiUoYMWxIdD4IiB1vsOtfi9vXOYE0rYEb/jiV2avd9QmJQgIwkiikojHMOsyQ0M0VC+wUw3Nbp7unV+cHhH9U8WaTpkj0chuEUVx7DBMP7nr3BslJ8JdwGheJC58kv59Sa1dGsJ9b2FxbKKKslHjMVXkitC7R641zbh7ff4heSaaRWmQOJeq5eMh66UKtgMZh3i1JCNvoCY0xC/SyezHeEeoHjfBrWe0y+TiBDVX6/zWhUXansvyFuG2l8nkJh4v58salbXlWZRnIugUT69hWfaPgwG5iIgl8dgGOdgDUxFl3qBBB6BiKLiFwyjvYSv3nV6gXDKb2mJ3h9pkWzuk8ddshbMjq1BdvB81HzYuze2P9bmmFs3BfoRdruvAx6D502wMwMPp7B7fNB6PfsibV4Yu9DBdgQexHw4qYqmWeS9fp815prfaqIg66GOv2OuEwqe9OD8uO7Ph04T+xRkXYNgtfSbFhcH3w6DXb7VabbH5UJIO3WUMtetYgpjqWhUbPXi8icxo5Z0zjmdslkAhHGTRc0Eos9qRkQR4IbGBODloTz8fLCCTjLqIKzYf9uDqLTIGg9Tl22Y/n4slbkcESm5wQurNEYAh6f3JKI2ZB2nOh8TCpx5ffK08ns94z/SMB/bwHnKFsdv/99Uuu8G3VBziaKSJMQzcWmtRaE52XzU89nFJUoSAxeq8o6YbV4ZDsgG0/4Dnu9GcTTzPd+M3z/fXxwvPkV8hrMwaJSSZrMYi89jn6EFPKtW0ye8zBSVHTR8LI2nxg/JM7efGKGuC4Wy1p2ENPRgKzkKa2BOySo+PSseFMijpxPkWJYgPYAmQnZ4uvrJvVlrV73Q6tk8fRBhhzphOVideyCQpugvGgPUJsF+gr59NEgW9+Tkk+hh19YW6IFiVsspe0QNrVtVYHUF/2k2aPLjqgfWtyc5CBP9h9v7mO8zeyj7CBe611m1omWzBa4L/UCxjnQ4O4a7ZYxYGyCBkObtCLQTdCdteWzCmLxPqg7m7W3J3aAp7JJ1zRw3XbMpI+7wRpyqeHoJaA0m/iFLiHlCx1KnwKEOCF9Yy/SJkVMLu1hfx9EqugiO4H7+ppDhLYD9+sy0/jZRmaObwFInGBd8uEqcXiVLU+QNd+r1rYrMNNGYZzeCI3Enizh2LYiKLu5zHE4KU+dT0UU9GSTKLRsDFqZxgXriXN6ReV8x+JFlUmk24SRZn/O2fPn2qN9DWdGne4I5hJzjzHmnhkjVBeXBpe71PhRjW04XOmQoi8qs9fpAmO9TmK/uqxjYQbwHV/97cnqO9twVR66BWq3OZNOxSz7Qp6f0UYhVH7wCouhhMDXh1L6Rcl9OxQTpL7M8byL5eGsjebZX83G4r2msXsNA5FPUx/cmw7QA1JnNj/2A4w/LOonjHzO+sqqRtOaWCoBjvUBhbLe1uC780cn9X5hQwUOh9sgjOlnd38fxeYGfSRXBqRBOPPT5bXt5x8jgGHN1jgDD8Dv7wqW8R9JHP8dtXVERjbmCE+f5IMPjrsjaqEf3PIVT8ae9t6AesSOfz3rCObdhUvaOo6YRv3SEPKHilEbGbKcVw8VVX+6zJzN/x1ljYO5qaHdqdlGpVmqK9EQJOEoHZ/J7KX7q1FGXEnc2zaZiEbaezFfdSBfDjstW63PDu9vcYre6Yu4l6Sfma7yuF2uTGHyTwxqy5whUuc+1pEyJRJVF8X6G3SMZfMK1xSCheFDdrmyGDRHgLtenezNnNej1lk4I7xg5jHjlbp4vNxm12EOcCUi4bIzRwFOMBeXqjTvw0myX0GFIt6EKEA0fUdRVKsh6NRjIqVbaxHJLYpXe0ne1CZTmj0iewWlC3UVrriTYYoFgPTneAyYJPgqelurNcswRxJ1tS3guXCMgwj0+Qlvl1NAmwIsnsajb4DD9S1BIjX71pUpeoFgVt24ngzWIgZscDLSY5LVvBVWcEshFfzacZx52JshQnLDPW1mRBmFGZlBhgpAxX1skOwV4Yc4iqTgXJnDtCcDLinOwqGVVryCnzia/peWO6o90Q84h0zBBWWBXdUWdoFKuwbe+GxyBPYcpKNhT+cVelLnVhVl0rXC3zVtjQoW9sd8st9cdLtmSeMC6eFmzrAV4h4ibdknzedXIbzsxug81k3sHeKDUfEMEPyPs2m+iGFeiZ8NAI/uPIl2+kN/hO++Ydap50O+NVm8/quCFHa/BRBsQvLE2XmsmSUEqTGn9jO9DGBzUFCK1EaiLI2mtYrMOMU3upzn009hRqIZQIuJG2tpMX2SgLaYjyioi75MjkrfRk62LzohHNCZCa1IYzSc2JkcwTiPwzJjmjLAfBDxBKmjWobQdTKtSVTEzMqM/IbFSLJbrEpv/OHelYxAgZ+MzV/Oad8B56Yllij03i9lUcA8Aejk8jei0/FSD1CU+Uh25aEKQdo2lB7PjFp67BSTsqpGWCwQSbvwImFi+kshyFJXtuzAo4m8bJKEs8Ua1uBzl+EqOAHpD9V+uvsjGeVh84RjFS8MYcTSvM84r7uIrXmkoo3A4XkD2o70IKEOzC9DV4AkG6nBlX6Hlg9A37LBChNJsxObHBTfmrKiVTqLiRo5DdGXllBbzVMuhYzLodsuphy4WkSMkss6q1IlzANv+Z+cEwO9MfLObLBGjeeduDTU1RrFxnOJvSAOoSBet8Gvab03lOsVIJ5KWX1aqOh27m46GbEg/1Plj/rSn5lwmPrmwH4AaKhQ7+pjS0f+ykCm0NJcp2EBwaLeeshqTSs77jKU6ME2susk+Ddq/dC6hAnRGdQsIsg9+HrgAs8itP3yhY3oTcb8FzCfTR6kjz0srtKbpgF8XZFM0g53KGOU1jhFP/dONltUnrqRpeUOj7Hi8C8ktC31UNc07H4Ik+xwrLLPKWEhXtsbr5kFVjlDN9+WkM4PKIaYM52mqGCKD+QqpZjhBNAppYmnGFAsUwWfyoPxM6Z8Y3XMleFdEaBcbZGCcLbx/goyrYxjTY8W0G1C0hWmGeMbDgrjCkMmdGATuTKodohdqfx43O2HhbvU1JuLzdVHN90jITBYrNKyPmWRAUfBnH6V1WNGshl+cxde/qHJFe+3O6mDfj695lB13MstTszNDGjgzS1IY+hcgVpuB9FDxfmswS+TaSOW5DP7mzbv44OU+o4+dTUO/2R/3R5Wa3UK6RyllGlxgKgD7cTwThT7DlFMMrP+jbHEFJoLbyTW6WcLLGsHWFWYUInhdy2npiyKnTyYWccoEAGZ6g/MhBWrM5y8m1Ib0MaLLCdrzRNhZgmPYjeyysSwE7HFokSnNTQlBOM8qzp1zSTu0JEje+ssGhRwNLYUVUKaQ6FY0pSbiHelSpjXVBroj5jusGCjKm8XAYBaNpyUjQxn5AOzWeHl35EkEIbvimuMD2Uzz7yhILuafAS8QIKGMGplb9eGfMhxsFOSf9z9OlHfhRpgf7GjBCEa2Ek1464Bq3kRCkfrAr5MBPuzK2i7GFCo56jjodUSI3wT/LjOEIz7JCd/Bp2gAjyWEbEmRhTt6X+tm6oFAWTm3tZrXG3L5K0Fl9LyQ+8YIjLvTikcwYxJRZnSsTEnGhc8Bp+ez98ZukGXeWyO31UBGzZyhkqtF9qqdPKi3WGSgaOCakUk8lU5PgPEFuir4fpQSvMbHUaXULtclPaU/YQ2Cxy4h+zAugygoDpWCeQ7tcchv6I6UaF0a9sqf4izuPT9tVDs+Qyeq5NY700TtFZZMQ7+Y2Qoc1CWImI3xuzAmlyDXnCq1Z1bDtMnpS9SFOIVrpGTJPSgcryBX17hnCjDuEeGeJl6yH6QcNurxP7nEGt3wwoyQosZmb6qMy1UbRqr2ird98nt98nl/G5+HDhky1+UPWZHXYX4SsW2P1nXv1P9R8JU22eY7MfSPHWjOVKiQOajldVVOWFPNnMZ1xeFOjsry+KuFupTkKNJ8kdL6MCZ17c07Pr3inj7cCrjvP2AHgF+DIybZfmJxbP0TKt7LXmcy2GeWUBJnHzzJpu6WJ0q0yWnerH+21893Tu+YCipjptEhVyHB+D4ZHQQamwlSUiZFEPEfmMrkF9L1kwhIyzEfGQ1YQ5tw0eKv07wve92Vipy6kOdv1ZE44K4U+6YoLULnJq8sGufaEAgxzyIsf23cx1mOAC+BV/vvli+zq39cuX9SEAwAVQNOfMS5ziq3gEq7aqWDn1tuNGgmesr3NEVSzS0vz2S7vjKGT0noo1SnfG+q5iyecEIo8AGdsoOGRj7aCk7qTLnXHR4UVVG7KVOugBXaB59lxgzgH8/yiH65eyNYKy12b8a0jbF9kCBjXKJCwyFEeOie6+I6qZq557AQHTVflGHcqDwwZB3pHlRqJgxylIYUa69dV6MFi+GjRnC9TOG0k22BSDVCi8TDXwW1xSO/U4jQW+HVqzo2b/KkIgEj/qphhoaJwDdWKweIexxPlMylUCrqtrmybNSmBn2VZRkOyUt+N9H8ETDB3o9G0ql3cX6yEKooL1Rh8NP04Sfwl598AnSSGZ1kO0FyawOUHRRSU6E3dKCnXp8FQb162Wi1blKU7UpIQGXJZVOjDfpxs/8V+aIHieLQKN5ToLICB0ZotVkg0XSq5mkIHgjxyGEAlxhTEwGtDIhRYZ/LyzKr21qBn1g2TmZyMGmPw4e//Y5QoHZgrM4GkN5bpbTN4mVzF2L/TRMHuYIzE8zvOD+fIGJk1aqsxJoC5Q+jJZnLPNeNlPXCqHKNiEIabIVm4nLHlYokaQIVS52XdYW85gCkgzU/xO+QpHoVV3TVcTAOgbr4gqvrME/++38F0trt3sHe+V8ysFEXW4OfKNZQZgHT+669Eps1m82Hp98IRWlvILD8N5koDMWsFlnIzIFVUwKtHM4pGLEFfI49Et1cxvR3RTWSgiG4qUX4morsxF3q9b37zQL5gUXq17GfZJef1uPQffL7K9oiWk7/8uTGGdHXkLfhpEBVkWl/a5sbWhp+Sj0T+U3+pVKrm4K+s90UIXsYGs2VshVR+veCXGZ30NZ2oCpPXnUK2nH9IOXiTzm3C4aXLpXta0L0i8EpYE+UNlvrqw+w/6SQJvLuxLTxWYVI6wRB7KlIHX2pAjtIr1wsK47kydmeQEezLhBAAg7qdtJifxZ73BJis2XKSQeCfb3FEtjqzfEbbDrDpYR6zxG/jNmRrl1nPOjPEeX4vEAy1Ou3qTTyzOZwuko5SAXw1RfOnb5hxaIHaHSyojsCfMmc3vtBQeD4H2BCz23gSCAG9w668IwJi2F+8r5rZQnnP8zhL09Z75WnrvZ7xODdyHqd4J7zpZLwRqgHlYp0BpALHeOaz9Pvk/g0Jn343uE0+BXYWTtZQNE4JAVdBGEtCgBz56Vz6ktPFz3Av8+Qhw27Zt8RZzIvsXZyqYOTObDrJeJpXFef/g+//z0rT5CkGSV1D4ZNk8XE6fw/4gMpuUzsGxnedgnq1Z6w2c1EslFInNGvmo1I3Qzin2WyMRNnNlGEH/YB9nekxHTmL2g7bU262+7vG+TVyCdbsVtOAgMa2jdUS0SB3nNmGHVSpzCvnQLFfYGcXeJQWG1rzZi6B6mgECSeNs9t4lshUjOUkMzQHmJI3w6jT6zdC7qFAPu2G0pv+y+nbvLy3L0hvsIjvZhlrU2ewM3PVMp1AYc7nbaKixA2JAbw7Xt1mXQAJlSYfkHE3Pgnl8EPXngxFFgDJx/gAmN7OeNLYtjRj2GiG6zB0n7CbxRXtCIFzjwiHqtgelAGvFklhcq9QXEZVT3gYjNd4AwacAglqhg4Njh68T9m959gX8ZbhVjIciHUpIlU8ygfcki885mmVQ/IF7DDwI6rkcAwDO3bQko1PkEo4w4VPRD5pgYvAIWeGZnCVPAf/xOMl4sMfOB+YaY6Onwk8zR4aKPXbfKhfbz7U5xKcP027RGtfkr5YGLgwC/VGOWJ+ZHRTt/NU4It8dcYOjKP5lTE/MTwK+XrBvuDh3zym0QjTHaKdhR3pINVSBykm2bQx1H45Me5LAwn42XiJYksMFIIoYxsR0HPjhHGrqL9RP8HvKuoyXP+eReXguQ4MaYtmUjo0xgyNx4IoILAWfvvouvan7ueuNxbLFAJP1evF94YCGSkx5BIl4BzQemFmNVzxBQ1SdPu2z/uGrcqhiBa3zKy+dsLbmtm58YorVyvbGwwUa9vvFdwCNCTwtb5p8fpl9OpP0f5JdH7xci/qvCxNiTK7vRzHXC4mJ3Q9Rb+VREioHYkO1J1ng2GfsRv24PAHvgvt6UedoL5uzx8/wGCzgu3wEsAObhR0FeVQLwN/3vE+Z2Er1Mn9m9yUl1nSsLApzMlcMCCql9wz67fP4vlVMrYVupZIcRSwkS6tzyUNZvKk6fW1efo8kxFPHGyi+Y9iMOn6FA55ujTbqR/SMMe3L6XByzx9d3hieH1+Z/756vzU+DLwqWARHB0He3v7wXqrub5Rj4GO9knK/A6/P1iBf3FlzOP0xpjoME2p1uzUjQ3t0MkR73RaTePFXZzthsENNdn0g4OXjFudLMxRHLwMeaiJcdXkysesBqHxLwZ1sf5UqIv1tSvLgZFuszEO7FRSspzaNNI3fIjvmCa5pquzuv6g28lVZXc70W8zp7+mGl8tc3HEKiS9QUMlQWalixMuNHtolaxeSTIsj9B8puk1Tza5Vl+uQKR6VvBntqBsQif4VM2H4WomJHERFkVD4zGLYP2J0OCdfIvwEYEk8av6QGJeealxRRaZDs8we8AyykIDaFVntESxrniAtTMq85OaCdvNN5prL7dAw9mCME6CVlgGAv7tt//6aw7qHj6nm+FYAOErr56x91LKTOpi2XEVx9tYQYW3CvMlCnfZABfwndleIFooPwv9p/E4sb3K8aRgzFAvqLmK60nbqLKKR3Fw9vdlPDePPZgaR3QS7BkW6w1fBq9fNljD6fkA+59S3XR6duqzuSFbQoYv5V96ZvhFI9f9Wlx02UBRhFNdbA7eUzE267JWSmBOIbum3NZsgbsb2zZ7QwWoRctlqIWkuVpBKivTqhc7e0A3gJkw285FUSOM68UEYds7BNc4vaIuAjA7ZfLY6ISCa1CrzzyJpJUv8YoxbVvh1GuopL7QYsyE3H5dF7MTALgf4B+lvgERCbQafwBTg6Y6mE8E0J4saVTO0UhOOlH0/JqL0O2rU565RB9Tilg2udfg6EGGbEV8hxDHFC19mYZyJfxqoWnQwzdOKOOM+uflAoDKxqjkmnx8q+tkm7LoWxCUuzXe6KecYJcyKFceOlrCMkdq4y4/QVt2UMoRaCMP7IkRSBV2gPCdbxHRHzNVn+gBB3UfcdJcyhCL6vAolAkVm1CTWuYAKaca+x6lZlWI4GSNr9iluBoq+8wI9auFzvslA1ua+4hAyHbgWDHt3kCF7dnwgPbgbHh4Yv5VB+FELwjV1piexW/p8+gFiYpmobosJ/tq0gIjP6TCEw6QLGdsrViGtaI+I2InKqNuoknmDVS0LPiAgbaeN9DWI7bYflED7XkWjm9Ofa5N9oul8opCiVpQOH2Xw31TRiTAPpDvwCJeS/mSnCddZv7MSScrwoqSaBHfc4aGRB/RLEK9QR1GIPE7K0+SM0wd+F5zqkVBT3DCWgRFsTilRHpzI4+cYFB0Xx/lqJaXDs1mU8CYWQ7o0K/ggNpv196mI/O/bxJuGDBv5okmCuXrfQnp0goold2uoUUFd2TYjPAMFLEI04i0+6kF5frxczJg673Rxlarc0VjMHHw0fQ6koPnyUfLxTQSVGKwLL/2j8uO0fMOxpX5Vyo6FcEhTyfPy5J1n2i68vibStM1eBHsL5I7TAROjM9vTdg3Z1z0AzNnOYO/jxCAhyhVGycLymQp8oSA0lBk4w6I5ChYlvpGR7luRIcUIVL1lgDoPt+KfRhGnm0uEJKaVMdHwWHvh2D9YEtsRTxyf8J7EDIF7kypAPcc4FJz6gPZdQO77VDFhfta9qps+ZkvZP94c4Oa/KrGCKBirurLPGLgvXVbxzelYIwemjkhb6546G25TTULZ8f5E+I8Cf/bcOEUiUrq12KM4SvqGHcd3KSJpI7XPQNVQnOZ/aWTH4pYH2a1U65o9EmHn+LuxCFkoy7hERCf15QWI0uVksK5TAIwh7EzbmCa1ZPmTTPot1vdZr/T7LSMtNs1ym8tM2JJBt8cf78dFAi3aUHqRqmMIcE2fAzShb/ZQqnm7lvmiaBH/HOrla+QknuzmJ0xyueHdEEQqsxATAjk3F2R9k9d+x7uADHdDOCLcV2poJTA+vNqvum4mkH9bGaMI0X7gFBobbRDASEHg0UfIWoZ0YNF+keBjW98na6fh4yxZCIbz6ob7yuvgB1pd1vtT5vdDXCFj74PG3n8wZYHqwpItZU4yswzlAixbbCPoCCRCFugcfQB6+grzDH/32cMqex1lgpsl1DFG33wvbq/Ax0J5mShBJeUuZGzAJ1yfU+Z4VT5P6RnmAGVNmoPyw0AkBSEQk3H8Yl+t+KPhVTKnbUuXq4/Z+MoBTY8lVKr/P4c4+O62+u0rjDVz+kTKag10mE2o/CAr1kRLEJdGykIo7BxoWjY59kXpYHNra2yfbEV7bXz9sU+iTzSFByRrLEQVBTcZIJcQo1HmsVjhZx0SfhaRnUHtnghqNfMRlKXua630z5HK1R/0G01Nze2eu1erZEfbA73juAxieIf7GgGrqNvY3gvwPYB/elNXuH3+Q9v6AqpAbFFtAAd8sGwwt6pNmVMJ15vsvcQiU0wlIMWmnnjIiS+lQJGdJYuYiRmXBQp2j/6Yf987z/2/kR+ZHPn+LCiLOc/h6KKHnmPumZ0y+0RuF9lR7Me5I31fui47gVk8t7VaLD9aFQWckJcUBIF9nDbrbVOew1HbKQPH25wckgC4oSJxqrTyHeXbxMSnRRbIanK6rHcrbCYxjQ/jkLfO1Ivl8hAEjRZ43e4+XCiu4WPH94xixomhG3skEeJlQoctRuIKuYLL0hNIlzUzyQxNXtK+QxILN5e42ThpfbPjiV6TOLoLoVjQUO6MkX0smwFqUBTeXYNU5wTLqrtjmYP8ickLiOJLxDWpKQAL853ojiLWEEYc8Cw1p1aHe32ljlnhkcyK72F8DQ7eC33SKT08w6zQkaaGGCakWJeRSYL6mQCbHYJpY7rgL9Gcs1W5IAfS+U4OcQlngON6yJLjS+Cbmsr+IeUl9X2Tk+PT41daRVQnp6gcH4m1cC1DplOqfzhh+HB/u7wfP/46B099J9e37LIVV0Ej1BJ0gdhlbq9fHyo9zUSeL+gSfQosvwvjQauaEEiEcUGt8qJ0P2kRpCkJaEYW05ssppgpEqu3D7dqBD4jGGIuXwcBjLUqEMIni3n+tF843lyDvOZO+u8OWGwOYC9dgeB0QC5SlRaRZCtBJNfDxdBzZL8+nkLPx90WjVr52EfQmnLw+9k+oR5z4GmFdMFD360eH2LgO4Dognq8qn/oHbfPSikSmGtn/VKJiV6viQXAuTHIfKCJpJd9nXY+prbCfOEYHhYw9QNzpkQ5KJ5E7M9nCA0/+4FRu0Ftxj8Sn1YXAw0uYcsNs6caKyU5jDid3WaxIl/mf1odYyEAJ6cQFdW6UIvXm9I7qbmLNOAaZjflTBVGDof/veXCZmJofPjNznq+fEbZQlbi2DW/OM3REttpSVYAcYEwKv++M3zjNfSyOfuRhmHZyPaa+WN153lwrj65tTHGI3lK0WZuTRh9A6Fc5Yoru16A8iK57NTlAuc42dyZ9Z7xWPoawR8KsZGu6dTXv4Ul9PkvmbtEZAeeo0s+LfgzRSe8L0xIj0IDv62IdEvstEnmKCHFmMqRz8ztHiVBIfDo4vhAT1cs6O7bw5sEGx4lwDSe23HEFd8M8XmwKgQG8JG+dg5S224r1b8HWyLVm/QatXEsPOhhdRAoc80Pum2OFdMRrMXBHPZG9QKsB7jzonDdmj8urXj8f3dzOjqeu1oSttMixY3qVZtQF95tBH8rtOOftfhplrZpjVsjtdgvBoHaCjUxISFLKLOEIt5y4DESNoCYwIoaEY/CG1tWe5HNm5IkO9u21AHaEPkPr15QEblpKJH8mjyIKCfCSN6EztVlayR1Awq7CQhtTXeNApZKm6q3fWJYahQIByoDJ+g0naZinyaz6GgiRmvbRM/1QoNGogj6FTmAr3VYw4Q0Vs2YGr7NNEMqNdgBb1xcTxra1p9nTYVpFB4TAOzUIVmLP97mFG6GtpvKQixnE+3zm7T64VCq1nAGVuUxYM+3hn7bw9p4pSK5S/v3dL0TK8UuhizRSDo79LsMrmlIC7HNohmBuBRRBgsbjKk3BQTG6+WpH8u5yRf7MCoKYYmoyOBMjZOfsUAW2P/Tt7KfD2mSkNbU0idDD8Jyp0KV9mGu3Q0GifqeKJ4gHa65o6psNdLwPv4cqXwPf6/1viKA5uLsrboUihIwuV0lELT8AaUCNWpmAa8jH9kvly26Q5yBYzsCV1v2/5I2IqfD7FsdKoRsQOEJgqsJ63pwHWFA0FLyUlJDJGO75JtVXfFdZrv7S2L0t1Wps6WpArhI3xnDIfLKchRrTySesY/nKeG5gy5vqIhSlXx4Xar9YD/kh8Q3e3/5r98vv/iT5sdepLT51rb8EgyZjLyjaN6UTCqGwTzMUVMgIZIj5dzATe2tFT4YUiC/3edvgj/wtfN4CUHMlboVlWTdZ+2Q1YUpHIqTQHn+IjtVlwk81CVvtL1bpSV1WoD0FfFD2nhvET3Ee3YwiS5DC8lSy+N4qkXZbvL5c7G8VWCWhSaKZWXzd4RS0AIsR2QtS+Nl9ne0jw2WeMytppEPFdfkb+8IWVTTFq578ivs6+EFmE1vzaJzH7X2cpZz/6hGAVsrDa9vh/hWhoxVrbQHOAriarIvGUO2+TLuEJqHO+o9GMGyJRmv+UN2B8eDXn3hS2e5/mUhrv2OyXPp98pDXflkZUDCp3fJajAt927rik1S9FQcYncnW6iZY9lZv0aAWcR3zjSFle5W1SzCCuayEAbUFZqDSesSAIEnZOvTUT4sOMjgzepfSPXV5tKMQH5tpNkjIsFSqY4xlQAWwSj7bRHcntXe+/jhXfLMk6TnRFbsSgb5rdQTIUlAQjMpQjo1UvrFt6iL3WalJ0tiiWVJo5WOTMFUCQHJ0C/PO2F9nwNDbbXEeMx7ES2fsaomtizyiEoNJzPzVLH2S3Ea8j7QCvorAhLQSDPKnrFvBxx4KWStsSk4BWwDg5lu6h31wJG86QSlFrOfbBNNMgIxrRt+6foFQetEfOxQ7ioaUseTSnGiu7+gr9UOPLVPKKbSrzE46Hw931C7UjKOaJZzlF7L781jDqpWe1LI+jyzzS3agYX9Pb30yXvjQWipeqHUJwOJB3mKLVGjIzU3rfB28OzYIYYSBWagzYBdlvrwfne0fDo/N3Om+HR0d7Bu6Pj83fmk5cHe7tUdEHFHaComtnQMUejLMfbuRx8cNTHf3LxeJOitbvlBpF96X/IJzv6wX+97LwMg93Ozl//2aya01t3hyKUERlrgM5WM3SDFWz4M9Yr94jsPbxhEJx1Jr2NIeDSHo3IIPMiyS9zbmlCHp1HyKTDbpbzXIJYnmnb5h9GhXmC0/SLgDVlJDQfhoi900GB7/jqd3ra73i/a8F3RQpFsXuQw4vWKFH2pC7Y1QRW77Ra6NAfZU0dzvdudgs1vpb/0EiG9Pr+HYDkx/KdnPq7j1QU+W58KZ9PJ++Mr44eUPkKsf2udIcUKYYW4IfbnSB6CBykuvv36PjsYucNs/DWA28tkD//8Hpycz8NgxLf/TX06ZIA0f6JeZSJHeQuy+dBPA6NQNWNYazMzgpJPqF6PoOs8J3G7KPMRBLlC2FFucV++wH3ceM3b/FLeosFXac5XQWT9dGI2NAXm6OeG3iP+E9RzyikEArwS4bWSp0aMgy+tTm5xo6/FhtBrYPQCyJbMwVQGI/JHC5FS9DuUalWuGhhQHpZ7GTR4WV1Q3byCktPzW5hL1s+8pDe6T+mdGjjzdrHCPXjPkCFebLOaqxQWtuKRz4WLMH8pDXDPN6m8j3f6T3f6ekQSra9zLznOxWoducVHZEdRRmzNVe499zxrpCTbOHJzK7B8xRCaTPVFrKoUIaDuHbRXqLAOyWx6v/Wk61V0vSfT4B2+0zT/UtUrzFvyrrPkiu/ptWxWCRHSTyTU/aue43fs9JOebKTXJ4MW65t624ZJzmPMGXHyawFL3kIyQsqSDfWzrXROopWhmglV58SYoCMyVOgKB3RdZ3OgQBLtYPUS4IyVeKPeu0CJnJth/73EO2gVBHbCmafMHOHbpoSKOwE5YzUXxfPYm1IAKo8pKOI59Xucvl9iuk3ebOg/jGdjIzfgbrc4FOw2d1wXaNKe+KastC8oUZ9c/dbjdPlUnW5jXHlm/I7RsGu9FztikD1XGtHDWpDm+lnkCFqn+SAcRef8D/7zrFdfEQiZLJEZIHQT0tpuj0+EF6oMIpmdG0JR+TAfGmqE53fBepfh2FwiA6xGUFRxIjCkRjAZYTwGmkuhKoAcZaiAHwK0vynHihDNYh7hpVVFLrpImPEtZIkkn5tY54zxtwG6Ej2OGCRb97Ujlu+Wi50eHmORi203XiczrLUWI4FOhUCILAAAHkM6fOX3jXk+tVea1kI5dIpUmlI/sz4pCnBXRkJk1BGx5wqlxHT/f8UHBpev5pyUFYndNBrOHVNO5sv380IRvcD9fbSNCZjbdIwrelPgJ43K83R6QSgE3PgQ4LFaD4OScQcJi5vCbdxWUB8qt7xD4/T2Qhuzmbje71OBxnhyQIUJokvvoP2fuoygN6Nipk4u0dy8oq8dSVLF63ADbjHEY+exRM7A94SpnmWNDnUzd4+KSN2sf+FHLrC+KaqpoAdeSklzTvzyuQkMMV+NFduM7mUqUUDwJjZWMt/xb+JQAHXiJ0o/Rr7DJFM6TZgqfZw6qn7gO+wmU89bf6Lt1b+j3AmPKAIOaTZp+bDCuxFXnGFBaMa/Jjj9oGni910NTHJ8+LNyRiQIEm5x0UcCV3KdkmdX3Y3wGcQylnUCcY33p/rjKUA24lfvOHQyDWonnKcN2bbliRce2NL+YNTKUiDyXYForjrl+ad3hNmqHlmg+MA0A6C5sHND/z2hg3affPbkP5FvIdXt3/gQaw3SA0VFQchIbHKmI2Xma8ytp2M9qwhX0KDgXXSsi4480GY5H2otSm0qK3c6SQVA7QzdU4k1XiGniS/XOQOJ2TOab+ph9b4MnbuKVkwIslO+MyIBrBpE7ZO2mudtXXsO5riePsynkqoZsXzrNmtJ3aCdvMTOmRUMj1fQuukeahQU5sPOAMoYAUkZqSKx1EmJ+A4yKwswt1ATBkUqpd0j0Lvyt1jLmIJXp0eHz6l/xPGNvtGOQSTUMc+EyhpaKc/CJCJHR9vu5RktuZGt9Xrt83/NUJFmthNIJjTDwmbq3RX8kYiuzuD4BXsFqJicazl+bAIhvJqY8bWaRv79HA6mU8TGrBrtuhsERy9DYMTig322/1er9dqdzshq6vgcN/YjoBcew0kzeDU+J8A2TyZwoFmNd7d6rXWw2CPIoi2bFdWkO/noJ5W5iyu2qFGZQhUXqaMGyGED9mc13PohtBr+vbAIMLgLQcijeS6DAVAk3BtbRTfZbAsJoRr2CUD8bVhhDkPKnAUaDNnAnX1Dzref+pPyhBXcgFfzsj3/MufZuMqYFr2qBkFqcfZY/p338LG5TZA+DJ0zcVy/KUzb2zbO33UARpmYyYoHh4UGMkbjc06R/eoqrOGXrDGoEocRlL2orWZb8A37MvLrM0VXGwLVHlu2kqi9GnOUKJSmqHSyJBpBDrl6PP5cb5wXTm7whvh1h8KTVWvTtN6swUZe7kyQjnru3hi7hjxUVMmmsqGg+e+yKzAdBIGQohZJZgeJT1FJsMd0UCO4rlzfE6vAd+3g1oJes6ol78kyZjG02Id3X5X1/Ftm3Z2Y6MTrffa624o96lGimRcSF6qAhdBujtw/oMKIVQBgFdchBzjoGrutyH5J91Dq1CWkAgq7I2id/TmRL66OO4pOo5V+YqHrFHfU7pA6u+OSiCEY0OvolDJmqr+1ULU6Yo5tip5OG+M9PqZySsAkwEhsOE5PQ+0OD9Kx0LD3+WJtW4ZwYvNNbaDVSB/fRGA0Qsm4OYTCFIvIT0jh+o+PXkOcT66MIhjLO7/vtplajX/KBIsPiutkxqlzBcl+nzQR1vnMUD8740H/LWtvL+29fRSQYsba/7b/YxBJn3fK9uo9sr6ea8MCrLgkT0Eb9drPdEyLADePgXeztY0O+ChzLMZ8sAuLMLyODE+joTFiHGgUZw7+Fxou4chQmTSmbdslrAn8fsiMg0ws+qzcZwyaF0ZNI673hkSSwBs7DMo7Hni4NP8jeF/Z+lPiRXzDJRjfFqCyjH/FbAcwt19HGKuAu6knsMWaTyOHldEjuOh0jZxQ5Vq2/JFXECU0zG1jEQUSyroURw51yYMWcsdS9r7gqHqkeSGqdHNxywqNjNpW2p3vWCNuGOm2gdSUu7A6xxQVku38Xxoo1AODCvmI1vbNft3q4DJVWBH3P7riGsF+hE91COV2jl/A9vFXN/91K8BzI4PeTopbGY23XZ5hxtY3+kV3YLtQVWhkRQKUKVaTdCMOZTaLCPxSRUvUUhdNrzxZcYJP1PTViC7VcC5udOvOFXlQ2psquX2vkYYJNybwqXNRjPT3iBUZeyUIgqL2QdFYSltGiVpNBH+1SHvv4LGKc1u4fmh+cxaK9prt/ONdyyleWbrgAGSgB5LhjkPPz2iimavgI9LyBDssykYyIvCOKCa6wuSbhMeVBjm2olsCtjwC8fLzYMxIdrYOBQZkzqcR/ruuAi0lEXjz7d19OuVHVjdP90wzsok517kps6H9NqkcTAUt+OGp8vkGA1tbPNIzsLoXOeL80IKezMILqC0NBzCyNtYmVnXy1CXu7/L2pv/Okuu0N5THy3v7u6F5xoU9oDUwt7mQeDdRPZQ5yTxnGBDt9UTg0NvYrAVZMU3kdVE3uRgnSVcniCcSz3mB6PbhkGOP9pQiaUyIjvOSJRVL80IdsNh5URXnKWLQzmP3uycOYLgbHi0+/L4T3ZRcgRM4rzTV7nDyOgUtr23/0gd/txgRj/LTRb2i92lP8Pm+SVvWo3tISyoC4PoGseEtjed8KRUBJeprZzjThhnG7Ev7qXrc8sWfOPyNpvHQwkKtCrjb4a5LOn7CaLGPAhoarh2W40C0KTCSBhFB1YmzaRpQoYnrghPeM2EOImm3ftmsLv3anhxYLwbez5N732a+tjbdGRERY2HUbjvBX9nokrDLRJlL1zRWyvcQhoNMxFVzbLQY027vlkjHdKQKTqZpjallWVniqOggnWy2RLCwcMcyHSyTAbBY0KzWZCa3vGr9PSKRRYJsA/tGdk6Q/2V2IOX2k/CY+wlyM/zmphI6ysHcMuwIdne/VFQq6mUNX+LTKoZG2g4zqaCO1QpXOwUOdonvoQRnbOE6ep+uqyhBHmEHCKkkca580PE6enTO8WrFJuLUkO+hPoFDSLXZCizSitMI096SXLUdtmxoeQFGQaP0030BMrZJpaSNG2Oo/6f5aj/9ySO2mbyt7SPDsXtfFkQn4msgQgm+6/WX5uPkcnKsECv/cuXgH4FK6w06GajbIVttEp+/wlNtQPwKxYkbPQaxm+wG2e3l1OjP3RGPSG9S+JvFM/fEysTWAb9NYk/3Ad1UM6cDOdLGMjtQbth5fkdtcNwtQILYBl7x42E8Txva5FlXl1jAGKNYMFFZu2RzlSUgKPGCi91rAv9tQcFVZyih5IgrT2Q0ez5HamxIeHABKxTYp4bR8DliMBJa5/uf+KMhPLop7Xr6bRsP5xTBnY5gVpD4QyqkQZB1QuFDz0rLD6ooMqp+s8W/MwTm2fU7DelhGbz9C625RdueJ0R+S6+6x2pSoFus2fOFcdaphWpUMPzVqUGGPOpbzUaO5Xaz2gzhbAeSGZjRGb+WIxYUtd3TCBkZmlVeygp+cJ7UqGUo1nQSR0i/YbTQNP346vbeqvZaW0GrWar2wk6/V5zo9drNDwEQOYEc4Q3l/V1AJiY/293GqgAYso3vxy0A7t5EetPFpOySZit4/np5mfwMo0MexnDepTl6gjANFeHxm9mrn+vmFoY0gjsuHlyHayN9ES+mIO+Dn20ntNHFTteVEc3yQIqxpD56Gxx73r8y4SDVxkgR47hl/lNDQN3PBFfsfqQwqCwA9vBT9PpHY3SVPkvtQhW9rA4i+cPqImvUNzzFdREafpJtxwe7rZLEI8a9RzqgPEXASw2TMZiPriTiYx38YJnXcEOUGjQgJroqC/NyDydLcXm1AhhsuVknL7nWKSFnRFQy4wqRDMUiakHwVk7zmsS73BED44NOUONR1z20hNeSCiI12/dJV5Q7kVgu1Y1fBb3hxvBzZYuub6H625GU5TM89ap+Ui3z/mAGIGHmXlgj/xsNht01wX7226Xlbv7mXf7zY0uZvrm+lG5tFH4tvTzFbUTagnPjGIpazhLI3g1fiX0m7p2BHjAWJesp87R7IaWarjH6DcFoGwpmZrHH5EVoOL2K0LCrQSr5K3Xd2CngGF2ZO52eStliLNmNGmPHBVmFRREmt+FK4O6efdB8Hr/VVCncK15OS/ia/44eu3+yMUew2APf+6NF/PpZG2c3MRXSNhdzmOzDdi2Qf5OhR/nbvzHE/MHlE8ybzQKyhiHw5uByigsVKgLiUf8Kb/b5sd9MHsKWLHsNp7P8OHRa+8SWoQucuX6FQOB9hPPWHzUKXAOAcEfj2iezG+ES8wzmkw3dtl6DrLy4qoqF55/N3+HsDx8KyCjqatrt9InH6E3F0qMkHUxk68dNJ/kitjsfeo1Wpfbbe84t/3z284/bpsGfRnG7OwqUW0L7YLzyIqoSZeLLyHJ1uoZqcLomsbLB/PfiwGeWxq1lUDwcJWghNKs+S6j33nPYbORl28s6A9Gl11iiiKMR4gO85ko0S8B5llpejhX2Iv4+YbHMU8OhLklGQLL0HJEXL6U5YYK1yk8ypk9Os/GttsfN6fR3Li0gkhxmDFfybzwOL73LQ6xezwKJjHzgMWx/r/CMS0NreiWJ7B2143FkXdMEfWmds4dQ9wI37ywo+cG8AHYwpjpNLr6QTxHQxOXs3Nb+R1oee8Tu38vp5/C4Hx5mTQC4GDRNJHYGA2UtHMkjt+Y16JBqhRtp2FLxCd3EP2wVO7SReUENr8vcfXqgfSb3pgzypWso4OkoclpP8fME8solH04/FPwdm//9Ztz33igF8+/Jj6WjSh9XtoVNm7MN9gchloo6/Q9mPZ4nyt+H/cSZy7BbpxKxIDNvZzClkRjqdEmN/5LywOc/+mOhpW9E2jACgeGTs0/LoLF4fyb98vrVFDG+dfw+jC3hbsnasatSghks0HYy7aKmFxOhKXTq3RBjhm113FidJwKpnpekbZb37+mvexwkSQ+6/Tks17PfqbbjuTzuvnU7v0BF0+36TN46zFFXBGHrDzjoN7eDD4Bp+OTuREp++pDNxf2cGE7f2GZCup0L7qug+vyZFFfx+P69P/4cl6gx1qUU+7/v7t34W7jSq6F/0rH90sAJA0SjTdA2xmapGyORZFDUtYky2tpNYmmiAgEMGhAEp2V//5V7ao653QDBB+W5+bOXbkeigT6cU6detfeV5OUwtLzLv3rs8mqvAN6yeQpec8k5yIQ0AMGm5Jv8iYyvIXBu+aCGHbHiHQSKrudVCSh24wjeYW9kOA6zUH/KlTyIiq8r5Iamn3ZMejpAYkU8ABAPY/Ynd9be0JZalDDQrVcQnDpX6sj9mA7WJfk6djMKee5WPitZQFySHboURKO39uaVhxNpZ/qel7/fZlefWfKcm0Ih8UeaYmimdQM8WYBbB6gWyuQAZ62xu6zG8FIG819bHejtbdR+OOy5P8jFsfXKBWEZKFo/TprY6dmAV6zzOdDh3VqrobMdqF1wzBqKheX+ydnFxVvy0i/sX3Br/X0LDCWgqbLK2vjx5y1Q0xjcLCl9IhYiw8GHOUy70E28KTwWh69gEKrD49HyUXD3Iwd4g6elh9Qn3jXO8k87HN6+RMT1DpCwl4DMvT/JY1GQELuo9fUF3q1SUltUhFvaUs0n8MTx2LUilHzgYzW8RTNuq28WHsT9x4xXiOGfnOuSxKHRktfi9MPvKfvLo5PogPoQcbBvibFOaTDMh9nFDnNoewmEwkM5av6J7qirE0EouT6eOqAuSWaFTT+z6kSfGPYOgV8Gj03Hczdv+y/P++9v/jlYCPALb4pBTPUi3TT5YV9XxKunxoCfTk03yDNDoBJ+0BYIaYf6PjIGbgQoO5FMF2lgHYqs3wlL6ro8IJll4tfX2dzkkn5gIHQBZKnlkPm4OLgfKD+t0JpjHuMlWE0OFSpKGWP6msrAkEMBtaL6XArTQKnCu0c0uLyVusDhTNoJ3wn+pn/qK0coJ+0kAWYoP795dfvD4/Pjw4uFU63yK6UOxpRt4Yu3BFCHpndHoFPILzyRi3DSzH2Q1fRx7HQiYz45MBvU5q+xqCj/GVXgP/QpXRNCtxyiMWsxcqMPNVmRfs2hbPgbqUt88gAV1bFxUQcXaMu2fXDDJCnPIFSPdu/PPhJDrRivLHHxfgiO1/PPD8DL7agFcu2Gfrse4GyMBpoNyLpF51JIEfRFUMtLP4o6UFT3DRbcpnBiVA1JOHCKavtPKZKkfQdhhd3z1G+uT4TPeqWOLnz1Mw829rm/+727Sej2PcL/oKCvuPIOkwKIwfkydi7MXwE4x8GZTI3WAAqvqK4z4h2kKhOhcLuPuMS6iJba6Cj1+0phqNMIaXKHFqpolrFX6xV/JjX7wWuVwI9S4v/OJld0e7cBm9daPiSUfhwCZxdIa2BJP4Ws50H/F8UPTFDAcRiKJLQSOj/0ID+H/SWFDwcpvcmJM16sx0d3C7oge5I01GYG/ylE/zFvtPbeLkoWEX92IZLP/Cp0m3CT6GnV0aINxrkcMW0JztVM5EBVVHNKfLjXI+e3GuXDkSOvxEMDORGlc2UGtWT7G62YNJrvHo7+vNqco8eXLomfnVJWu1j/mH8CX3i7h1itzZcB4DI6WVvAYLCbYMp4Ky1tVwfWZAVSC7p25+z7KNifmwywsFba1+Ye0kZbvJA52tnh7sLdPjemCENXhLW1ta+Iu1f6E/GsbJ1c+dtyPq1uErk8mVA32Xjh9+49eKtKK6YODM2E+GoUSDKikrP2eMOOWefAL4DyWR47glnbXmMILgexZdd/iTbX95ZNRcFyr9wf0nlTUfIn0jTvzgV8nqBtgCj1bSoJoysRNYe+0ZyhTA0if7M81OkYPgaOyX5d8MJop4kTzCts4HipPzflUfqAdj3DZpKtRMCbnFtvqjW4TzEbLmNrqnT/YfICa8hFgs8U9HK9cnKdYo5YWbMhhOJ3OxqzuDFdBbdcKAdU5mrBmWj1PfnaZ5rrIAwmh2V3CjlwFBhfAyiurbbrDPcnG3W0XTE3NBQs14W5OEc3craY6PZRVweimx/PD99++YwZpROvTL0AW0IKJLAi/NOIBAagyFFdIwn0AOsP4sw6TI3Dqr/tmnTFpkDGeLlD9uYesJR3jtWJhgGdFDrOm/ebXQZDNmQWTjBexaEqpcz/tDnZYS+AemmlOWWlfaN8O615aXXLa5lCtT3U8Xh1oMhivX9KqUXJJURvIVyEuiD5/5hdiLJMwNNupjXQmRqkGhX90CjmH3UHlfbJnxmxuyIa9ZSXhntODoQJJhsJI2A1DvYr9lVwn4mN5CtQzo2HZ5O7yXwcVALriFiBpBMTFQB6g7IIiK/VWwz7bZHCog1PhXMjNin1nk7yzXgN55R3fCTwHgVjrGqLBeZXGSNK5WougFVTmuQskKc5L2V/K1bqbt08ZEMseBBseEOjmTxlfj5SWGGryQ53vKLIda7oav7XkOpzOpjwDrlGNnReX0k9G1WHuNqPmbXjZMCgettxr5RvOiw4x8zMF+dWkT3Ygu1yL0fqr8KaDhZtkkR//pNwB/y6zfDX7/B0fv1m/jXb+TaTBOJPziGtkbwV9FCF4yPhQ9BHa39nXQi/godhb/qMcaUMf4UKib5BK0I/qKHGb+ElOG3cg+IhHt0HHe9PFSV+8vbC/m8SAgUGf0+iXd2dpQuUUa7Khezu0zzDRBteIz1UC2QjuG1q1hSQ5SEQdAImOQWa937h7DWa9CJEqUWrHWnu2atT1dLZoA59Oho5OJygsiyLvnHwGTrWECFkfLgzSsbA2uQQoOYkjVI5iwXEgLya3XA7xX0ZCwZ2pN0ngeDTPl2q77hedfGugKotwB0Rqe7fIdTHB3OrmXkEx0acXhV/T328gYkHPRnUNEz8Ns85Sbj5d1817MzGurKvtL2KPybPJgkh31SW1fXTSeAIG0jruIofNOAz7iA0lt9fXqw//r9q4vyQ0kKlFbw1eWZaFPyCQbNncZOc6fJuNhX3IK8njreFHciV7iBhQPNVuHGRtWKvp/U4ER164TuQUoKkQG25SO1UAqqlXNMSpGhGKd5MI5kA3zWrzcEHwuysuMpslpOiyq+rHTuci8r7QG3K2mOeDTO2ejQv5ys8jAVpz9PDMb2oY5ozuLnauF2dAWGpXPBGT02p7YCbmNC/EEP0S/79+8V8UfsS9itR75gcSw+S7evOe8Ay3z6My2xrPVOdLwM60m6KFCgChNzy6TYy1RK3bZ4mM/lc0sxqdop/54VZhoTYFvGOkRbHrtuiGjRODoaja0jUrRAJZohfI813JV4Ul/ZUzHOPCeQgo3MmaF4MXVZ6V7HglH2/SSlxctRFELjgsRfyp2xxoXEg/Jc0QYsKdsNG3G7FpFZBoT1cpS0ykzrqzR2h0evjy6PSgR7M6ipenh4d5uGyo4+xET/9XUav5/unmx4srKrUpTwaJGOczfW+1yxDj2d1Ps5e/QPNSF8WrSbT1iRMIIamOoaV6qKFiVSswYBkELQFgPf/4cw8IOnGvj+4wa+iGVbYrqydnsxe7B1nF6q7Ozsuv/Llte7QF2Qv4IYV1QRixwknGcOp4LJ6iJ83AAD9wP+f8839d//wSZeTHjJ0Cs1FxPTkOkW+75u2MP5o9IFyisX2Oeq1ChdehSf99hxEx5VyR0DkFk5NTRW33H+GZ0Q+tNf63+9OH9Vvzz9+egNP1lpwbhSRTs11Jf9yTbsrW2Yvu+Z26dYlirVkWfO07BJ3b4ka87M8VQZDZ/s1TDuUqveIx8BGVlzU/IlqSQuw4sdGS/Dcem9wgw1mft5KmbMfIlLRGEytGNsFeyfll2e0h6GWQRpV8jYwRs6IBUzE/mKHjVlqtQHL7AjlAcVPkB59oHPL3nDpICRqxfszat8NuFpUP6ujb2lIUOHKHIy/bMlIy8t5PhJ/FM+gjJbFjw9BEnRQpJ6t9NpdXSRle2u8E5xKS2DnhDXeO/jK+8zSUrnU7oYK/cCFMzQJfroHmT+NjDTbjBPpGUTNjwBfLtstdbKU7iF+tzSmnaAZaKtuOOJsr113eVPYEXsMKQtatXos8HpK/yxXdvDSQ3OHF6kUvhUhz6FncAHsBUV2m63FTr56pWggrG6U2UX28Cq+6chvrG7mnMxQ1tFIC4Bk8wNNhmekQmFgZUHN6E/MW1GldHrK2V/00mqUi6UvpjyqB7K9HQJtgI14T+S0x1qGvOxeYYbrDF3PNERwtPqkMods8WkPKr3CYBH4t16UjcGIuZbA+YOdG10JLjIP5WajmhvWzKMu3MygGtPmyXn/wLn7BM8r2ccCChNEfP/5jTK8laTMOw4BL94WPLXPhoIPv1N2rNZMugz/Dphkge5JbENv35jsm0PsBexVEEuHT0ELuSEKBzKCEHjIMaGaDblXqur2WqRW1s+HKGkj66Sqnk70W06Eu5DSwkJg5yYIcxbZjZfudE9LCLOdQZ/D3LaP95f7K5hzHXb64STbVrBIvrwa4rUhiGRgQySs93tMEIyqTTeEU0l36zYu4+qcpiBTiblD4dIEVW4NJ905eXpv8NWIzpj8ox6sKcDcITWQa+JnqFcG7lHMmBHbn8djNw5esuKjuMbmwLEJ1hWPs90gj2XZ1rORun9UDueBFM2xLj1iLOKmZnaZDxeJo7ecW0CeBJ/prfnmFZGU/Gq+yc+UUGujYfWNGfm3U9sG1yt1127P2z0a5taG3kPSJS4Zko/xZwfYpMDCM1Sk+M7PmBKJKGnxFGS2xzkgQwBBgVyINOGEzW3dD3SmdWkMWz2JbqTG+E7IZRkuqK4vk7PtaE5Y8PSbkb25Z8fXipbKTwgu02r6caZQTC0A88Euv0WJLjoAC/JnG6TJE3CZ+AdoD+4ZIp/oDq7cOwR836cZ9doFcARN8Gq9oe8Wo3w+/ROzO2LtNa6zFRNXAwjmoLpMQ4abbhcryBMuimyW+ivLHlZkBNpALS3er3/w9Hr9z8evTk63788OmRpe+AAxn5n6DNN3nf81lVY6jaOuZqj1ImTlEJukza+lAzbbf6SpG/Pj5jy/t3++dFPp28vjvQTLVyW1lNUivYeZl9S8F10otuIHofXdYK+v/FOthOl/Oa1gJMe4p8puw6L8sgLiFNCnkqxsHDiO4lg75/sbBZmx+yksrfPS+IU8SXUAJnznUa71e+1ffZNQdrJmf8N</t>
  </si>
  <si>
    <t>FTG4J3B4obMgo9q5KdAIn21WKcU36hMubUGpQeAuD2SUxrQikBfg5I7oJQIFvEM34NkNiIBmouAtIjDi2+65eQd2Wj9wDY0pk0OCrbvxF1pP/xx8e1GwURUC+hY7z022tPj7yw1CrWAL/hpruppCXF7lCANJcjp4woPMas5XpP+Z03GS4yzfqFmFlx2EiUEFSfci2lMNvUIGiGgrOIv9BNKUV6vpteQkv5JL55VhuaNkk5D9O0NEftdmB9+L2cNSFvNJ69Bh68Vy5oYMlQ2rMWz3oqpb8zgQNoo+QGsg9knPOh96HO840iPLP+Bk7jmoJzktfE4GguUT7UaN9rAzgFgYFItZWGvXftiv6jb+IdyoNeDE7vpsSLezVldzGeezYz6jw0iSacvZR7LX2RdpDmYjUk+aoHHWJilHynC6v6JzJaL/XvCX+LDc0Hm5fS+XgV64viYJ0F+MlbotdK1IAOjpV1ekvvOPmTKT6GXHo6dNiehLbBoTIRln0cZWAQro7Zuf35y+e2O6+aA4dliVZZAJAVAhsPSJikNnPfpWO8zKB2BCSRGQC8gHMaeTyNNi4+mOYkvviMLIMHSR8vV2Zymt266sh1gJmL8kJmPfHpDEc7f5QmtFM2OyZPsStM2dXehOmQsVoBRi5KFQzQdKuKkx/EZfntRcOtV+1XV36Zdx9lk3hPHRJnT2+g7zPngLtJ0BQEG9PvQ1FO0YQsXSnuz+93j0P5YXyck7ymQYTvooo6qkeHjcC70sJh88NU7/BIJkNBHIY53PWZDRhqZAoxYQH/RzSMDN5mMYZSwr0l0cKPIuhhPWajiz0QfNGpUQjx3ApzsmrlvUibBVTPPib4MNovsj9bacKexc8TBc8+x3rj6JopspHvK2IxcXzpufSeU8g3QH0i7NV4sPzDK6P3WXxgvkgp0o/HTGWzf7UJqhZEDaXLN0i9kytU5D7/W5w2tQv34BuMFm0JVHMaLNxT0Kv1VbAMUhMrDbgMqo21/TT7qa2gAlqoptRLsp2dmEyysNU17o9fXtUCFWq6mmYVGlFRaETM3Cnyt29aqdxOCDeWW7bS+FOaZJ6FTjLy2GHypqx8KVKf5qd4Iv14o7Wfhwt+OdEnuOfg8dfQoaFbfIjy9dbDEj5yfQa1VD6MxNJdbioooRV6zdkO1CPpX2lNZzwFsJQ1D513/9V3E2RVJ5I8X63jnvmEMIHizRKEjwpeoer6p0IJDy5qvJSbhiSfV0ILciOdndEOpYEICiUGkLLO84n0+4OS6lPamHmiHcW+09oLULPlI2WGU9iXPD7wnF5YyRfA2en8W+d3jweyHI0tAzEDmRa8cwFj6TSYqKOyieAJ2uqSM9d1EVv+T+SzQTZchn1F3FoPYoi8VFdr36A6aQVMFvdToftAjDyB9cC9VXU9UhxQ3cLR2p3bXd0/P6g5lBOzj8iz25EclzPek3B3YvyDRzMAcGKUXygu2fN3lD76WYhiPVRh/jPA1poreK9KQ6jof/ySIVX0C8oc7AWbdWb6/0TvqRxH8k2Su+pnyi2/GfaMHysYM2W4x/k8yyxpxj05k7US/hlpk5Q/hxw3tgzKtymt+ev44YLm0uKKqAqXXyW0fuHDYJ9e/AhKbLZSqdGVM2NmwvZOpdmdnNhZRFyP8BJ7a7zad65e3tXvkg6UDy4n4rKexNoMm57adoAWuyxtaJWlEF76e6MXehLi8PTyuhHj23BU9J3Oj1TKWisegPcMX5KTb74Q48rXJBb8JqvtPAQnSbBqY5Sa9BLgE9bF79Q9+jdWSAWfOSWbLDpCRL6OaBrtJzyTihDBjG7q7VT95Vrm1GKaEX52FL7NVYIVAdGH3Ij8JvJKMEe8GwsttoTRgHfGD2RckUY0iYzfpCINQVo1OSh/cbPE1pTxIQMzVFII7LhZCxICS+F0utdcnzY2kVITUV3huwB8SzBkkgmA/EYLIje+u+hCSJsHaA4QjWBAVM5ghJ2aow4kkeOwo2bc3O8t1PyuvEGJAT7jojAzSq39Cpp499mo3Fnw2iGp5y2+j20CL6+VJrP58IaSVJ5K34IujMt9mMt8AhENFxU088VK4j5OERxNmjY8g5xQUWc8/FgAuoAxgj0HVnCmPKzW/3AArSheWOsUUGoVyAwdKw0CbcscxzbJVcMaQWCwayyzNyIgNulLv/q0PML3UfKJDiuZIjUbIkgKw0v9NtaFFI8G/YinbCPwXz/bze/+aEktZ4zw7Vd4LXqLlX+lzs/xJ+HHEN7Y39kvSLRAQc88zHD6cDOEB7LGWwJYX1/2YlkP/BjMrKDCx285VQTHGdVvQu83dHv64ajauexCXDEpDl0fVsOrsTv+5sMZ6xJOILo56qEMcYRL9uJoNmOEpsD8uV+6JpOz6i1xfuHWZ/+SiIXzGT/MTWw/lBqSjJB+cqBRcq5X97jF04/ZRNKDxBVwBXGAtjJhy9YiYEs/oVu4AA0x2fPf/evUTu3WsH947JW/0o8KjNDv3AwYc+jt6wr98S4BP3zNXjI3zr+Ky26Ropj37xD2tP0dHrSclQsbnQ9jGVoejKm9Po6Og4ajV2Wt2KYvojG3MkJDej7HpCYZiO0N4w+1T06vKcFozbctDBiRSIdMyyfNQg+0b9LLL8wR8Q5VuTHzv+R2VfU6FOvgnct1cCbb5ZDIHH+W62mIxAZcx4CouYn97gImilDKDoKwgirq9iUECmix+CpSsKSlUlSdKXipFUxfbV1vavr1LU75MUAYpM9l3xx+Cn6PWKgsQmXr6pkmTLMeSHCQnc1m5p3xy4bwqvZy5d1bpm+doXByJrSaP5zGcdJHZHgbxa/+66fA9ln6UayRUO+aG955ZfrtiyS7cfF8ot4tfaIn4C3Gqq7oQrYKQSJwW5wy9U+EJheI7gHQrSkDFNVk5+fl2hG58cY0fDFU0aHZGus5OjTX8d1BwH9GoyQYMZV8gEo9Bd3CEdVnTggwHMkZPjnUiGbk6v6VTqiU7myQSH0CbnFbtttxbcAR5uLNs6LMtS0uht+Cw3aMgz5HPhBZP8GbL/Tj3LesT4QVY5duugP22W/KTRVzEi6yn/23xUlSVefzW3CVA7FCCFh/yZlmoEIfijzSm3UBWFKUFMSf8tL0LSkndvPma3GBnAziVfu2gT3pyaUelV01pAlgfCu7OU8a3aX7qYjCZP+ZY+ICPV4cu7F9YJ0qBiDbrSqDIay0QGhut5lC8HqYiRsHN62b0gdgqBV10BuQSJi9ah26dQoNOk/wDlkU+HKG7jjjTdDUgE9akllSLu1KNy0nZykgy2yUnncTn5Q+3duqQ0BYxwXVKaqu+B4s06Ow4UtjdtJiMWQYr3UeHSlW4rJvhHlQeXcMtydZ+wXP+r9PMmvavr2V7XeUJm9IDKU4XX5u1pr+1OWzzJpJOUPT/GfeQAasqA6BNM6QTcHHsao1oyw+AmdypPV4VJf5uI98I9O8m+jK9n/7tUYKcpS9dtPaICQ/Unw+i7gFhDW9nIWLJobY8vTmXM5ODkr38PNXc6zRxptgbK1umTfrYR6Z8uL88k1fBPkazTMOo0mpU9nW/kLk7pg7V1aT1DzclAkYhDd5s49B8Wh/8tmk7jyKTf+Uqajm4Lqss36g67qVJOBVVk9okFrOma8D2V8l60P59zoomdMGTe6PoYlR5P6V3S0WN7tHU3Blt24/8VRdrvfk1F2u/J5nM49HU0YNIIFxkM2MjQi7zQQ/COJs2+4GHkUXUDKTvX5GqPa7i+qLh+dJNhnonBBMHGwNTN8lWKPZNO5Ho/Y0aePjo/Pz2vlZA44nBIIw4mMZaLFP33kkeFRlEIJEN6VI5Hri5Jxkx1HKK9ln5Fx4YUadODOdATSgW8mLARIWsL1LACzOyGB9/+jKqKiUnx13eb4hX9jNhNM3+H2ZLkLt9RzzH72yqdCLEjSU8lN4hX66bocbACpHnbw7+tSCXgkuJm92UBX5Ewn6WY+eHx41SL/aPZ9QqjqkICJQfbqkBnh68ekcSk5/Vwb5skFrJ750AHlYkx5Vmcworx/1Rtmv77gA+RywgQt0dFcQOv7vcFakXHiptExyhmLu+H4WhmU0czsYsyRsV9mSuVRgbmnig4UuzZdA72D8kmk6reJdPL/9mn/+zfMWV2uqvU6pv5eH1Tt/G8usqFgMlrDcdNtLkvuOu1onOY3iHGLvXLHtTo+LXgGrnPe4rbISRrE5es8d3m9o7u2x1GQ2BRHcJn+zRmyN9+g/tGA8xz+b77Upe+tADa1hQ8FjcYU5d+hoDwVUBu3bd60fEd5wY5D5Z/pAMSXLEfXcj83ND3SSEiPD/aP/yPmP56dTde+vHbuMw5qaDVwrHAh8ka+6+k+iQX2PNTCFeZMHcCT/XaCZO8GCm/nc4/G9yvp80tMgAJs28wE+ywLT6A11B0VzZ1R5CP01PClWbxuBWymO+chE3GN9n1/TUbMHnZWKv17iTGERd9bu5ZtA3uNgYebqzPWns0b+lPoLuzP4TuV0N33niqgvZrvqBvSYr3+PXr4zenxxdRt9lrtOtJswV/T2amOEFjc1tCjlOnXa/sy4ssjUw3rwgTaSA358anRapFPq0fRa6ywbBogEWRNhxtY4j1s1y+hdhA0pPS9YTJDDrDkHWFe/CT3NqA037B6iKnMWNARux7vtyIjFgPiHQcssOb08v3F2/Pzk7PyYZaPLDiYcIPHyYKh4Fi5lSuXXpOAUgYGlABP/CoNFuCuZrUOfJ6MqV54yoDjM70I08yq+yioC/LB38yzXXmORb1Cc42MH14+rFAiW03MMIDLz96r6fd9D8W06mlc1BIp14Ia6/TrmWqz9ns4zNkez/42tAjmkrzGg/AlvypRXY9notBIvnpNBp+kiZobqtwL43oEKteM+YnPHk5QPr7YYAaJ4giqbn/kNQFT3dPUJvd1+4xpq/yF7aZ58JQZ/Ehmw2s/qVzp7RnNn8A9sp6XDG+UXGvJx3/rn9cfGEZtQY8l/jQ6ULGwmx2xR7Tyq8UMRrYItO2ISe4abXg1FXsue0qYlis5YDbO65SbqBcFbBnMu6h1ZiP+bdUOTsdjqG/a5m6fURufYDa7myT0EK+9ljmT1IZEZbBmrvxVJylgBv7GWKK6MnEAiN6mAfSaej5YsYldgp2Kfa7guGGg2MNK9xpoIxCdkGbOtNn5ScdKiREsy4DNH9SUncuX8emQERFMKnhhHt/js4lP0GfL8w+W1um4OyLWyqE6Kwv+TuHZJyHCuP1CVs1pydiBmHF5lGoIdtsrCXOJkCMNk3LVRQ9H0KJIwPeF3v0mfWBKoGRvHMqXiMamd2tlUY4V0oNsVVe/eEbLLG5186gkwdpvRZF3QnAYJKCzzjMn3R6/5lxgUSxT8zexNzjny39ELNg0zvI+mvobxX07AsPtOfaLirwQo7dUE6KI8rkXhNpmNbhuBSozbrolfyRg9DxCrzjtXYnKZ+JcuuV6ww41HCXIzsXxpJutRIw/WkMP/6GMVeHEvY0ui2rrJRb8eRqoni46YFNFiP63NPxwTiWvQu3juFew6g18HFrVLVuXkmLcZ08kUB2zwe9uXo3Sf08adUP9uv/+s1DwdFhQ4rO5RcsZpkfeFFXRukkL35Rejv3ov1CgC6v5dPGD77gjz9sf8HWpheUrM9DL2bJ0UHjj36xfvfhFzv56/YXa4cv5gPM4vuEgeXay3QLLxP4VPYW6vW6yRo+lf06fFsJJ8TNskDO9ZoXo50YH7CAzcKe6nrkBrBuCWbuJLKRqVHD9EGXtMvhu/hlLXKx6BtNQDvfPGQBD7U1w9bwXRjdbl5GjhfWlrH32DKeGTeJcz0fjTn2fC+zCytcpMAhiN7G8N7MNabV2tHPVfJ1lzcYctBYYevydMPlCb1OAUB4cJ0ESujcPLq1Fes/tmIXBX8xjpqDRvTDIrtjfpAfJp9Gscd9thRDLGR+fkL+vBkMPpszptD/Wi0gV1hp1NrtOFKXSVDVlJFFh8A4WRElbQz5VM87tegB99o8xkbgFcpgRQ4vM0CCa2rzpYIyoe9VAZsWwHoEkJFBOOaIx7cLc+8pCkE4iR9RBQz8yK364ZacCoSADaaM0AANHWCHFE4gWp33vP0Wv0LH1XSEDLFfzWCoONNk/cgA5N5xqRcmzlrMPjJHruKlCl0y0BsnmfT/yxkqUjU9tET9pyyRHJ9HjvmmJdoPjixSu4BDKkE5iBIRFCo7tJKCUUiYtHxe9XzsUOiTKQA0s/jh6Tcd8kpwyiWrsHVNBuGavAVAkHON1xfnYXd7bcEGj53yY3WiWeTNNQ8xz8xvd63qK4HY/DCrAwjB8DIVjxF42aXwQ8G7SzFHVC3FHNwY78MOhQD3y7Dm35snbMfh7bExFTdqdpJ9cLfIPs0+PhDMkRtM68cBoUzTjJdrkeKYKRg5uOSRuh2G6rTwZBhtbmyWzdnt9/vJdXrTSfq9drPb71/3W6ObNBnxj9n1qNEada977X6/22s0+zdZRhq79KA8TXrGHcGM7Y6L5sZOs1oASWVFirYNZg7ryW0pSIFDhJdSX0b/3CqIUjIKBXFd+u7S6ey/eptO5+DR0xlCIWIqV5NldFjfnF68Pfjp4PXx0ZvLqKrxk0G7Sk4BuHTylZpmATX8l/RpXkw2yfCvCDA39E98LQogZxYqQZ9hhm62YtWxdYGSxxcIseULFscT60THHIIh/mM0wUmIJBqdOYBDHNhUsu38VvIioWexF8aAqsfGV6g7TmRuEKiIXITUwKy29e2bz/fVmuxlirE9Rw+TzwHXiov0VE9YxV67B/iKS6YGqEtdU5OFWBdNEQ4j8/7q5MSyw0ZnEcQOH5DWuswWi/R6zSEMXEFSi+bSBZnhUWY/0d2dr1jVAdZsaRK5Zh1Ier158Zn2UcGtDHxIdr1tUMKTtxV2qlXaqdaLLIqsZ2hRnL+wlsB55u5doN6xtnUULqjSFhNzwtqFXnmeLVA1ZVCYBwyKsySpInwab4NiXRYNiktpmBs6zi2zw/7lgvVI+N4UdJNSWbNC6xaFbKU5i05n83DM4oZn1IzwV0ceZ3xaGYOTFfIMOg2v/bBJDzjn08WEQzra8p2/s5koS1d7LaB/IIwfJFuk5OHQ/VLpNawsKU0A2jLB2wAxYRu+4IWPpTGFozSFhdZGiR0ppaw3k8SROOGYTtN5gujib6uU+T9e0y7RPY4o2Ojs/xD9+IMby2BxFeJhbRrxGMIaAl9bYU+OPJpKRIgsIjfTNl4akpC8nVDFCMKbZd+MdTxAQFZdjwzGDjnrsoQyEMkIDToztXX7Ok9PW7QU7Vb/ZTpcvvRCBS7q+nM6+VgoMUkkwxEZH/a4mNcwSdhUxbXUBnIamtvY0VrXaHNVdU+52AKiAF8MSzbeJQmLZFD26Jxwk81LRg/Vkldh9dul1e8+y4i2FKGvtAG/14gGe6CVNv6VGkxd+4IEmH17ZGG3vnnvZbmMVimXwYiOS5wk2TNFkdF81Ty95/rb11qXduBJdNTrXGQ4wZapVxRUOnYzqF9sUF10A7sBdE17kW8F3+b7dJItltWk9u2u/iL69Zvvv736/su3u1ffxww6S7qbAWKi75J/S+i26Qedfv3Laxm+z5cLiPm52h7fdLC3VtcEqJ1wa7GnvHWPCuG5Emo+sjFGHVoVw5LUm71nrj7JgqHK6OsstS4hkNFyfXqlXfmyIrtL3o1ejueKxY3oK7gwxZU6nztbLaRk4fgWtzr85fXYFprnz4nN8XoPO1rPWzBATPKciroR+UY3IY+dlxKmjx92FQAByNkP88kMiGfbEjUba95AVH3Q7hZM+kPZ/wHPSJj6Oe9wgeHtRf3s5LhO9vTFBYEfXcslpyY7DzmcogMgfepGeBWQ9IbkC3yJOjy+QS5x/Wz/4Of9H49Cf6LoPhRdBfgD4Vp2SmuZbFhLaQzZ3Mz91AVtrS3oq7/Wj8/ql29/OKo3f/i7r2nPYHk9EtHZ4atauNJRVbsdu9F3WHT2vGrbFq/5HL+GVmFTRUZaTradvTfYSNbLwYpGp5UfyGWYRv8SXTAA66/fCBHnr99ESaPxz9H/SdDvmQ3w3z79o501R7+uup1+rxJVDy5+ATvcapKW8Mww9iPdp+aN/GU/adEdbeMlNcdL6yAcdg0gjN2iupZ8NvTpxRv6D4MAt1juCd9WOg5znlZo6D+KVIpjpYFE+PyIz6C0FKrZSWZIF4Fup2r0NdqotVvau5ojWcjLLtte2IU3nYXPbq1u/tU53Vny+DxEtKXWOWlV52Wkh5/PxkLUw21ZUbvRlpSNKdvX+2+AG8SlEmktkJiKXqjR6kmVI2k3irmWsjC3ni/MzecL88l4Or7j1gQRnbVMSqsZVX8CSC25VhpZ1/bWxbHrxBGSKLhoe17+SPaSoux5odBkqwrA0hEYbJIIZGWle0335zneOj05qkab5QkcSLSZceRAYSNNSIogbt2v9jPderrny0qZT0he8ekLk1fxWgYsLG2WTtXWjfF4uVHlXams4t7JUlhMstoZtlqo3LWAAQMGFL4w9uGz7xD1x3XrKhdD19LGV9FHqYJY27T0UJy7RUKXh01B8thWnGsEQotYNgiq1DNBN8CJ4rKE8ZY5vhkWVsbq0dbbMdJVQWsoShtBYb/qWovYWasc4KjKsApTXWxXtF6hFlG0892ElKmO4kHZYYGAJKZVWNuy8je37lYh1FUOYKnnbtVlmHj6dszR0Ph7EJc0W7W13Wk9I6ZzsUQ+z65JK2UUllWXDNLS7ETfk3X8EjUb2nUG2ElpA4wLGdmCE/32eOubF0Jdm3B3BMWazF1fA7jNr7hPr37AQKZGnCwDT1iJwWMrsam2cOH48qZO4tAszIqWayeMcs6MPoW1sqfFlwND6LMmW9egWOnlmg+bT9AnZvmjjlk4X8CZym9/+P6v3+7+8P1egcRFmVujHxngPfrh/Phy//gNfWNtjdrPlRbyeuJotJIqIWeX06klgX2gKug/LmgtysemwYiqi9MKaa+aJBHXJiLGvvS8baUHm7QiIGaA7rtJETZUFf5l//155/3FLwfMenl6cnRxeXwAQUs2HLnOcxfxk+Opiaqr6ccpVzJUgygzcwagItKEdbx8cPSCwkj8giPYajwpk+FzFqGPWMhrFDRRd31Vek9Lb3C6SJMUe16w6hieJWErtMTsbXzh5SLNb598/lqFWPJgteTzbgAcpRiRlN/J/pu3+69ZCn7i/3L6aZfHdvLd08n93XyVP/+91xTw+C4Di0ooFoHSDdrJYAPDd3/yWxeCQOti2b2SHpb5YnYznmSPKh8+tQf7UdUm9vR7AINbF4DBUxcCbu0Pb6LK/g8HlcKra8v+C0W9ECsIAAbF6fOJtteXNjspOz600ZzHOH7z4/uL18dna1yOrWe9H5Mt/vIju4gzZdCacA6u8ttvvzHdO0O8BC8+V6y6h1882rfK2WoqhZDRgrxFS/u+Tu95cvliSY7pTAZCwbVU7G3aunzFNs6AFpjrOBQgPZDr+8s+2Fz/KY7+lr5fdN7PZ7n9uMj+Zj+m9sOVq6WWw9i1BX+2sfqY3euorNAhxkpnSw9ETzWW4UVMrvGOnMByFWgLwzVfgAiEVY0HqNS6WkAxuxNdXDNmmJ9cCQmVc1k6lyXnIhY+fp8td7ZlwFoFD/9sgVLq1vN6dq7sds3Y0UcnDZJp9w86zm7UVRHG0ESytu5PtW8xVr0+x9ORUWfFhl7B2FVT9W+b7ZmwPW8U9z34WMsUjXbT5caKUnnJuuvHny4pTMegpBPeOmDg5w+YgA0K8C/7+haLqArqHore1jWHAV229PrPX9QfWCWgUBKsBI8N5YWSACIicrgwnCEgj2glhS9LB0H7M7jYH4fvmm/6xNb1LDjvYTInmy5mk7uNmZgKrZYU6DrRt1ff59dcyVEuHooS1089qf8Pkq3bYFJKi/Zw/vWIn2hSCnKYewVkKFAL09Xog0aVrn6FPJXvItD3YxjQT1waUdn0rXWxl1hr4KD3tWK3wobIRkU8ColQUd57LWu3q0JV57vWsQj5rqXOZFDMenhJX1UtWRYHrcSXsqJz7l1aBEEqJovzkJzRvaO2BOZglnS9hAw8sgeMQm35HZcH2SJu/90qLYUwB5UO60zZaHsrgZtJgsK9jyIq1bNZvuQiJjMRSXZgz9U4w2+hXVK0SmVdch71yi58M0GQq5MmGQlPpErVqi86xVkuYdgViFzr++SOSRMJZeup68w6eQB8YKUfyum+vZc4OIUAR/PNs7A6ouHV04ohbfZsUa+JbfbqMNMwJFYzli3W892yoy+qk1hHC1bc8uo8vRwGBt0ek8oH40WoadMnLiksE/Y0smSHpzwGHF38dHy2F00KDSCoDFsFzXPatQIfiltY7+bS5E7vOZ/7PJ+OuTtw6flqcX3L3a8KpO+Yr+RKAeb01ixQu7GeybZuD/HkqkbzxIkLfgiHpb05bH1XOA56KaTYKrFBF6xlqHuFiX8KzV+QLX8blv2xZf1u4f7SujNDF4tibTPmm/w02IneSG+gzN4urcsJUAPSAKQsoRt2ZAw+EsnZemZj1LjVHw7GFlyWQVe2kgtt1oUusHqi7BHOFof89SHaVmtB4nCvAJyB/tPcE7DnAqKx3lBQ3v3kWXnxdv28+8K8uL/AWpNM/IIOUGkWznR6ojKeVHj275PUKvHPuohAb0C2qdQreuD5NJkarVmuf/YGvtLZTwI1H2SRN75JpSh+vW4hw6z+klyLvZ7CiFbSGXKbj2pdzeq7FDyXsIKphbBA4OEhrrLrlBP+qKiZ/b82cACb/HEKrd8oiEa3JBrNl/UDhQsTNAWB3/r3zjmFrXZAeYkq6dV1RZFfosqXP1VMMGxkLI7+8/gsooj+8Ki8zf2melw6Va4ha6sRks6gMcAvWct3v+Pj7Uaj5vy2Yp5Ren/s0bcu9Uv6gdv1RVcbWaJq4AjUtk91P28A5cKVHYNla5NzbGZGH4A5mtI5PfEkV01XWKNB0DrQ7/ASCnFY6O/Wdp44m1Joi+WbYfMznanSB5KHKHbXlLpqVDtnAu23yCvo5J4XPqSIK/XRal5cZNxAWkvJu8227m77+XUWHCKusyBybr+kvCLhPgDiGtGXqE//v01vFVs5hftkrcYyuSJ1KWertNnkqYSJsKcWXMpL0HlJCrxNayAp8O7GFHj7d6TALRdWSnvL8IvCHBxZ8lsz/4yiFv05RYt2Y22hOl7EhQ66mEl76cp1H0gT55vyxEn9/zTbxVxx1QvUi3PjEtrJ2/LZkJcc7MJx4qGLqesM1u6J7pYEliSvrlbL5czXPJuNRm3bMvReVi7AOSq2QZLk9F6wEuvO5aDv6wRi4AN77url216q/4xkGlwvl0xr/d2Sac72JUnbfOWkwxYAgCU+YuEDVcEEIJhf/qmyyRDAWD43OYcxAPeCw35DJwrSXLOfYAsK9yZJutF8Nq/PZNqKfa+qm4nFoJpl4KD0Hjqe1uIiO7P1mA5eVNfQlBfKGbGFTZBZN+DrOtb+8us32qRW2Vj5aP6Oyoe4n0mnVAIpqrik0bYu9KTRBQXEBi+TOZCGBdg4RDEuDcXN0/TExXoS37y3vux4NzfaxWi601lUfnUJwNacAt76z4sxSed028Z1Gr+vuiD6JCYd82VZ0ybi94vu+zyThoA+RS30OtfcJWj+mOWPXl5YGLv+FFm7QZ3+20zKG5YkbsOSljdPvc62zavt0QludjqBD6won0FuonysdyKkiR+qV+iOytM2m5u31EoTsqFbNy15VkWtZbcrFtJiI94Lz93Z+dEvx0fvooOfjg5+rry81qav2l47Q4Ooeqbg2jJCgzyZJILWDkWzWz4Uk8LLlhfSfv+UNWw+3P/xoKIKej7YOavi08iRN2ov7+nQd+2vuVQIturpaOQdNkE7WjLlytJGDBbCOMf9L1FOKoF7EWvF4gTu0GqsxWb8/OVFtJfUVhhbS0QLrFXqnM4WR9HFhYN24VhU2dJtXf1n9I92X9gJfVg6jBvRVzd0cRab0857On3cb5j5bzeM8GCInP16jyc5nUn3vFfj0bxNnZ5WOirUNx6uqPVKi9feHC5nD4XK3fqi91XwGGgxNC70MCVdxaSVmFbbA4O309XrWGNxp7bt1Z6Ht/PSZNwW0SjAgprevjGMu+sQGRUHBiWGTHrPgsG7qoP6KB2E8gt3N9QORMkZlteDhYJOqbwgifvYFQ9KpYKuqxPEDq062tnZSZrtfu3FpQMSiQLmmE2JlvR+q+vsb8JMsgXn2YMKSzpT1ts8bMPw39NivojRYNui9l6+qN2vtKjtTvuPX9TeHuRvyu2z5UUMSiVb1zHcl21r2t/o4f9Q8PDX1IJB4ZHTZw69rVvJw4+d271haza4+62Xe/vlbHeXB0Xa/J8O/4f/2e7vPRwN6TNMPXRyebS0vHaDR0v2USVQ1fk1hTgcRCL5Sn/gj++Y5obl2aCAM1dsD7KK62u5Xt8W8ESKoJ4fJNt8pwPTFQU5LMBfFSvt3cfL7K7XEMTCBUbZgv5lyW2otqhuHFspbUS3sSHjYP6vphdszpW2wKcYhoPEcNVKkfh/nr1mDqfagwvNK9t+efqhHNKwnCYsp0l3T+q1uI8hShVzH04jWJIBQ/jKALy51D2m3ZjPS6G/DrVsXdpkzZ8+Sed50Ztkx7m7X+o0E4HYi8TPXX7mZqBCv4hGsg47Y8Nae0e8+Xw//HxDg7QuQyV0lCvFkfwwdSfescGd6av2m65ZA9jb8tIycvXUXuryKjc3JZJfcyI5x1kRQl/OGffWcsYdI4/QyTidVyw7VvrV399eLTViZtkpZZIrvC5c3d0qghWVweswXV7egwrjh9vCVbYf/kLM8eNkduXHrqMgc2rqoJA3rayvlH11s9Q9MbUcrlWp61qlfS9EZ+FObJ2YgUyNUlfrKSYk9qwLyp4ywIlzi20rrJ/598rW5Ws/lInXhPsu0u3GK6GjljV2+1//zH+Lmd+Ff9gNnXco8XcnF/i2AaW4JUGf2G/KMLK+BXL7JlnsZo/+f59xIF+wE5OJDOI/RRj9e29TB9vWsfNw8iZfM+vDQsomqnKz29kb6V+mtT04PTk5Oj843n/9/vjNL6fHB0e0A2f0GdfjTO7KVSbZgPOjy7fnb94fnP5ydK4f44bkeprX7ZL68fWV9k9IBojMT/f5qaF9RxjwhHUu5nnWTv2lJXqeePS7T8hyRlVOYsZowftb+h5/XvezHnJO65q9I20w+P0d06wcd7kRWv0aHoAz3B1+PiF6kj8x0+yTJNe/deUpBr33pDWT7K5btZx7vLW7m1m/5rfk+5NL9UO2TAU9RH9XedHSJo3fv7bydPQSdVO4eBFbTNeDHq3muyOujbotKNW3pLJi7YWSyASK7wQo5XhR8We2rnMhsDoFWkthiOz16QEd71dk15d3810fJkRVKI+nrKNiwARXldVcW8zuS93Sh+OlKt/wk2vS1zRQp7/9wA4eWZSLV5dnkV+LP5lX3mwMm81d2tdZynRNs7s7RpMnQ69t5r9jtZpfcbWs10Z6Vg3s0a9hzsiKANvyg8fij6AHaraEqdy2gr3G9hXMAyRkLaYwQhlqhYxfg2PAMWhhHIoei/FcGGIfGDeLbCK7K/+U5rvwZ+wTX6b21HXOubirRiaOes9f9KOw8F5cSHlnf9w7A2A5+6rZaJzP02UA0Xu3dY2TB5urN/VLW4uytDTXvKN53kPXdGUTnOl4UrdrPiCFTx50E7jlGQCYpfViPsIfggqyyOdgu0U5UzxaOdHOmBRWEslgliHjcJAWNfFV0bD7iPwWIp2jL4CXmWiujG89VUqtIHFCIfs53+rPOQ8UHR794te+ZieOC9/ZqO643Xg893GVkOn963L/fGMGqtt4rikqPkxw0IzxEhhQvKTTUV432D6R3WbyNLufFZfO71Z4SQ/hisXg8pzMGig05dR3Bpc3zSg2ciHGIHuIHUS05hr42M8EOs0sujjnCPXV+aGIyYqRjnna40jTEoxGkn4asz8ulGZ+JtlhFOZz0hUcxipWsqKQOvJE6XOeTZbjeR7rmN80Z0SO6fU93WD5mftqJ+lUP6tXzvccwJ+Iy+cs/QijPpNxpUVmoJ0c4DOZIaOzXKzoV/na6CfESMTXYVo2LxvNIdsoBT3cvlpkvq7M4CHDi/aSaUQbyzme+tV9XX+ECTGyOVunL25G/ktABqtLZtMo2IRb0JCxWFq6FurhZ/GFhAC1GpBxhjCdCanQgxmdo9lELBPPq7heIcYqN0Azz+wCWGCGRaObv2GoM6gDCqFWyzHgvsYMrsy8qQvmvaCfzsbXDJ8n04P7RxfR8eUbinJ+fhtHl+mX6Pgwjo5OzymiCUz+sU6WLdMrY+pkfw78V0G2HnDLnOeqfeXtO08quXF93s606Dcl4ZstPnJkCzljGRcRT00BZHWcOwPLxN4WlrwpC+tJWg2mU6VZtQz9VvZrL6gCiJs6Xd1dcYnFFbYgXgqKGuv4Bc863YDgbSk3BLCQcrDlkcAchkDY4uNAHHLuuRUD71yW63S+XC34rAuGVohc1hUxYZYrKSGGYLwrATWw8S+/pF95w0BSXCzl5jj0XKTReszdjPt7pES0QOdbOmESVFrJqdHyVsEq3UHHRafBOLYgiVJSMJI1er+dnR2xxaxrKxJ1mIxKCldubffNkfzP0eczzxZ1Xxsi1bb0XSyK/2twLS9eodkVK491mVZg5II0MluvTV6otigxgSubd6q028J44fjh9tw2w5Cgruo4pRyF92gGQ6g+xqdxPr6aGK4yC2e6CAipUFsiSduf5DORKr+Htn3Gas77CAxiKztg+9pM/eEZp6MVcPISuk5NOX7Zz5QtEJK8jNk6OBG7K79VPyfXnHaV55/oXJ/zpC0tEInB8oTz5Abnn32KrlbjyejleigX1tFww4rAfA6IlnVQHlLbsrr2lI5mEA3pgB+SjjLb6/FS3lw/YkaHc3SameROye026NobNhT1RqtrSIesGz/Kg3YodnkQzxkNWr0sL3Ar2/t4q7UTvYM5mvGT5eQs0FnOFf7aiJlpeWBOLQ4CP4v9Ni94IVpl+y9yWvRULmYkkHc6q5ivBGI7VTRkx/YEEJ1xYVdYbajHIWXmgLQjxGeE5uXbuvED1gI6JVCkb64K+4Two98xPOmE3X52fjDDgqZPmGHaj0lWn48zetiA5JMe0u1Xbox34X2l5LEN/dGmfvgIUhQGHC161wmFDpVxnq8ymUX7gnKASNHxmd+D+2wZkQebKyc88oHi5lrj0xITZzlYP0CZOf4wdZVCvvdO9Gr8xZgFFS5TaXyUsVF+bmkDrPwrANVtdL62T9Ak4QckatBzcrr4kE7Hv4mjx9IzdB1KVUcOGFBr7Y9Gu0eeX4d20netxAXyz1gpEZH+ncF+zCcrWVK2dg63n5+JLZG2eaHLrJX4h7RjxSaJpxT9FGBIVcIddExbyTqYt2+5HuY1Ny8hd6cNO82nLOEDPKcPsAhKixaOJPOlwFwHvJ0NFTwUGozpqebQ+oWUKQ4LdTfjyRLdHsYeapvD5TflbMQyeVZEPzlJlgb9e7dkL/+QxTmdRmt8mKjDkcvADyisjOKuP0bLuO64q3QgKgz9IywVHT6KZRmuS+grFfu8QMjoGd9s1eBOBBQGyBtYL/t8tZjPcqMNCQwFeDP5fRypzk745Fp2lQfhj21lF1Hlr9xBarUdN4L5EryN5LOMc6aiV6ik5Cvvnsfky4eeH9QmsaW+7wIYJ3c2/8yCTl4QWYqlnXklkEC4rNRYRrdKSww7Dq54PrTh5eGZTcSk3uXZhElBC+fLkgUSmzN+SgYoXTs544X5pSIhq+lGj/Q5S/aAR+pgFlUXhFkUTjYZm/U88ziqKh++NVMApss0UrQVJCIkBsYntRP5IpY55v4gbKTBxkJ/ZjwI8o4mSITTZzi3RIbQZtbt2fmBSYhXtOP3bqcMazH1scl0jRfbCIlREFU91qjRg9PKZ1N6Bj433t372ptQnlx0XMxv1phQ6GAVubXyMK/CuqWi0R7cGg4gmGKYqXQtD1oYdhCFwXLoHgKWiVHlSa0sZlPx6LhLDgKfcizgHBhWUWX1U4o9WWVLCxI6dKcz+FZfewnPkLmyR3fBgDA3wO0hmaArt9UHg8ODJArsGj27BPgcGC0D9Hl+i1/QPUPac5KB/rtoh9gXODseOk4xDWmDo6+QEExBl9EBkFDInMEdjKrfGw033L07euhc9cuNIiDjmhwJBQ+3KRbSidQ74KO8ycZ40jVFPAIkxos3YUOk9JBDhlApDgjRF0sDcUmnKKksZupcmC0MPsO/4o1krcleqEOpsbF1uPa5auprUGdJ/ZBz31HG3vKHmeYp6cBP9boF/rgVY7oz3KPHbbTRijz4WDBcQbvB8BzpJxP04rQSvm+AZvw7un/+MRcR4/uMZisKduowoSx7ihIhqadcDb+8DbgMPs/2NOq/DljWtvNTa6wDRCVZMdbL2mqVpR+nSp+pLHufZ4Izku8IRmlcpGqHZuTPppJxZsX4KYOznXquxBKouKpOgMXXC41IOeugHILLVRVstXLZv73gmft/awcrLy25opeb/QJa0LoSrzvsDZsSdPGRhEF1fQdRkPJi2FJVnBTicwQqVN6KB0DHsGKYABV5XoCQ0Bckhvss0Ea88t6A8Ew6n3FZy/0SawfG+6aszhdcY9voakts6w/PBwCCfBaB5z+uFgiSXQKJhR8KPjX+PE+JVVQBCoGULRYssVhQc9lgQEkPLmWUvUiXuInQdV+6vZe3M8bjYIFYgdieli2/o6txFYDjcc4GsBDx7gjYRL3EqeXEeSSM7KtxfquiS/J1R79khe6KGlqVyZm8c0aemxTQcIbJdH2oYEgrBwRunkuW6m+rsUud8bNerXKO+fM6ukKwhelET9uHbLqiP1Kk0+S+xI9QElep0VqqI+SHOu7Aok5iu5peK5jIJdw7i8oFjYob96esHSt7uv5I7HlS0Ttkf/fcxosjG5AGinZw7LZOgCdc+NJKlloUvv1sIujAfAUwy7xxCaexQAVBIuwpPyBXiKladm1FLKBQxTKlFqXoLW6yjM3agkKElPTaE81KMmz0HzUr545KLsiYVs9btQ2Zs07TF6AgIeeSI2em4pTdw0mI52C810KrKzST42lJHH2KnxFXMkw0kAguyLZSfM+iDAqVOEr6lvKn7YkBmBf4+5Lax8Ay6Vkt8Vg6l1NtU5MDXuQA8+z6esUOG7+kO7F27EX9O3w2+qQmpfjTzAMjRt6T5myg6NMAsKUtuOKb37Jh47/yu/kQtZgZESeEccoRUDm1sMsaQRTeHZ34MVLtfgIhq99MWNuFFzD5Y7tfl/Sa5PmcQAY97KLDx45Prar5qFr84GkJ72UHR4RHpFjZk10XvsKG6do0aW1Ob0T8/RbnsSOQUS8RCGC8c6Td06WlzdJNGUv3DoaId1PgnHLmlMVzQybTv2kp42qX0+jhHCnLpcwkVgKsKbZxWYnturXxnCatYauzdk4fSM6JSIl9HwZgYvuHJ8dv3HSfgIq5HNGEjkB9wfqUvZQ6dmTMfSdLMHfkmfFraM7ggUQVx0Vo0EDaaXJTd4ic7IR+WKWLUeA4syQYsBrt7hobIR8ZXx98iPemKtVAV/fDTuskwdufaxs4CwG6L+nBMjEgHUBSDasSCVUxolIAjeqLiahqUhSDmJTtulTyPQPmQ7SX1qxPTrNkhpLWoPml3+45+ZX7xi70TtrtLn2g4UnVjMbXBQ0ooOZKUtfssOzf3NTVvHAKiqR8pe0vdQvtr+7pOJDa/GxKTR8qDM/oM6hv+D5DvfXn8Yh2ldaGPdAnn4TmUwN6Ui9cmoAChT9ys1oUg8ar1QeOCjjHGvRw1VP2aEUyb8lscwjC0mrE2NeLWS76hokHUAJgt6N6cPJXLK+VeV4fvnHL/fbnOKpkO2T2GwmTzkp1Rz5KDzOfkUWbIKRQxS1t1fn4N3ZqOH2WB7+WJoIxc6tnrGPUn6oDsVPSA9czkpW7ChAOeeE5GXGF6Ja79mNuqlmkyrrJb8su7VS8UoY3xZXVF1C2GIeUwlLKyXuvA2VUVJVmbgQyLHrASRtZR0saHYLTV7PMXt0DwCdEII/2HT9HynEQnUvebzCE0pMKDrU/SFKeXsrhJcVXOFG5zBdJZTZE/qM9BzsgTrkaTwG6imG8LZWBNEYc1s7ocNys6L5/vjh9o24DPe14lG0yCQgCoZgsaz/VGvqLZX6z9r+E6+D8L37W+2K7gQOYw3y4tWdozTl33nvgumLSUktPSYCQRLomBR22NIP4lqdqyh0DcHWjn472D31216RFWzd4J62+DIpRVCqkCF2LffHBqT/La6OgxMJBtnXPdV+w16/enDajPOqrrTtjO46Vyb1oq/+AH2lHW+YnxV+RUEqeglUGRVBsqTJU1ckkBg4AH3vG9NOWEr88Cjhob1u6uSshYGz2yWqzN2w3nqg2aWHGS2npjcXluuWW+dUcqbOh9cQ4Ok4QzQu8vrh0UrhVxE0KrKGZUmOiQx2YY/lncXZWaKHuJALABGBO68aBBKsBK+OJbwzvFXWt2P7CxitfXS3HSyV0D86qDmKGykfpWX/LFjP65H9JT588EwcKV9a9FqTUfqIfJtlVulAsO4PdZ7DIEVK/TlKUP9Ugyr4d332I8sX1d1/4ELAm+S75nl9R20PkFUNzandHZmORaXkC6afr2xnbsnB0tcwn5HSQKOvjkWGZ0LldkhxJHbQWNBVKbR6fvlDaO6u30QLMxz9n6CEEbLGOV0go7JcHPdQwknRGtJP7MGyaFooqd906Gzhp2FA0SHKlj6bXi/u5Zv8WOKwC9yqvrbKBYJHTLjuVIOFYeaftqHSP8ZStEk97YP8XY4FP5vaAHLQc6Bl32Wht1I2qJ8eXJ/VPqwm7pLQxNbrBETT/FZ2DjLEE048uGSCKgKuztoipHJKJNkNSXLjIDGmiwlT3nGXieF60FhnQvKKSyCp8CYx1RVH9y+sIFkf7YrldfSf6a/0VV87qp2rQDo/e/EdMvz2QKlb9ktbU/XE6y6fjmxu1ytNZHaczOuB2hLo2Q0quUWrsvB7cqOI6V0uMpet6p3XZaA2b/WHSelpJfF3tFDQfeg5YuCVedIHbslTOdQOryEpZeWrKXp2kS6TKpyGQrj6y0wDYFKjND9nSIsJK8TFU92uuxyqsqymI0qeFc8pvgkRPSD4p+kSIWVhioEG/4938U4SSs6p/VvCkbQOUSl9/dEZclRYyhEtyz1PaWKt/Wl8olzkl9czlUBeGIwdm8ZQVB/fW2iGwMiIa+Yr9Nmn95+a8K/rEnQshYav4G2PNn5IR0KXIsACYf16o4mZzyOrLtmI+XtwHLgR6uWGejK3tCvuLjnYrdiMFZGknng+tu8Zg7r4bLWbWEWy1fa7sw++ru2rx3XhUV19UnwKTI9bvSYEOb6yB+YtB5i4ps3vckVSXfhdSurmvv5Z7CUzsQto5IEajTqZnXqgVSFyxWHmhJ54Pnw4jGIwXvdrVPVpr0xU3/yx11158NDfl/lbT6Lxt1NP83Rp8KHbIoel8rYIPRKfl+JF9Hzp7A6XEn9TXy6k/PbrsesPlHkatgRq3zy7J1woyQEpFudE/kxhZKpDXk1ku7XmzpcrJ51tg6qK95AM91Fy4LwspK2k7wWvUi0TO2GfgBY0CqKB4e+rDt+PQpl8hPx2Hyeug7q9zAM6AOozbR6IYDR61hVXqJnwSWCvE67RolUKzQSpNlOQEcUIg3lCkx4vkQLJGkdSxKkl2H3UBerS7e2xtkC2WfNjQcgs4O4q9j31F81qsFHgWj9RZpeWrRRgDHJ6exObT2ckVINKcqyWsHL5ESaffqyddCldAvZe0u41o/kVTE8WCEFfH1bRYqwmUisuKmJcvzgCXBYZRc+C7ySQZcGDdpv9C30S3KBmxQk9hLKE7f+LQ2qPj6AjO4r9E++z76lc+LFKlFrqQUSFelX2WJraP/xK9Js9Am+AMYCg36wkWEYp96wGbHmsIPgycEEUKOkmC1LQlUTsOGrLRbWsmms+4Dlsp2tFCkVM7wA91kLsSytxMZAgDmwVKBWbrPv7lyAKyK0k0mDjiEGFs3TXrWo/nQi0jvi2FMc0We/5g4yH1oVpnEFUrB3zWOUipyLG3PDMbwqA9t9iLMgIFoeZ5FZR9Yqy9uXfDwjChRgI61eI+QKwtD+ph3AEhnM+lZkG6/o5c/PunqedWMkx6z+1cecd2A37wn2lZpV2aM0fNXh+DYmPNw8iKWIShPW7kEFz8fHx2dnT4/vjN/sElL72Zq2BaLRi6ijFLQJbvzdH5/uVRjIXVmj0nZHsDXkikZhsFtYuWpqCclPjJO9pY1uz0455Gw4W5NXuSGRoq8vHdnMukjn3z5sY8HOuoDlbHjeDJueJ2alJKt6EbJY0JOVzr6ajU7pgGN5e5IIfmn005JAh23s1T51KRFZPOW8NpOOAP0tKwJbUct86/PFE6uhTSP8Wvfp2NuIgF9f0xy+ZaqCw4UOed4cY+WDkgI9cEw58h1bfWUUtnDeF0oedEJwYuGklSv2iQHXcq/LyJTHJ9wjZNICuZWabR5g929YPnbS2HSUmdvuOwRdSjcMiQLiM1IHNWgV1KgdaSV4Iwi1b7otHsURhH0iVuNYaBxJnnIVT4spr10lhZHqUTGRGqLIV+hh3Tp+wW+VmDYftJ5ZtXtkYyLMbG4mhKDuZN/TC1ZnRa0na/RncX7vWAhARDj8gdoSQwaAI1vtPZcz6Z5UPo+Gl6Jmm3m/ypdm/HmP6c46b8HEjqj8SvvZe1d3Y5LROnbVqBpDVMumsFrAe02bsw4UTPy8K5KeOEfg3fVqJ7YtmmNQ56hy0XGyJUbBBmcXQXzj3HBZyJ2KBlYrMXdQG9h3NkGB5K8cTFAn6+bxkl4tsx/8dSWfxxpHo0yfN9MZ9VSPbQW4OdTeBteStibU6ICwYo18E/5G80GaX+peT1lzase8teBA9WLFES4buQGyT5uFyTSIzqRCvB1RDfXXrPaz/0ht43fpKl5RrXryva6Gb43zHTklcOgk+KiuRWrSws41esRF2YOpc0UrWys7PDH1AX6GN2z3f8V/p/lz+e7FdifdJfEI2CzkhnEz+bL4aIiXwl9hQtu9/tqLvJhoo/y39TRVNwjCPWlblxHdnr21LxKSF9WGJVkvZl+QzGVpCRprvUXXs6Mlp+WMcu4BpumNjL+91uTsfmPMkqflSeIA1AJvQ1NDJzYABlt+D+Ms6tLVZKuqHMPK6zX5zAMeI6DqysPnqjYZyDjLSJTKnZo8aEmbc01y7pc00l7pNRvafoMze9CYHTJe/VHlURbTZp7fawNXjSjOPSJS4sR45YyBiIPrMtMtsEdTWRfgYuJMnsg5oNx43qRj6kDWGEyrn2FyHkGt+YYXRnHmlvwyVYGNB9VTx6Q/ehU/km+HauHRIhzLm0iDGcWMk9iaPDy4Pogh2bFXdv8Zw2/gJ5HSsUBI8o8r3pfzSVzRkM368WxHdaxBdtgI52iZRN4thNseTyg/MfLsMhcvC191ZlFHcR6mrvX7hhC/TmYWfXJiK4j++DJAoPYC53BXRENZpUT7Aap3SqSOO+O7kIvNs4OscM52e3fqRnkFEWjnZmsgs3hQdQluiAwofX/W+7jIjFYcb98/R50kuxxHQ67JGWjdClB0bUiyOCuEjv8pVjWKDPXfzHmwNGqOdtPOH425pV0HWF6Rh2NOWXubNiqBSvDFugNEWzK1lQOQy53d+NwkhvjwRiLItcdCz0buix0+4gGPGHGziUTs9mt1uhAlI6QdHt6LEP6fj2/DSfNb2+nHzvKwvypaYiJQ9o1T82HNW8kPYEI1x6xX9p9IbthFc7aUen3DSGuLesFhzSxV5BjVxljgwjlnV299asox+nWU2dbz+bFmBgkS6DfllkPsfu24hw/CwGr/vku/TTSOdMLkYiGJmqs7FgkapzTX5kDZ6g0+MHs/S5tc5pD5FNEPqZIpmC8hM+VeERc9JU2yujJOCKgEn1w2AAHopOpzJ/S0eAxHOR1V2KsoCEhaexJBD3iyBhCfNXxnpwoA4FqIdj9l8ufn7rlt/hCAvsA502xn0Q/2vqoSS0e/LJclmu7z6UzO1E1aRVVxHjq5QTul7faNe/yESQ5e32fkeWdxh1usWkblTtNH02ComtNhcUXLoid/AkGu8gqXub+omlGuOBhonhateuiCu469W2pYzVZUm6sXbBMFAi9x1vaPO0mZGfKA5x1EnjXFPNElCj52PTGDS/+gdUbg3UW5vT1D+QvBFMjg5aqNZeT61ph2RHXswlv+z3g5pYs/yjKT92A7VAyZ/lfcfeOcup9RtYYImt2HHfwJypI8eOlmcnOpnlriTDaBLLYsOmb9aNpEfAzpRF4uaGBW0EHnyWU010EPIhN/qPmHbeoh0S2HB82A8M88txIdXmFpoacuiUuOixuvajhJNnzYF+cktLu1IZn6QLPuxIq0lMCl24liWRC7e6zO7Ht13ce8SMuqTddWxGO5G6lpntgVWkWADggRWfHZYb36FMV7hd1ySKu89pNdAJHE7zh1sk/UIKVVrhIz323b1JT+OkUCujxWXBncO349EIeRPG4cplIxH2aSmLS8o8KEWKVLQu7/FUWqOQV0Av160DK2y0+qTMg+ZO19zNQTYfHNlDgxqR2EhCwMzSIuSI3ViN2LMEcvbJI6g1Gr2ab/LHia1MeTcmaGkNGksqkTTFuYazPBx81FXqBwMncnq8IKyudIANra3oVVZFaRhIV/fux3rU6m4YXqfnbHU6Nv9Mwj7o/LOeuLsSPNHSjcEng6KjDC9K0cSQ5Bn5/iVpyUOc6kOHuJyCiV0sfMudL1ZsluoZ8lQQUU6XkdTMPkgt2MUOfObZVuTSX+d6mnodROWaqlb57/YdB1K7OYzon6bZqwnUb8xkiCcUBK3u4qjdI+f6MzPGFkxIEhgRLuVaSWPoaIarfCnO6R/QpjCi0VhHCDVCO+FOeu7ss1pyHIyJy+CyNcWQMpsVInifN9HMDHdTjEbOkxJwA6TbwhSLtCrptYrgfKww4ISA4JgV9GdYNKnV+9FxPxmfB2aETiHCDdnEPSVPaKlHtx6raDrEe+Y6/MQtkFez0T1GJKWIKQOxsQwKK+gGn03OqV9PVqNMW/aSppUE1gOx2SKAD8HcmuRmQHiOfoucXWLapO/8C34XzuXZPfpcRGSj5E6SBTWSjuIDDJkFjN6eI/2tu04HZMmh/kGP911FZhndtgQD7zyPJ31pO6zkxlPunZWjJEpD4HVci0+n0YAk5NapTHtKQi1qY1OXlAT8sQcsVUzbV4IuizQASLhnn9ynkr2A8iiA2MLMZgwAT+vrdZnOgFUzTKBGt6sPGcq2q7maxw2iwn+3mpuVsS+O3lz6wajprJTzG+c2WS3AgC2bJEkLmagw9bU2oxEMISrKjdGcmIZGxkfwcBy8io2ZckM6SVCIz6qP0n1q+mowbA6eBkDVHbotV1UpSXUKacL0iqS2NoSxMeZJsky6pFxwK+hNhrsIORe9fA//ZeiyFmiCQ4Qi79hg2jLoEJfc4oBHObX0Mz0VqAbPfh6BqMNxgKx9mpwF3/snborMckrqE9xfBgehE72ecF5pV0Ths9fBsyEW2a9TtDs0N23YGkr/uwrUbB14d/1p+zGfRU9fqWm9Mv/Xxp0fUMw+7LQfj726QYzJQRSZHBc8wSCjQC39i1Jy8j1CEvAwey3CtmGUdANfupp0CsFOAst3zzawXYiJOm0fZlG4ZPaR1iOIsGTnuuUIyR49LHBu5YfUoj8yG8zR3oiOJWwJqMk0GyGOpZ90Y409uS+CYQZ5TOutbEpVJA5UmHbpxOsNwZNs+oGOFvbZlJvD5tcv3GZf2IPljgQy03GgRgTAW9UQrgE3hpYWA1NqxvWBtaA0Mq3ILtYqt5KFGUoYRW0K0nPEPam3TK2rc+aSmM9GBkSttYW6ZoZMicDJk5VD6HabTm4iHqePqtwrouYp9klpAOXHQbbSEIEco5GhBoW1FB7pWKYfWKnUNiORDQtVDZU850atOVBiRNmvqeTeGBRqTOqcxfDzWEuVzbjcZJMxN5BZ1lebjKnFPDZtde25DPl4mmoIZhpV38gXJfOQR0INVHcwVMhX6H668QZWOYF3kpdnTAU3wAiAjGeOdd/F+Atc4mKeRaFG9Ast7x/z46KjxkICcYufoMiSxjBJhkn7SVOG3U38sNVdW4Rd7ZvZ5SfnBVn/y3/zOvxPzfAmMab3XLURVSUWPcL9GX1kZ5l/GSadhHliFlzNQH+2GkkN1DkVBb/HRdTwm9hXXsw+sMKo6RRIc6ARSK9nP/R1b1r9gHRsoLrSo6yUtWYZe4PeQbMBNsFvP/Q6sef0kh/sKfomGE0/hsNMjiJLmRpFrV+iw8nzwwroGfrtfGuranTxLMaaWfgDRMWap/zjzGe5Yl86Tyz375F5kI16fj2bZ4alKVCtFHovlnXWrew1uGliMgxGz4suDXZwRwGJeLwOFx9kmAz5BYN26kaba8LPz3EeZFLGsym0WtFiAXijxOxWXWdarskA2/UD3MSOniHg+nXiwPoHOIZsaPIJzxuak6Z3GtScvRhldUcBq8pzgLnykB7VDevnjmU22n+yyxRS9Vzdh3ox0JglJmdd+D9ICwWZHSjHTAAWlFl8tAbEKyPDSLkpohC/kVYUmGe2xVTWpHXiDUqurJ3kZUlrAFlDWnGvsiBLnUKcaONnDqZNsCVuFIRUUB7PNlavqxc6xfBIbbgmbw7rv0Ajv4i2AJBg37lZPHNd9XEhxnigXMZNeSUWx9nCIjI/NR1VG647zJDeakMPFFAfZdwBKciDasU0uErMoQBKiZuaZKAlU7Rd+6FXK8K/2QzHuBjXShDNK4HHLwaaQCeT+dfcjhp3jSG3ohwCQe8/L+WLhfah6K9nPenSzUWe/Cmzz7gSYAeypwtoiBe3GtSSZeOyzd3YmoQ5XwVCJ+4VU6Yv6diQPOnB7WLMLA55dOg4wpp1tSD0z57+s/pL0hlYiNfkNJhZLJJ4NEPKMc9dh37J+I+d42/tsmlUORznyNOPFhTXVCxrWeMEnBwYboX8HB4bm7bFlD6jjKLlVBL0AHFhv93jdpag/Nd3pwts096w+YTqWM92o1YqB/aCUA2IKwy5LFFId2B29RViMXpaDL12bpJRI+s03TL2yPtEew4FqO1BCFtCqx8Gac6r58OMDN5CeembobfqYgPXVxm2b6rvax5Dq6PJe4of3ZsIW2HVSFTN9nRp98WfbvVcWMmxqfr8Iler+UYgMG4nYjphQZF+mDh6jT003+yk25CsGJDYJUKtc37CfRSbuy7KbWCsdbWtRcBPJFNWpIdxISea3nne9aFIB7gAm3vNfIVA8pv7q+Wt407UCUoyoWQ0brXdDfb7+hpEl/gFI6LwOur2dBONgPbKKTEPwuLkwK+6es3+Fzo0zdrWc1JYnswkwd9KRVf1JFawDiq7G45KBLeP1kSCTG0v70TJbpP7jRduSuVmxRPO9ipGNWnRFLJWvwFzgN//Ldk1vrH/zTHJa1qH0aRI+o7b8thGXt3L/6rbMWDOW2YV7ZLQN3pqmNGzspo4PFW9qeTKASaJzUVT+vUELAU3XJ3Y0+kwAazyUeVYCe7W4lAXbHpPvIRWZEcV6gHTtSE65lMUWYf8kmH7SW3f570hXE6PBVCcpdymPHZcfr4q7pXk4TVNLzl4kv1xAZokiG5rOLVQX1feXKss+A56uGYG1Jd6xAZfXdk4++SMhZYgSBLJuL09puvN79Xuq86j50dwLgVQlBKZbecuna5IR3yajUeVCEPnnPNSODpjGJLfc43I3pLlfTa1/r1pBpt8o7gbaXRxuX9ydvH+4uh8//0JQz3MJhPoJK+zbZQwAnfbnVR3tMIEJ2tPnQLuzdbCKInTl6XOXvIjKQhJ/kfIS8GXrmBpHaFSsx9VtbonbBG+ExJdySOAaudxORzKi+3Uvv06d/3XueTLYmWmzD0NOBJ32Lx18i++6R1QDG/a3avujfJw3iTtq+ubBp3DgsT/12qkbZ0eqsyOLvLu3HUF2y9vNl0vvYaZZ7APHY3dgCttBIZs7ci7hl72eFJs8gzzuvLEhjGFlRwhVpI6+V40F2Iq1RkFPVLUHiFTAIAPw3zDHyAdSFGnE6zf1GCtY4Q3aCqqo2Mx1q5LTHSwD/HEvsuoGowV1cqdr2FPJq9foScztP9ApgHjGCcr0ZoZRzaICUflpNhlKduwBFzNIhOOZhsnxDtkmSeWYM6HWS7Wq9ivHgvCQQGGPHg5HQ8QCE34uByHSgNrwKcWC1ow6SbPNJZnBjWeolvgM4MT3a83BYZL6enEZM6lwEmrzFthgoM7Fn5HOcqi1Oh72XLhYlq4nlOvRNr0QKXUAC85Hbc/QGDFS/+sgVPowjv+gCk3uFzBVbFwnJSezh1tZqhCMdWqm9LNIR1qV3X9p+vup0glgD4fC94no5svoTD2ogtGrsNcUqMl7X/s63OTQNX4R+XULTVB57t4kWkqNjlCryq/DLbcH85aOAtt8a3kxzSFQ17h3TCYwL9TCsFiLMMFKASgO87xtfSA6LKqZxVSP9+IR1ymF8r/Dpu+tDYzJRtqCf6aXbIwhGDtwRK4ys9du9+PgD6NlXok9i6toycUXpxF7PBo0UP3ev+Ho9ekuQ5PGfE8uvjp+IyBbYPeZSe6nIdIKCBCfY3jt1JDsoeceLoo95+YMBgGhSqHBMm2BMoVkUqAz1dwhfGc5A0XXW7uEZGy3wbnW31szMkZv2IQbkEj7S83RF0uwboPI1rIvOjYaZHIL6+Jd0NHYJu3L34HNLq7QWxVNH9LucGcHLJ8X5GTEfLxRfycWIhhwujq8HYkvL5g2fig7QSZIbsgBqd1IXsfzP4hHzOLPqwyQStRTMPPt/eFiIldKD8jj8JM2MkF9GGd5xZmnHspXksnjQBSuKxHKvsDz1CG5LFWeEtW4dKCenxxWu93SbGIX81ztjfc3F+l1/nPWthZqQ1D5OdMBOaFn+8PkV5ukykFyhIvvB8DWGl1hc7ZGUMkcl6bTjapGvovxrOCiWUJjhnOCc5Q0oTHljSG7Saqq4Zq9L4UZr8vh9nv1WwbACbnvcmTV0ABRIxjnTHc8w3p6ETjC2VffP0RQ3RusIB0dZUZYBMmCKZItF+Xh9TkpbJQ8itfBRBiM/UkBb4NzTwW+JPu7iWaVwCG5MgwB2RJAFYEvqPz1zz6wycMORqMq7taap2Rkw2dSWBEOC0xW9i8Lne0ao4Nr2QaQ7r8CplXshlyofw2nWeeYtNgqMjwjjPtXGM8JQF/2HOdKNpzChSndMSD06JB06UomFsIJqcDrSQrNWxrbFygU270R4jqeiqp6pwEq9olrXZtqHM/bkQCXJQS2vFRavZb0cVHgUPA3hVQoaVdhxO1FbkMr5LaR/p0RdEamPTqKpxx4pwje4h1Djs9sZn004QuoG+o8lA3ghVigQndnYTfxRuaEdjR13J8h8Iv86yVZjbVlZiNDZ8ZDDuDb/7n/wcBdYvJ</t>
  </si>
  <si>
    <t>Multiship - QA bug list and coverage</t>
  </si>
  <si>
    <t>Prepared by Claude (Cowork) for Manoj on 2026-10-16. Counts on this sheet are formulas over the Bugs, Coverage and Screens sheets.</t>
  </si>
  <si>
    <t>Test details</t>
  </si>
  <si>
    <t>Application</t>
  </si>
  <si>
    <t>Multiship</t>
  </si>
  <si>
    <t>http://localhost:5173</t>
  </si>
  <si>
    <t>Environment</t>
  </si>
  <si>
    <t>Local dev (React/Vite UI, /api/v1 proxied to the Java backend); every carrier account in SANDBOX mode</t>
  </si>
  <si>
    <t>Build(s) tested</t>
  </si>
  <si>
    <t>local dev, 2026-10-13, local dev, 2026-10-13 (rebuilt after R4; frontend modules dated 13:12 IST), local dev, 2026-10-14 (order-form modules reloaded 13:17 IST), local dev, 2026-10-16</t>
  </si>
  <si>
    <t>Tested as (role)</t>
  </si>
  <si>
    <t>Tested on</t>
  </si>
  <si>
    <t>2026-10-11 to 2026-10-16</t>
  </si>
  <si>
    <t>Reference documents</t>
  </si>
  <si>
    <t>No SRS/FRD supplied. Expected behaviour taken from carrier API responses, the app's own messages and labels, and consistency between lanes and carriers</t>
  </si>
  <si>
    <t>Run R1</t>
  </si>
  <si>
    <t>2026-10-11 - Orders &gt; New order: international shipments for client MKL246 to Canada, United Kingdom and Mexico, every carrier x service x packaging (FedEx, UPS, USPS); labels and Order API checked afterwards. Order references QA-1011-R13-*</t>
  </si>
  <si>
    <t>Run R2</t>
  </si>
  <si>
    <t>2026-10-12 - Settings &gt; Organization (Clients, Warehouses, Address book, Users, Roles): every element of each list, add/edit form and detail view; rest of Settings mapped at menu level</t>
  </si>
  <si>
    <t>Run R3</t>
  </si>
  <si>
    <t>2026-10-12 - Retest of all 52 findings from R1 and R2 after the backend restart of 2026-10-12: each bug re-walked through its own steps in the interface</t>
  </si>
  <si>
    <t>Run R4</t>
  </si>
  <si>
    <t>2026-10-13 - Full re-walk of all 53 findings through their own steps, plus a first security and data-sanitation pass: input sanitation and output encoding, access control and tenant isolation, data integrity and storage hygiene, and session, transport and error handling</t>
  </si>
  <si>
    <t>Run R5</t>
  </si>
  <si>
    <t>2026-10-13 - Full regression of all 67 findings (BUG-001 to BUG-067), each re-walked through its own steps on the rebuilt build, plus an element-by-element pass of every Settings submodule (Organization, Carriers &amp; Services, International, Labels &amp; Documents, Email &amp; Alerts, Integrations, System, Activity &amp; Logs) with security, data-validation and data-sanitation checks on each screen</t>
  </si>
  <si>
    <t>Run R6</t>
  </si>
  <si>
    <t>2026-10-14 - Retest of the 86 findings still open after R5 - BUG-016, the 10 still failing (BUG-007, 017, 018, 022, 029, 036, 038, 046, 057, 061) and the 75 found in R5 (BUG-068 to BUG-142) - each re-walked through its own steps on the build of 14 Oct, with a check of the neighbouring elements around each fix</t>
  </si>
  <si>
    <t>Run R7</t>
  </si>
  <si>
    <t>2026-10-16 - R7 retest: the 69 findings marked Fixed by the developers (Fixed in build 2026-10-15, HEAD 5f1d0e52) and the 7 Deferred (BUG-007, 017, 070, 088, 097, 123, 131), each re-walked through its own steps, with a check of neighbouring elements around each fix</t>
  </si>
  <si>
    <t>Coverage</t>
  </si>
  <si>
    <t>Screens mapped</t>
  </si>
  <si>
    <t xml:space="preserve">   Screens: done</t>
  </si>
  <si>
    <t xml:space="preserve">   Screens: partial</t>
  </si>
  <si>
    <t xml:space="preserve">   Screens: in progress</t>
  </si>
  <si>
    <t xml:space="preserve">   Screens: blocked</t>
  </si>
  <si>
    <t xml:space="preserve">   Screens: not started</t>
  </si>
  <si>
    <t>Elements listed</t>
  </si>
  <si>
    <t xml:space="preserve">   Elements: pass</t>
  </si>
  <si>
    <t xml:space="preserve">   Elements: fail</t>
  </si>
  <si>
    <t xml:space="preserve">   Elements: blocked</t>
  </si>
  <si>
    <t xml:space="preserve">   Elements: n/a</t>
  </si>
  <si>
    <t xml:space="preserve">   Elements: not tested</t>
  </si>
  <si>
    <t>Exercised (of testable elements)</t>
  </si>
  <si>
    <t>Bugs found</t>
  </si>
  <si>
    <t xml:space="preserve">   Critical</t>
  </si>
  <si>
    <t xml:space="preserve">   High</t>
  </si>
  <si>
    <t xml:space="preserve">   Medium</t>
  </si>
  <si>
    <t xml:space="preserve">   Low</t>
  </si>
  <si>
    <t>Total defects</t>
  </si>
  <si>
    <t>Queries (need a decision)</t>
  </si>
  <si>
    <t>Suggestions</t>
  </si>
  <si>
    <t>Fix progress (changes as the Dev status and Tester status columns are updated)</t>
  </si>
  <si>
    <t xml:space="preserve">   Dev status: New</t>
  </si>
  <si>
    <t xml:space="preserve">   Dev status: In progress</t>
  </si>
  <si>
    <t xml:space="preserve">   Dev status: Fixed</t>
  </si>
  <si>
    <t xml:space="preserve">   Dev status: Not a bug</t>
  </si>
  <si>
    <t xml:space="preserve">   Dev status: Cannot reproduce</t>
  </si>
  <si>
    <t xml:space="preserve">   Dev status: Deferred</t>
  </si>
  <si>
    <t xml:space="preserve">   Dev status: Duplicate</t>
  </si>
  <si>
    <t xml:space="preserve">   Tester status: Open</t>
  </si>
  <si>
    <t xml:space="preserve">   Tester status: Reopened</t>
  </si>
  <si>
    <t xml:space="preserve">   Tester status: Closed</t>
  </si>
  <si>
    <t>Defects by module</t>
  </si>
  <si>
    <t>Critical</t>
  </si>
  <si>
    <t>Total</t>
  </si>
  <si>
    <t>Tester's notes</t>
  </si>
  <si>
    <t>Limitation (R1)</t>
  </si>
  <si>
    <t>No SRS / FRD was supplied. Expected behaviour comes from the carrier responses, the app's own messages and tooltips, and consistency between lanes and carriers; findings with weaker footing are logged as Query or Suggestion.</t>
  </si>
  <si>
    <t>Combination run, not an element-by-element pass: every carrier x service x packaging the app offers was shipped to Canada, the UK and Mexico (128 orders on 2026-10-11). Controls not needed for that were not exercised and show as Not tested (Duties paid by, Currency, Pickup type, AES ITN, SKU, Tax ID, EORI, Commercial Invoice tab, label downloads, tracking and print).</t>
  </si>
  <si>
    <t>R1's screenshots and network timings come from a validate-only evidence pass on 2026-10-12 that generated no labels and created no orders; the first order number after the run, #934191, was still free at that point and was later used by the retest. Console output was not captured. BUG-011 and BUG-016 were seen once during the run and have no screenshot.</t>
  </si>
  <si>
    <t>All carrier accounts are in sandbox mode: FedEx rate calls often failed (HTTP 500 / 503, shown as 'No price ... to review') and label documents are sandbox samples, so per-box label content could not be verified.</t>
  </si>
  <si>
    <t>Observation (R1)</t>
  </si>
  <si>
    <t>Retest on 2026-10-12 of an empty Mexico State / region showed a toast and a red field; the run notes had recorded Validate doing nothing visible, so that part is not reported. Also seen in sandbox: FedEx Envelope rating returned HTTP 400 (dimensions under 1 in), and each label page sends its /label requests twice (likely React StrictMode in the dev build).</t>
  </si>
  <si>
    <t>Summary (R1)</t>
  </si>
  <si>
    <t>International shipping works end to end for all three carriers once the inputs suit each carrier: every one of the 114 carrier x service x packaging combinations produced a label for Canada, the UK and Mexico, and the Order API matches the screens for all 128 orders. What worries me most is that the shipment check passes shipments the carrier then rejects, so problems only surface as ERROR orders: USPS international fails with MKL246's default sender name and when a second box has no customs lines (where box 1 may already be booked), and single-piece FedEx and UPS packagings accept a second box. The FedEx International Priority check also raises a false 'issue to fix' on every IP shipment yet lets the label through, which teaches users to ignore the check. Fix first: BUG-001, BUG-002 and BUG-003, then BUG-004 and BUG-005.</t>
  </si>
  <si>
    <t>Limitation (R2)</t>
  </si>
  <si>
    <t>R2 covers Settings &gt; Organization only: Clients (list and the 8-step Add/Edit wizard), Warehouses, Address book, Users and Roles, plus the All settings overview. The other 31 Settings screens are mapped in the application map but not yet tested.</t>
  </si>
  <si>
    <t>Settings &gt; Address book could not be exercised: its only data call returns 500 every time (BUG-044), so the search, the client filter, the grid and the row actions are recorded as blocked rather than tested.</t>
  </si>
  <si>
    <t>On Settings &gt; Users the per-row Role control, Reset password and Deactivate were not exercised. The only accounts are the signed-in admin and one real person's account, and the test invitation sent for the purpose never produced a user row (BUG-050). Deactivate on the admin row was deliberately not clicked at the user's request - it is reported as a risk in BUG-051.</t>
  </si>
  <si>
    <t>CSV exports: the user allowed the downloads, and the request, its parameters and the response were checked for each one, but the downloaded files themselves could not be opened from this session, so their contents are unverified.</t>
  </si>
  <si>
    <t>Observation (R2)</t>
  </si>
  <si>
    <t>Carrier address validation was run once per carrier on the warehouse panel with the user's explicit go-ahead. All three sandbox accounts answered NOT_SUPPORTED for want of live credentials, so no address was actually checked against a carrier and the warehouse address rules (BUG-040) go unenforced end to end.</t>
  </si>
  <si>
    <t>Settings &gt; Mail reports 'No provider active - outbound emails are logged only' and has no registered providers, so nothing sent from Settings in this environment can reach an inbox. The one invitation sent during the run therefore went nowhere.</t>
  </si>
  <si>
    <t>Pages in this dev build take roughly 6-14 seconds to show data on first visit, which is the Vite module load rather than the API: the data calls themselves return in well under a second. Every screen also makes each of its calls twice, which is React StrictMode in development. Neither is reported as a defect.</t>
  </si>
  <si>
    <t>Summary (R2)</t>
  </si>
  <si>
    <t>Settings &gt; Organization works, and the parts that can destroy data are the parts that are built best: deleting a client names the record, lists what else goes and warns that it cannot be undone; a client with orders cannot be deleted at all; leaving the client editor with unsaved edits asks first; a double-click on Submit creates one record, not two; and a client code that does not exist is refused when assigning a user. The weaknesses are in two places. First, the address rules are applied unevenly: a client's return address enforces per-carrier limits so strictly that a valid US ZIP+4 cannot be typed (BUG-028), while the warehouse address - the one printed on every label - applies no rules at all and happily saves a state of 'ILLINOIS' that UPS and FedEx will refuse (BUG-040). Second, the Address book is broken outright: its only data call fails and the page draws the failure as an empty list, so a saved address is reported as a server error while it is really sitting in the database (BUG-044, BUG-045). Around those, a cluster of smaller faults share one cause - the interface does not distinguish a user's mistake from the system's. 'Something went wrong' heads a missing required field, a business-rule refusal and a genuine 502 alike; a bad email on the invite form is announced as 'This shipment needs attention'; error toasts never time out; and the user audit trail records nothing at all although the screen is sold on auditing. None of this stops a shipment going out, but it is what makes an admin screen feel unreliable.</t>
  </si>
  <si>
    <t>Summary (R3)</t>
  </si>
  <si>
    <t>Retest of 2026-10-12 (R3): every one of the 52 findings from R1 and R2 was walked through its own steps again in the interface after the backend restart. 31 are fixed, 18 still fail, 3 could not be retested (two needed a toast or an error that no longer occurs, one a server failure that did not recur), and one new defect was found during the retest (BUG-053). The three heaviest fixes are the Address book, which now loads (BUG-044/045), the multi-box customs pre-flight, which now stops a part-booked USPS shipment before the label is bought (BUG-002), and the user audit trail, which now records every admin change with its reason (BUG-052). Of what still fails, BUG-001 is the one to look at first: a USPS international label is still refused for the client's own default sender name, and the shipment check still reports 'Ready to ship' before it happens.</t>
  </si>
  <si>
    <t>Limitation (R3)</t>
  </si>
  <si>
    <t>Retest limits: no second ADMIN account exists, so the last-remaining-administrator case behind BUG-051 could not be exercised - only the self-deactivation guard, which is now in place. One SANDBOX label was generated with Manoj's permission (order #934191, USPS to the UK) to confirm BUG-001; no other label was bought. Two user invitations sent during testing (qa-1012-invite@example.com and qa-1012-retest@example.com) are still in the database and cannot be removed from the interface. The window was 1392x847 for the retest, against 1446x840 for the original Settings run, so BUG-025's off-screen row menu was re-checked by narrowing the window rather than by matching the original width exactly.</t>
  </si>
  <si>
    <t>Observation (R3)</t>
  </si>
  <si>
    <t>Several fixes went further than the bug asked: destination-aware placeholders now appear across the Ship to form (CMX for Mexico, LDN for the UK, 'e.g. 01000' for a Mexican postal code), the Label size follows the Label type, inline 'Required - pick an incoterm' marking has been added, extra boxes are drawn as a one-line summary with Duplicate and Edit, and the Attach clients dialog gained badges and a Detach action with its own confirmation. Against that, two kinds of raw text are still shown to users: database and sprint notes in the page descriptions (BUG-049) and, new in this build, the carrier's full JSON error inside the shipment check when USPS returns no price.</t>
  </si>
  <si>
    <t>Three findings carry no screenshot because the evidence is not something the screen shows: BUG-015 and BUG-047 are network behaviour (a 503 on a HEAD request, and the number of requests one search sends), recorded from the request list instead; BUG-016 is a toast from a server failure that did not recur during the retest. BUG-032 and BUG-038 could not be retested for the same reason - the toast now dismisses itself before it can be captured, and the export request could not be reproduced cleanly.</t>
  </si>
  <si>
    <t>Observation (R4)</t>
  </si>
  <si>
    <t>Security pass, what held up well: output encoding was correct everywhere it was tried - a stored name of 'QA-1013 &lt;script&gt;alert(1)&lt;/script&gt; "&gt;&lt;b&gt;x&lt;/b&gt;' came back as escaped text in the address-book grid, in the row subtitle and inside the delete confirmation, with zero injected script or b elements, and the Handlebars email preview rendered the same payload and an &lt;img src=x onerror=1&gt; as visible text rather than elements. Secrets are not echoed: GET /api/v1/carrier-accounts returns clientIdPreview (a truncation) and carries no clientSecret, password, apiKey or token field at all, and the SFTP form on Output Destinations uses a password-type input, states 'Encrypted at rest. Never echoed back after save.' and warns 'Without a pinned key the driver accepts any host on first connect (MITM-vulnerable).' Error bodies leak nothing - the 500 carries a correlation reference and 'details in server logs', with no stack trace, SQL or internal path. X-Frame-Options DENY, X-Content-Type-Options nosniff and a no-store Cache-Control are all set on API responses.</t>
  </si>
  <si>
    <t>Limitation (R4)</t>
  </si>
  <si>
    <t>Security pass, what could not be covered: admin is still the only account on the system, so no non-admin session exists and 'does a USER role get refused' could not be tested at all - it is unproven rather than passing. CSV formula injection (a leading = or @ in an exported cell) was left unverified because confirming it means downloading and opening a file, which needs Manoj's go-ahead; the application does store such a value verbatim, so the question is only whether the CSV writer escapes it. Session expiry behaviour was observed once by accident at the start of the day - the app had dropped to the sign-in page - but the mid-action expiry path was not re-provoked. Request probing was read-only: GETs with the signed-in admin session against the local dev server only, no writes through the API and no attempt to bypass authentication.</t>
  </si>
  <si>
    <t>Summary (R4)</t>
  </si>
  <si>
    <t>Run R4 (2026-10-13) did two things. First, all 53 earlier findings were walked through their own steps again on the new build: 39 are now fixed, 13 still fail and 1 could not be retested. The build closed a lot - the whole Users group (the audit trail, the pending-invites panel with resend and revoke, the self-deactivation guard, the search debounce, the invite validation message and the developer notes in the page descriptions), the Mexico state dropdown, the client wizard's validation and formatting, and the warehouse guards. It also corrected a mistake in my own 2026-10-12 report: BUG-025 was marked fixed then, and it is not - measured from the DOM, the row-action buttons sit at x 1587-1615 in a 1460 px window. Second, the run covered the rest of Settings for the first time: 29 screens across Carriers &amp; Services, International, Labels &amp; Documents, Email &amp; Alerts, Integrations, System and Activity &amp; Logs, plus a first security and data-sanitation pass. That found 11 new defects, BUG-054 to BUG-064. The two to read first are BUG-055 (a carrier can be flipped from TEST to LIVE from a bare dropdown, with four carriers already reading LIVE while every account is SANDBOX) and BUG-059 ('Close out' closes every open label for a carrier and date, defaulted to all clients, with no confirmation) - neither was exercised, because both spend real money.</t>
  </si>
  <si>
    <t>Settings &gt; Writeback Journal shows 278 entries and every visible one reads SKIPPED_INACTIVE against connection nds-default, mode GENERATE, for orders 934179 to 934190 - the whole run of 2026-10-11. Nothing is failing; the external-system connector is simply switched off, which matches Settings &gt; External Systems. Worth confirming that is intended rather than a connector that was never enabled, because the orders those writebacks belong to did generate labels.</t>
  </si>
  <si>
    <t>Ledger housekeeping at the start of R5: the application map carried each of the 29 Settings screens outside Organization twice (S011-S039 from the R2 menu-level map and S041-S069 from R4). The empty R2 duplicates were removed and BUG-049's 'also affects' reference to S027 (Mail) was pointed at S057, so screen counts from R5 on count each screen once.</t>
  </si>
  <si>
    <t>Limitation (R5)</t>
  </si>
  <si>
    <t>From the Pickups &amp; End-of-Day check (S048) onwards the browser viewport was 1920 x 855; earlier in the run it was 1442 x 847. Layout findings state the width they were measured at.</t>
  </si>
  <si>
    <t>Observation (R5)</t>
  </si>
  <si>
    <t>What held up in R5: output encoding was right on every screen tried - client, warehouse, address, printer, scanner, mail provider, custom field, holiday, carrier-limit and template values holding &lt;b&gt;, &lt;i&gt;, &lt;script&gt; and &lt;img onerror&gt; came back as visible text in grids, headings, toasts, confirmations and previews, and search boxes treated them as literal text. Stored secrets stay masked on the way out: carrier credentials ('qa-1•••id', 'Credentials never leave the backend'), the mail provider token ('...'), System keys ('****TGMA', maskedValue only) and new Carrier API Log rows (BUG-065 fixed for new rows). The client wizard keeps staged carrier secrets out of browser storage, its secret box is a new-password input that the browser does not fill, and the carrier tracking link opens with rel noopener noreferrer. Destructive platform actions found in R4 now confirm first, and return labels now require a reason, so Returns Analytics counts them (BUG-067).</t>
  </si>
  <si>
    <t>At Manoj's request the platform-wide screens were looked at, filtered and previewed but not changed: no email or notification template was created or edited (Email Templates, Notifications), and nothing was saved on External Systems, DTC Scheduler or System. Their create / edit / delete paths and the validation behind them are untested, and those elements are recorded as blocked with the reason.</t>
  </si>
  <si>
    <t>Actions with effects outside the test data were deliberately not triggered: Check / Test on the production Oracle WMS connection, Run now and the master switch on DTC Scheduler, Retry on the Writeback Journal and the Email Delivery Log, Activate on a mail provider, Test print on the real Samsung printer, SYNC, Seed, Make default and Reset to defaults, carrier pickups, and Reset password / role changes on the one real user account. Three SANDBOX labels were bought in R5 with Manoj's permission (#934192, #934193 and return #934194) and are left in place; a second return attempt was stopped in the page before the purchase request.</t>
  </si>
  <si>
    <t>The app signed itself out (session expiry) at about 07:41 on 14 Oct while External Systems was open; nothing was being saved, Manoj signed in again and the run carried on in the same build. There is still no second test account - the only other user is a real person's - so role-based refusals remain unproven, and only the Clients CSV export was downloaded (with permission); label downloads and Print were not used. On Orders, R5 re-walked the order form only for the bug steps, so Duties paid by, AES ITN, Pickup type, Item SKU and the importer Tax ID / EORI stay not tested from R1.</t>
  </si>
  <si>
    <t>Summary (R5)</t>
  </si>
  <si>
    <t>Run R5 (13-14 Oct 2026) did two things on the rebuilt build. First, all 67 earlier findings were walked through their own steps again: 56 are now fixed (52 defects, plus 4 queries and suggestions the build has answered), 10 still fail (6 defects and 4 queries) and 1 could not be retested (BUG-016, a one-off 502 that did not recur). Every High finding is closed: the USPS default sender name now gets a label (BUG-001), and both switching a carrier from TEST to LIVE (BUG-055) and Close out (BUG-059) now ask before acting - those two were triggered only with every save blocked in the page, then cancelled. Most of the ten that still fail are fixed where the bug pointed but not everywhere the same code runs: wildcard search on Warehouses, Users and two logs (BUG-022), the FedEx account-number rules (BUG-029), the 'Something went wrong' heading on Markup and eight other Settings screens (BUG-036), country and label-format lists (BUG-046, BUG-057), developer notes on System and eight more screens (BUG-061), and old two-box ERROR orders that still carry one box's weight (BUG-017). The Clients CSV now drops hidden columns but never writes Contact or Orders even when they are shown (BUG-038); order #934118 still holds a FedEx document link and needs the backfill the developers mention (BUG-007); and the USPS 'normalised the address' line still shows no address (BUG-018). Second, every Settings submodule was gone through element by element - 36 Settings screens and 355 controls, 95% of them exercised and the other 19 deliberately left with a stated reason - with input validation, output encoding, secrets handling and audit checks on each. Together with the bug walks this produced 75 new entries, BUG-068 to BUG-142: 68 defects (1 High, 20 Medium, 47 Low), 6 queries and 1 suggestion. Read first: BUG-086 (High) - Chrome fills the saved Multiship sign-in, admin and its password, into the carrier credential boxes on Add account and Rotate credentials and into the Mail provider form, so one Save would store the admin password as a carrier or mail secret; BUG-133 - the Email Delivery Log keeps and returns the full body of invite emails, live accept links included; BUG-120 - the Oracle WMS connector's default per-client login is username = password = client code; BUG-128 - most Settings changes leave no audit entry; BUG-076 - a value starting with '=' goes into the CSV exports unescaped. Ordinary input still ends in server 500s on several forms (every Output Destinations create, BUG-118; Custom Fields edit and move, BUG-111; over-long labels and names, a duplicate holiday, an unknown warehouse, a huge markup), the Email Delivery Log marks every message SENT although no mail provider is active (BUG-132), and a return label opens with the client's own warehouse as the customer address and passes the check with origin = destination (BUG-136).</t>
  </si>
  <si>
    <t>Observation (R6)</t>
  </si>
  <si>
    <t>R6: several checks were made with the request stopped in the page, to see what the page sends without changing anything: Schedule a pickup (BUG-103), Save template for THB000 (BUG-107, BUG-108), Enroll scanner for THB000 (BUG-117) and the System saves that targeted the deleted QA-1013-R5-CL01 (BUG-147). One attempt reached the server and was refused: an inactive output destination for THB000 (BUG-118, 500, nothing created).</t>
  </si>
  <si>
    <t>Summary (R6)</t>
  </si>
  <si>
    <t>R6 re-walked all 86 findings left open after R5 on the local build of 14 Oct: 16 are fixed (15 defects and 1 query), 64 still fail (54 defects, 10 queries or suggestions) and 6 could not be re-walked because the client editor did not compile from about 14:00 IST to the end of the run. The fixes are mostly messages and validation - the 502 toast, duplicate invites, the address-book length 500, unknown time zones, the hex colour box, the custom-field label 500, the billing-account message, mail delivery status, masked invite links, the scanner key hash and a confirmed Delete secret - while several others are only half done (Logs export, Templates logo, Writeback filter, Importer search, Carrier API log tagging). What worries me most: the browser still fills the Multiship sign-in into Mail's provider credentials (BUG-086, High), Settings changes still leave no audit entry (BUG-128), Output Destinations still cannot be created at all (BUG-118), and the server still answers tenant-settings and scanner requests for client codes that no longer exist (BUG-140, BUG-147). Six new findings were logged (BUG-143 to BUG-148), four of them Medium.</t>
  </si>
  <si>
    <t>Limitation (R6)</t>
  </si>
  <si>
    <t>R6: the client editor (/settings/clients/new and /settings/clients/{code}) failed to compile from about 14:00 IST to the end of the run (ClientEditorPage.tsx:1515 parse error at the Markup step, a developer edit in progress). BUG-029, BUG-077, BUG-078, BUG-138 and BUG-139 could therefore not be re-walked, and the parts of BUG-036, BUG-046, BUG-075, BUG-076, BUG-079, BUG-080, BUG-125 and BUG-140 that need the wizard or a QA client are marked as not re-walked in their notes.</t>
  </si>
  <si>
    <t>R6: with no QA client possible, the checks that needed a client-scoped record used short-lived QA records on THB000, each named QA-1014-R6, created inactive where the screen allows it and deleted within about three minutes: a customs profile (BUG-104 to BUG-106), two custom field definitions (BUG-111 to BUG-113, BUG-075), a packing-slip template (BUG-109) and a code-map alias (BUG-093). THB000 had none of these before. An inactive output destination for THB000 was refused by the server (BUG-118), so nothing was created.</t>
  </si>
  <si>
    <t>R6: the developers were editing the code during the run (order-form modules reloaded at 13:17 IST, the client editor from about 14:00), so results describe the build as it stood at the time of each check. Platform-wide screens (System, External Systems, DTC Scheduler) were only read; where a save had to be observed, the request was stopped in the page. No sandbox label or return was bought (0 of the 2 allowed): the label-dependent findings (BUG-131 tagging of shipment calls, BUG-136, BUG-137) were checked on existing labels and forms only. No mail provider was added, so BUG-119's Mail column was not re-read.</t>
  </si>
  <si>
    <t>Observation (R7)</t>
  </si>
  <si>
    <t>R7 build check (16 Oct, about 07:57 IST): the backend has the 15 Oct migrations - Cutoffs &amp; Holidays now holds Christmas Day 2026-12-25 and 2027-12-25 (V159, BUG-102) - and the frontend serves the new client editor (it compiles, with a 'Discard draft' control). Results below describe this build; no version number is shown in the app.</t>
  </si>
  <si>
    <t>Summary (R7)</t>
  </si>
  <si>
    <t>R7 (16 Oct) re-walked the 76 findings in scope - the 69 marked Fixed on HEAD 5f1d0e52 and the 7 Deferred: 49 are fixed, 25 still fail (several only in part) and 2 cannot be confirmed from the application (BUG-120, BUG-135). The 14 findings added (BUG-149 to BUG-162) leave 37 defects open. What holds up: deleting a client now clears its warehouse attachments and scanner enrolments, Output Destinations can be created, the Mail, Email log, Writeback Journal and Carrier API Log times are right, and most validation messages read well. What worries me most: older Carrier API Log rows still show the OAuth client secret, refresh token and access token in clear (BUG-161, High); a return label is bought from the warehouse to the warehouse instead of from the customer (BUG-149, High); and the BUG-119 time-zone fix now dates Logs entries 5 1/2 hours in the future (BUG-160). The server sends zone-less UTC and zone-less India-time stamps side by side (BUG-119, 145, 160, 070), so one rule on the server would end that whole class of bug; the missing audit entries for Settings changes (BUG-128) need the backend restarted from HEAD and checked again.</t>
  </si>
  <si>
    <t>Limitation (R7)</t>
  </si>
  <si>
    <t>R7: two findings could not be confirmed from the application. BUG-120 (the default Oracle login derived from the client code) can only be checked in the connector code or with a database sign-in, and the developer note describes the fix as UI copy only. BUG-135 (tenant and order on 'manual void' alerts) applies only to alerts fired from now on, and none has fired - a STAMPS_SERA_MPS rollback cannot be provoked on demand in the sandbox; check it when the next such alert appears.</t>
  </si>
  <si>
    <t>R7: the developers' fix for BUG-128 (audit calls on templates, code maps, customs profiles, custom fields, printers, scanners, mail, cutoffs, address book and output destinations, commits f46b6f01 and f14bcf08) could not be judged: none of the changes made on 16 Oct on ten Settings screens reached the log. Either the running backend does not contain those commits or the calls do not write; please restart the backend from HEAD and the screens will be re-walked.</t>
  </si>
  <si>
    <t>R7: left alone on purpose, as in R5 - Test, Check and Save on the production Oracle WMS connection (nds-default), DTC Scheduler Run now and its master switch, Writeback and Email-log Retry, activating a Mail provider, the catalog rewrite buttons and Seed for all combos. The provider token, SFTP password and connection values typed this run were dummy values, no real email was sent, and a throw-away External Systems connection (qa-1016-r7) was used to test BUG-121 and deleted. Several checks were made with the request stopped in the page (System &gt; Save shipper defaults for BUG-147) so nothing was written.</t>
  </si>
  <si>
    <t>R7: scope was the 76 findings plus the neighbours of each fix. The element-by-element pass over every module and sub-module that the owner allowed is a separate run; S001 to S003 stay partial (options left at their defaults, file downloads and printing not used, as in R5). The build was not named by the team: behaviour matched HEAD 5f1d0e52 of 15 Oct. Carrier sandbox calls (FedEx rates and shipments) failed intermittently with HTTP 503. Two sandbox return labels, #934195 and #934196 (FedEx Ground, MKL246, customer QA-1016 Returner, printed TEST LABEL - DO NOT SHIP), were bought for BUG-136, 137 and 149 and are left in the system.</t>
  </si>
  <si>
    <t>R7: time zones are the common thread behind BUG-119, 145, 160 and 070. The server stores or sends zone-less UTC stamps (Mail Updated, Email log sentAt, Writeback Journal, createdAt on mail providers and external systems) next to zone-less India-time stamps (audit-log createdAt, invite createdAt and expiresAt, the timestamp on every API response envelope) and Spring's own error body in UTC. Each screen has to guess, which is why the BUG-119 fix corrected four screens and broke Logs, and why an invite expiry is shown as UTC when it is India time. Sending ISO-8601 with an offset (or Z) everywhere would settle all four.</t>
  </si>
  <si>
    <t>R7: the Carrier API Log client_id scrub is complete (96 of 96 rows) and every token row from 12 Oct 10:42 masks client_secret, refresh_token and access_token, so the live redaction rule is right; only the 68 token exchanges stored before that (ids 1-1580, 8-12 Oct) were never scrubbed for the other three fields (BUG-161). 71 rows sampled across every host and URL pattern hold no credential-like field and no Authorization header is stored. The secrets were checked by field shape only and are not copied into any report; anything that sat readable in that log should be treated as exposed and rotated.</t>
  </si>
  <si>
    <t>R7: Writeback Journal (neighbour of BUG-134): Retry is still offered on all 283 Skipped rows although the page says 'Retry any failed row'. That may be deliberate - to re-fire once the target connection is active - but the page does not say so; please confirm. Retry was not clicked.</t>
  </si>
  <si>
    <t>How to use this workbook</t>
  </si>
  <si>
    <t>Bugs sheet: one row per bug. Developers fill only the yellow columns - Dev status, Assigned to, Developer comments, Fixed in build. Please do not change Bug ID.</t>
  </si>
  <si>
    <t>Coverage sheet: every element that was listed on every screen tested, with its result, what was tried and the requirement it was checked against. Filter on Requirement ref to see what has been verified for a clause.</t>
  </si>
  <si>
    <t>Screens sheet: the application map and how far testing has reached on each screen.</t>
  </si>
  <si>
    <t>Send this workbook back for retest: the tester reads the Dev status column and re-checks every bug marked Fixed.</t>
  </si>
  <si>
    <t>The hidden sheet '_ledger' holds the test records so that testing can resume from this file. Please do not delete it.</t>
  </si>
</sst>
</file>

<file path=xl/styles.xml><?xml version="1.0" encoding="utf-8"?>
<styleSheet xmlns="http://schemas.openxmlformats.org/spreadsheetml/2006/main">
  <numFmts count="1">
    <numFmt numFmtId="164" formatCode="0%"/>
  </numFmts>
  <fonts count="8">
    <font>
      <sz val="11"/>
      <color theme="1"/>
      <name val="Calibri"/>
      <family val="2"/>
      <scheme val="minor"/>
    </font>
    <font>
      <b/>
      <sz val="16"/>
      <color rgb="FF1F3864"/>
      <name val="Arial"/>
      <family val="2"/>
    </font>
    <font>
      <sz val="10"/>
      <color rgb="FF595959"/>
      <name val="Arial"/>
      <family val="2"/>
    </font>
    <font>
      <b/>
      <sz val="11"/>
      <color rgb="FFFFFFFF"/>
      <name val="Arial"/>
      <family val="2"/>
    </font>
    <font>
      <b/>
      <sz val="10"/>
      <color theme="1"/>
      <name val="Arial"/>
      <family val="2"/>
    </font>
    <font>
      <sz val="10"/>
      <color theme="1"/>
      <name val="Arial"/>
      <family val="2"/>
    </font>
    <font>
      <b/>
      <sz val="10"/>
      <color rgb="FFFFFFFF"/>
      <name val="Arial"/>
      <family val="2"/>
    </font>
    <font>
      <b/>
      <sz val="10"/>
      <color rgb="FF000000"/>
      <name val="Arial"/>
      <family val="2"/>
    </font>
  </fonts>
  <fills count="14">
    <fill>
      <patternFill patternType="none"/>
    </fill>
    <fill>
      <patternFill patternType="gray125"/>
    </fill>
    <fill>
      <patternFill patternType="solid">
        <fgColor rgb="FF1F3864"/>
        <bgColor indexed="64"/>
      </patternFill>
    </fill>
    <fill>
      <patternFill patternType="solid">
        <fgColor rgb="FFF2F2F2"/>
        <bgColor indexed="64"/>
      </patternFill>
    </fill>
    <fill>
      <patternFill patternType="solid">
        <fgColor rgb="FFC00000"/>
        <bgColor indexed="64"/>
      </patternFill>
    </fill>
    <fill>
      <patternFill patternType="solid">
        <fgColor rgb="FFF4B183"/>
        <bgColor indexed="64"/>
      </patternFill>
    </fill>
    <fill>
      <patternFill patternType="solid">
        <fgColor rgb="FFFFE699"/>
        <bgColor indexed="64"/>
      </patternFill>
    </fill>
    <fill>
      <patternFill patternType="solid">
        <fgColor rgb="FFDDEBF7"/>
        <bgColor indexed="64"/>
      </patternFill>
    </fill>
    <fill>
      <patternFill patternType="solid">
        <fgColor rgb="FFFFD966"/>
        <bgColor indexed="64"/>
      </patternFill>
    </fill>
    <fill>
      <patternFill patternType="solid">
        <fgColor rgb="FFFFF9E5"/>
        <bgColor indexed="64"/>
      </patternFill>
    </fill>
    <fill>
      <patternFill patternType="solid">
        <fgColor rgb="FFC6EFCE"/>
        <bgColor indexed="64"/>
      </patternFill>
    </fill>
    <fill>
      <patternFill patternType="solid">
        <fgColor rgb="FFFFC7CE"/>
        <bgColor indexed="64"/>
      </patternFill>
    </fill>
    <fill>
      <patternFill patternType="solid">
        <fgColor rgb="FFFFF2CC"/>
        <bgColor indexed="64"/>
      </patternFill>
    </fill>
    <fill>
      <patternFill patternType="solid">
        <fgColor rgb="FFFCE4D6"/>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1" fillId="0" borderId="0" xfId="0" applyFont="1" applyAlignment="1">
      <alignment vertical="top"/>
    </xf>
    <xf numFmtId="0" fontId="2" fillId="0" borderId="0" xfId="0" applyFont="1" applyAlignment="1">
      <alignment vertical="top"/>
    </xf>
    <xf numFmtId="0" fontId="3" fillId="2" borderId="0" xfId="0" applyFont="1" applyFill="1" applyAlignment="1">
      <alignment vertical="top"/>
    </xf>
    <xf numFmtId="0" fontId="4" fillId="3" borderId="1" xfId="0" applyFont="1" applyFill="1" applyBorder="1" applyAlignment="1">
      <alignment vertical="top" wrapText="1"/>
    </xf>
    <xf numFmtId="0" fontId="5" fillId="0" borderId="1" xfId="0" applyFont="1" applyBorder="1" applyAlignment="1">
      <alignment vertical="top" wrapText="1"/>
    </xf>
    <xf numFmtId="0" fontId="5" fillId="0" borderId="1" xfId="0" applyFont="1" applyBorder="1" applyAlignment="1">
      <alignment horizontal="right" vertical="top"/>
    </xf>
    <xf numFmtId="164" fontId="5" fillId="0" borderId="1" xfId="0" applyNumberFormat="1" applyFont="1" applyBorder="1" applyAlignment="1">
      <alignment horizontal="right" vertical="top"/>
    </xf>
    <xf numFmtId="0" fontId="6" fillId="4" borderId="1" xfId="0" applyFont="1" applyFill="1" applyBorder="1" applyAlignment="1">
      <alignment vertical="top" wrapText="1"/>
    </xf>
    <xf numFmtId="0" fontId="7" fillId="5" borderId="1" xfId="0" applyFont="1" applyFill="1" applyBorder="1" applyAlignment="1">
      <alignment vertical="top" wrapText="1"/>
    </xf>
    <xf numFmtId="0" fontId="7" fillId="6" borderId="1" xfId="0" applyFont="1" applyFill="1" applyBorder="1" applyAlignment="1">
      <alignment vertical="top" wrapText="1"/>
    </xf>
    <xf numFmtId="0" fontId="7" fillId="7" borderId="1" xfId="0" applyFont="1" applyFill="1" applyBorder="1" applyAlignment="1">
      <alignment vertical="top" wrapText="1"/>
    </xf>
    <xf numFmtId="0" fontId="6" fillId="2" borderId="1" xfId="0" applyFont="1" applyFill="1" applyBorder="1" applyAlignment="1">
      <alignment vertical="center" wrapText="1"/>
    </xf>
    <xf numFmtId="0" fontId="5" fillId="0" borderId="0" xfId="0" applyFont="1" applyAlignment="1">
      <alignment vertical="top" wrapText="1"/>
    </xf>
    <xf numFmtId="0" fontId="7" fillId="8" borderId="1" xfId="0" applyFont="1" applyFill="1" applyBorder="1" applyAlignment="1">
      <alignment vertical="center" wrapText="1"/>
    </xf>
    <xf numFmtId="0" fontId="5" fillId="9" borderId="1" xfId="0" applyFont="1" applyFill="1" applyBorder="1" applyAlignment="1">
      <alignment vertical="top" wrapText="1"/>
    </xf>
    <xf numFmtId="0" fontId="7" fillId="10" borderId="1" xfId="0" applyFont="1" applyFill="1" applyBorder="1" applyAlignment="1">
      <alignment vertical="top" wrapText="1"/>
    </xf>
    <xf numFmtId="0" fontId="7" fillId="11" borderId="1" xfId="0" applyFont="1" applyFill="1" applyBorder="1" applyAlignment="1">
      <alignment vertical="top" wrapText="1"/>
    </xf>
    <xf numFmtId="0" fontId="7" fillId="12" borderId="1" xfId="0" applyFont="1" applyFill="1" applyBorder="1" applyAlignment="1">
      <alignment vertical="top" wrapText="1"/>
    </xf>
    <xf numFmtId="0" fontId="7" fillId="1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localhost:5173" TargetMode="External"/></Relationships>
</file>

<file path=xl/worksheets/sheet1.xml><?xml version="1.0" encoding="utf-8"?>
<worksheet xmlns="http://schemas.openxmlformats.org/spreadsheetml/2006/main" xmlns:r="http://schemas.openxmlformats.org/officeDocument/2006/relationships">
  <sheetPr>
    <pageSetUpPr fitToPage="1"/>
  </sheetPr>
  <dimension ref="A1:G113"/>
  <sheetViews>
    <sheetView showGridLines="0" tabSelected="1" workbookViewId="0"/>
  </sheetViews>
  <sheetFormatPr defaultRowHeight="15"/>
  <cols>
    <col min="1" max="1" width="30.7109375" customWidth="1"/>
    <col min="2" max="2" width="16.7109375" customWidth="1"/>
    <col min="3" max="7" width="13.7109375" customWidth="1"/>
  </cols>
  <sheetData>
    <row r="1" spans="1:7">
      <c r="A1" s="1" t="s">
        <v>3659</v>
      </c>
    </row>
    <row r="2" spans="1:7">
      <c r="A2" s="2" t="s">
        <v>3660</v>
      </c>
    </row>
    <row r="4" spans="1:7">
      <c r="A4" s="3" t="s">
        <v>3661</v>
      </c>
      <c r="B4" s="3"/>
      <c r="C4" s="3"/>
      <c r="D4" s="3"/>
      <c r="E4" s="3"/>
      <c r="F4" s="3"/>
      <c r="G4" s="3"/>
    </row>
    <row r="5" spans="1:7">
      <c r="A5" s="4" t="s">
        <v>3662</v>
      </c>
      <c r="B5" s="5" t="s">
        <v>3663</v>
      </c>
      <c r="C5" s="5"/>
      <c r="D5" s="5"/>
      <c r="E5" s="5"/>
      <c r="F5" s="5"/>
      <c r="G5" s="5"/>
    </row>
    <row r="6" spans="1:7">
      <c r="A6" s="4" t="s">
        <v>13</v>
      </c>
      <c r="B6" s="5" t="s">
        <v>3664</v>
      </c>
      <c r="C6" s="5"/>
      <c r="D6" s="5"/>
      <c r="E6" s="5"/>
      <c r="F6" s="5"/>
      <c r="G6" s="5"/>
    </row>
    <row r="7" spans="1:7">
      <c r="A7" s="4" t="s">
        <v>3665</v>
      </c>
      <c r="B7" s="5" t="s">
        <v>3666</v>
      </c>
      <c r="C7" s="5"/>
      <c r="D7" s="5"/>
      <c r="E7" s="5"/>
      <c r="F7" s="5"/>
      <c r="G7" s="5"/>
    </row>
    <row r="8" spans="1:7">
      <c r="A8" s="4" t="s">
        <v>3667</v>
      </c>
      <c r="B8" s="5" t="s">
        <v>3668</v>
      </c>
      <c r="C8" s="5"/>
      <c r="D8" s="5"/>
      <c r="E8" s="5"/>
      <c r="F8" s="5"/>
      <c r="G8" s="5"/>
    </row>
    <row r="9" spans="1:7">
      <c r="A9" s="4" t="s">
        <v>3669</v>
      </c>
      <c r="B9" s="5" t="s">
        <v>45</v>
      </c>
      <c r="C9" s="5"/>
      <c r="D9" s="5"/>
      <c r="E9" s="5"/>
      <c r="F9" s="5"/>
      <c r="G9" s="5"/>
    </row>
    <row r="10" spans="1:7">
      <c r="A10" s="4" t="s">
        <v>3670</v>
      </c>
      <c r="B10" s="5" t="s">
        <v>3671</v>
      </c>
      <c r="C10" s="5"/>
      <c r="D10" s="5"/>
      <c r="E10" s="5"/>
      <c r="F10" s="5"/>
      <c r="G10" s="5"/>
    </row>
    <row r="11" spans="1:7">
      <c r="A11" s="4" t="s">
        <v>3672</v>
      </c>
      <c r="B11" s="5" t="s">
        <v>3673</v>
      </c>
      <c r="C11" s="5"/>
      <c r="D11" s="5"/>
      <c r="E11" s="5"/>
      <c r="F11" s="5"/>
      <c r="G11" s="5"/>
    </row>
    <row r="12" spans="1:7">
      <c r="A12" s="4" t="s">
        <v>3674</v>
      </c>
      <c r="B12" s="5" t="s">
        <v>3675</v>
      </c>
      <c r="C12" s="5"/>
      <c r="D12" s="5"/>
      <c r="E12" s="5"/>
      <c r="F12" s="5"/>
      <c r="G12" s="5"/>
    </row>
    <row r="13" spans="1:7">
      <c r="A13" s="4" t="s">
        <v>3676</v>
      </c>
      <c r="B13" s="5" t="s">
        <v>3677</v>
      </c>
      <c r="C13" s="5"/>
      <c r="D13" s="5"/>
      <c r="E13" s="5"/>
      <c r="F13" s="5"/>
      <c r="G13" s="5"/>
    </row>
    <row r="14" spans="1:7">
      <c r="A14" s="4" t="s">
        <v>3678</v>
      </c>
      <c r="B14" s="5" t="s">
        <v>3679</v>
      </c>
      <c r="C14" s="5"/>
      <c r="D14" s="5"/>
      <c r="E14" s="5"/>
      <c r="F14" s="5"/>
      <c r="G14" s="5"/>
    </row>
    <row r="15" spans="1:7">
      <c r="A15" s="4" t="s">
        <v>3680</v>
      </c>
      <c r="B15" s="5" t="s">
        <v>3681</v>
      </c>
      <c r="C15" s="5"/>
      <c r="D15" s="5"/>
      <c r="E15" s="5"/>
      <c r="F15" s="5"/>
      <c r="G15" s="5"/>
    </row>
    <row r="16" spans="1:7">
      <c r="A16" s="4" t="s">
        <v>3682</v>
      </c>
      <c r="B16" s="5" t="s">
        <v>3683</v>
      </c>
      <c r="C16" s="5"/>
      <c r="D16" s="5"/>
      <c r="E16" s="5"/>
      <c r="F16" s="5"/>
      <c r="G16" s="5"/>
    </row>
    <row r="17" spans="1:7">
      <c r="A17" s="4" t="s">
        <v>3684</v>
      </c>
      <c r="B17" s="5" t="s">
        <v>3685</v>
      </c>
      <c r="C17" s="5"/>
      <c r="D17" s="5"/>
      <c r="E17" s="5"/>
      <c r="F17" s="5"/>
      <c r="G17" s="5"/>
    </row>
    <row r="18" spans="1:7">
      <c r="A18" s="4" t="s">
        <v>3686</v>
      </c>
      <c r="B18" s="5" t="s">
        <v>3687</v>
      </c>
      <c r="C18" s="5"/>
      <c r="D18" s="5"/>
      <c r="E18" s="5"/>
      <c r="F18" s="5"/>
      <c r="G18" s="5"/>
    </row>
    <row r="20" spans="1:7">
      <c r="A20" s="3" t="s">
        <v>3688</v>
      </c>
      <c r="B20" s="3"/>
      <c r="C20" s="3"/>
      <c r="D20" s="3"/>
      <c r="E20" s="3"/>
      <c r="F20" s="3"/>
      <c r="G20" s="3"/>
    </row>
    <row r="21" spans="1:7">
      <c r="A21" s="4" t="s">
        <v>3689</v>
      </c>
      <c r="B21" s="6">
        <f>COUNTA(Screens!$A:$A)-1</f>
        <v>41</v>
      </c>
    </row>
    <row r="22" spans="1:7">
      <c r="A22" s="4" t="s">
        <v>3690</v>
      </c>
      <c r="B22" s="6">
        <f>COUNTIF(Screens!$F:$F,"Done")</f>
        <v>38</v>
      </c>
    </row>
    <row r="23" spans="1:7">
      <c r="A23" s="4" t="s">
        <v>3691</v>
      </c>
      <c r="B23" s="6">
        <f>COUNTIF(Screens!$F:$F,"Partial")</f>
        <v>3</v>
      </c>
    </row>
    <row r="24" spans="1:7">
      <c r="A24" s="4" t="s">
        <v>3692</v>
      </c>
      <c r="B24" s="6">
        <f>COUNTIF(Screens!$F:$F,"In progress")</f>
        <v>0</v>
      </c>
    </row>
    <row r="25" spans="1:7">
      <c r="A25" s="4" t="s">
        <v>3693</v>
      </c>
      <c r="B25" s="6">
        <f>COUNTIF(Screens!$F:$F,"Blocked")</f>
        <v>0</v>
      </c>
    </row>
    <row r="26" spans="1:7">
      <c r="A26" s="4" t="s">
        <v>3694</v>
      </c>
      <c r="B26" s="6">
        <f>COUNTIF(Screens!$F:$F,"Not started")</f>
        <v>0</v>
      </c>
    </row>
    <row r="27" spans="1:7">
      <c r="A27" s="4" t="s">
        <v>3695</v>
      </c>
      <c r="B27" s="6">
        <f>COUNTA(Coverage!$E:$E)-1</f>
        <v>438</v>
      </c>
    </row>
    <row r="28" spans="1:7">
      <c r="A28" s="4" t="s">
        <v>3696</v>
      </c>
      <c r="B28" s="6">
        <f>COUNTIF(Coverage!$J:$J,"Pass")</f>
        <v>344</v>
      </c>
    </row>
    <row r="29" spans="1:7">
      <c r="A29" s="4" t="s">
        <v>3697</v>
      </c>
      <c r="B29" s="6">
        <f>COUNTIF(Coverage!$J:$J,"Fail")</f>
        <v>67</v>
      </c>
    </row>
    <row r="30" spans="1:7">
      <c r="A30" s="4" t="s">
        <v>3698</v>
      </c>
      <c r="B30" s="6">
        <f>COUNTIF(Coverage!$J:$J,"Blocked")</f>
        <v>18</v>
      </c>
    </row>
    <row r="31" spans="1:7">
      <c r="A31" s="4" t="s">
        <v>3699</v>
      </c>
      <c r="B31" s="6">
        <f>COUNTIF(Coverage!$J:$J,"N/A")</f>
        <v>0</v>
      </c>
    </row>
    <row r="32" spans="1:7">
      <c r="A32" s="4" t="s">
        <v>3700</v>
      </c>
      <c r="B32" s="6">
        <f>COUNTIF(Coverage!$J:$J,"Not tested")</f>
        <v>9</v>
      </c>
    </row>
    <row r="33" spans="1:7">
      <c r="A33" s="4" t="s">
        <v>3701</v>
      </c>
      <c r="B33" s="7">
        <f>IF(($B$27-$B$31)=0,0,($B$28+$B$29)/($B$27-$B$31))</f>
        <v>0.9383561643835617</v>
      </c>
    </row>
    <row r="35" spans="1:7">
      <c r="A35" s="3" t="s">
        <v>3702</v>
      </c>
      <c r="B35" s="3"/>
      <c r="C35" s="3"/>
      <c r="D35" s="3"/>
      <c r="E35" s="3"/>
      <c r="F35" s="3"/>
      <c r="G35" s="3"/>
    </row>
    <row r="36" spans="1:7">
      <c r="A36" s="8" t="s">
        <v>3703</v>
      </c>
      <c r="B36" s="6">
        <f>COUNTIFS(Bugs!$B:$B,"Critical",Bugs!$C:$C,"&lt;&gt;Query",Bugs!$C:$C,"&lt;&gt;Suggestion")</f>
        <v>0</v>
      </c>
    </row>
    <row r="37" spans="1:7">
      <c r="A37" s="9" t="s">
        <v>3704</v>
      </c>
      <c r="B37" s="6">
        <f>COUNTIFS(Bugs!$B:$B,"High",Bugs!$C:$C,"&lt;&gt;Query",Bugs!$C:$C,"&lt;&gt;Suggestion")</f>
        <v>9</v>
      </c>
    </row>
    <row r="38" spans="1:7">
      <c r="A38" s="10" t="s">
        <v>3705</v>
      </c>
      <c r="B38" s="6">
        <f>COUNTIFS(Bugs!$B:$B,"Medium",Bugs!$C:$C,"&lt;&gt;Query",Bugs!$C:$C,"&lt;&gt;Suggestion")</f>
        <v>44</v>
      </c>
    </row>
    <row r="39" spans="1:7">
      <c r="A39" s="11" t="s">
        <v>3706</v>
      </c>
      <c r="B39" s="6">
        <f>COUNTIFS(Bugs!$B:$B,"Low",Bugs!$C:$C,"&lt;&gt;Query",Bugs!$C:$C,"&lt;&gt;Suggestion")</f>
        <v>94</v>
      </c>
    </row>
    <row r="40" spans="1:7">
      <c r="A40" s="4" t="s">
        <v>3707</v>
      </c>
      <c r="B40" s="6">
        <f>SUM($B$36:$B$39)</f>
        <v>147</v>
      </c>
    </row>
    <row r="41" spans="1:7">
      <c r="A41" s="4" t="s">
        <v>3708</v>
      </c>
      <c r="B41" s="6">
        <f>COUNTIF(Bugs!$C:$C,"Query")</f>
        <v>11</v>
      </c>
    </row>
    <row r="42" spans="1:7">
      <c r="A42" s="4" t="s">
        <v>3709</v>
      </c>
      <c r="B42" s="6">
        <f>COUNTIF(Bugs!$C:$C,"Suggestion")</f>
        <v>4</v>
      </c>
    </row>
    <row r="44" spans="1:7">
      <c r="A44" s="3" t="s">
        <v>3710</v>
      </c>
      <c r="B44" s="3"/>
      <c r="C44" s="3"/>
      <c r="D44" s="3"/>
      <c r="E44" s="3"/>
      <c r="F44" s="3"/>
      <c r="G44" s="3"/>
    </row>
    <row r="45" spans="1:7">
      <c r="A45" s="4" t="s">
        <v>3711</v>
      </c>
      <c r="B45" s="6">
        <f>COUNTIF(Bugs!$Z:$Z,"New")</f>
        <v>65</v>
      </c>
    </row>
    <row r="46" spans="1:7">
      <c r="A46" s="4" t="s">
        <v>3712</v>
      </c>
      <c r="B46" s="6">
        <f>COUNTIF(Bugs!$Z:$Z,"In progress")</f>
        <v>0</v>
      </c>
    </row>
    <row r="47" spans="1:7">
      <c r="A47" s="4" t="s">
        <v>3713</v>
      </c>
      <c r="B47" s="6">
        <f>COUNTIF(Bugs!$Z:$Z,"Fixed")</f>
        <v>90</v>
      </c>
    </row>
    <row r="48" spans="1:7">
      <c r="A48" s="4" t="s">
        <v>3714</v>
      </c>
      <c r="B48" s="6">
        <f>COUNTIF(Bugs!$Z:$Z,"Not a bug")</f>
        <v>0</v>
      </c>
    </row>
    <row r="49" spans="1:7">
      <c r="A49" s="4" t="s">
        <v>3715</v>
      </c>
      <c r="B49" s="6">
        <f>COUNTIF(Bugs!$Z:$Z,"Cannot reproduce")</f>
        <v>0</v>
      </c>
    </row>
    <row r="50" spans="1:7">
      <c r="A50" s="4" t="s">
        <v>3716</v>
      </c>
      <c r="B50" s="6">
        <f>COUNTIF(Bugs!$Z:$Z,"Deferred")</f>
        <v>7</v>
      </c>
    </row>
    <row r="51" spans="1:7">
      <c r="A51" s="4" t="s">
        <v>3717</v>
      </c>
      <c r="B51" s="6">
        <f>COUNTIF(Bugs!$Z:$Z,"Duplicate")</f>
        <v>0</v>
      </c>
    </row>
    <row r="52" spans="1:7">
      <c r="A52" s="4" t="s">
        <v>3718</v>
      </c>
      <c r="B52" s="6">
        <f>COUNTIF(Bugs!$X:$X,"Open")</f>
        <v>15</v>
      </c>
    </row>
    <row r="53" spans="1:7">
      <c r="A53" s="4" t="s">
        <v>3719</v>
      </c>
      <c r="B53" s="6">
        <f>COUNTIF(Bugs!$X:$X,"Reopened")</f>
        <v>26</v>
      </c>
    </row>
    <row r="54" spans="1:7">
      <c r="A54" s="4" t="s">
        <v>3720</v>
      </c>
      <c r="B54" s="6">
        <f>COUNTIF(Bugs!$X:$X,"Closed")</f>
        <v>121</v>
      </c>
    </row>
    <row r="56" spans="1:7">
      <c r="A56" s="3" t="s">
        <v>3721</v>
      </c>
      <c r="B56" s="3"/>
      <c r="C56" s="3"/>
      <c r="D56" s="3"/>
      <c r="E56" s="3"/>
      <c r="F56" s="3"/>
      <c r="G56" s="3"/>
    </row>
    <row r="57" spans="1:7">
      <c r="A57" s="12" t="s">
        <v>3</v>
      </c>
      <c r="B57" s="12" t="s">
        <v>3722</v>
      </c>
      <c r="C57" s="12" t="s">
        <v>30</v>
      </c>
      <c r="D57" s="12" t="s">
        <v>68</v>
      </c>
      <c r="E57" s="12" t="s">
        <v>133</v>
      </c>
      <c r="F57" s="12" t="s">
        <v>3723</v>
      </c>
    </row>
    <row r="58" spans="1:7">
      <c r="A58" s="4" t="s">
        <v>32</v>
      </c>
      <c r="B58" s="6">
        <f>COUNTIFS(Bugs!$D:$D,$A58,Bugs!$B:$B,"Critical",Bugs!$C:$C,"&lt;&gt;Query",Bugs!$C:$C,"&lt;&gt;Suggestion")</f>
        <v>0</v>
      </c>
      <c r="C58" s="6">
        <f>COUNTIFS(Bugs!$D:$D,$A58,Bugs!$B:$B,"High",Bugs!$C:$C,"&lt;&gt;Query",Bugs!$C:$C,"&lt;&gt;Suggestion")</f>
        <v>3</v>
      </c>
      <c r="D58" s="6">
        <f>COUNTIFS(Bugs!$D:$D,$A58,Bugs!$B:$B,"Medium",Bugs!$C:$C,"&lt;&gt;Query",Bugs!$C:$C,"&lt;&gt;Suggestion")</f>
        <v>8</v>
      </c>
      <c r="E58" s="6">
        <f>COUNTIFS(Bugs!$D:$D,$A58,Bugs!$B:$B,"Low",Bugs!$C:$C,"&lt;&gt;Query",Bugs!$C:$C,"&lt;&gt;Suggestion")</f>
        <v>17</v>
      </c>
      <c r="F58" s="6">
        <f>SUM(B58:E58)</f>
        <v>28</v>
      </c>
    </row>
    <row r="59" spans="1:7">
      <c r="A59" s="4" t="s">
        <v>224</v>
      </c>
      <c r="B59" s="6">
        <f>COUNTIFS(Bugs!$D:$D,$A59,Bugs!$B:$B,"Critical",Bugs!$C:$C,"&lt;&gt;Query",Bugs!$C:$C,"&lt;&gt;Suggestion")</f>
        <v>0</v>
      </c>
      <c r="C59" s="6">
        <f>COUNTIFS(Bugs!$D:$D,$A59,Bugs!$B:$B,"High",Bugs!$C:$C,"&lt;&gt;Query",Bugs!$C:$C,"&lt;&gt;Suggestion")</f>
        <v>0</v>
      </c>
      <c r="D59" s="6">
        <f>COUNTIFS(Bugs!$D:$D,$A59,Bugs!$B:$B,"Medium",Bugs!$C:$C,"&lt;&gt;Query",Bugs!$C:$C,"&lt;&gt;Suggestion")</f>
        <v>0</v>
      </c>
      <c r="E59" s="6">
        <f>COUNTIFS(Bugs!$D:$D,$A59,Bugs!$B:$B,"Low",Bugs!$C:$C,"&lt;&gt;Query",Bugs!$C:$C,"&lt;&gt;Suggestion")</f>
        <v>3</v>
      </c>
      <c r="F59" s="6">
        <f>SUM(B59:E59)</f>
        <v>3</v>
      </c>
    </row>
    <row r="60" spans="1:7">
      <c r="A60" s="4" t="s">
        <v>279</v>
      </c>
      <c r="B60" s="6">
        <f>COUNTIFS(Bugs!$D:$D,$A60,Bugs!$B:$B,"Critical",Bugs!$C:$C,"&lt;&gt;Query",Bugs!$C:$C,"&lt;&gt;Suggestion")</f>
        <v>0</v>
      </c>
      <c r="C60" s="6">
        <f>COUNTIFS(Bugs!$D:$D,$A60,Bugs!$B:$B,"High",Bugs!$C:$C,"&lt;&gt;Query",Bugs!$C:$C,"&lt;&gt;Suggestion")</f>
        <v>6</v>
      </c>
      <c r="D60" s="6">
        <f>COUNTIFS(Bugs!$D:$D,$A60,Bugs!$B:$B,"Medium",Bugs!$C:$C,"&lt;&gt;Query",Bugs!$C:$C,"&lt;&gt;Suggestion")</f>
        <v>36</v>
      </c>
      <c r="E60" s="6">
        <f>COUNTIFS(Bugs!$D:$D,$A60,Bugs!$B:$B,"Low",Bugs!$C:$C,"&lt;&gt;Query",Bugs!$C:$C,"&lt;&gt;Suggestion")</f>
        <v>73</v>
      </c>
      <c r="F60" s="6">
        <f>SUM(B60:E60)</f>
        <v>115</v>
      </c>
    </row>
    <row r="61" spans="1:7">
      <c r="A61" s="4" t="s">
        <v>1743</v>
      </c>
      <c r="B61" s="6">
        <f>COUNTIFS(Bugs!$D:$D,$A61,Bugs!$B:$B,"Critical",Bugs!$C:$C,"&lt;&gt;Query",Bugs!$C:$C,"&lt;&gt;Suggestion")</f>
        <v>0</v>
      </c>
      <c r="C61" s="6">
        <f>COUNTIFS(Bugs!$D:$D,$A61,Bugs!$B:$B,"High",Bugs!$C:$C,"&lt;&gt;Query",Bugs!$C:$C,"&lt;&gt;Suggestion")</f>
        <v>0</v>
      </c>
      <c r="D61" s="6">
        <f>COUNTIFS(Bugs!$D:$D,$A61,Bugs!$B:$B,"Medium",Bugs!$C:$C,"&lt;&gt;Query",Bugs!$C:$C,"&lt;&gt;Suggestion")</f>
        <v>0</v>
      </c>
      <c r="E61" s="6">
        <f>COUNTIFS(Bugs!$D:$D,$A61,Bugs!$B:$B,"Low",Bugs!$C:$C,"&lt;&gt;Query",Bugs!$C:$C,"&lt;&gt;Suggestion")</f>
        <v>1</v>
      </c>
      <c r="F61" s="6">
        <f>SUM(B61:E61)</f>
        <v>1</v>
      </c>
    </row>
    <row r="63" spans="1:7">
      <c r="A63" s="3" t="s">
        <v>3724</v>
      </c>
      <c r="B63" s="3"/>
      <c r="C63" s="3"/>
      <c r="D63" s="3"/>
      <c r="E63" s="3"/>
      <c r="F63" s="3"/>
      <c r="G63" s="3"/>
    </row>
    <row r="64" spans="1:7" ht="45" customHeight="1">
      <c r="A64" s="4" t="s">
        <v>3725</v>
      </c>
      <c r="B64" s="5" t="s">
        <v>3726</v>
      </c>
      <c r="C64" s="5"/>
      <c r="D64" s="5"/>
      <c r="E64" s="5"/>
      <c r="F64" s="5"/>
      <c r="G64" s="5"/>
    </row>
    <row r="65" spans="1:7" ht="75" customHeight="1">
      <c r="A65" s="4" t="s">
        <v>3725</v>
      </c>
      <c r="B65" s="5" t="s">
        <v>3727</v>
      </c>
      <c r="C65" s="5"/>
      <c r="D65" s="5"/>
      <c r="E65" s="5"/>
      <c r="F65" s="5"/>
      <c r="G65" s="5"/>
    </row>
    <row r="66" spans="1:7" ht="75" customHeight="1">
      <c r="A66" s="4" t="s">
        <v>3725</v>
      </c>
      <c r="B66" s="5" t="s">
        <v>3728</v>
      </c>
      <c r="C66" s="5"/>
      <c r="D66" s="5"/>
      <c r="E66" s="5"/>
      <c r="F66" s="5"/>
      <c r="G66" s="5"/>
    </row>
    <row r="67" spans="1:7" ht="45" customHeight="1">
      <c r="A67" s="4" t="s">
        <v>3725</v>
      </c>
      <c r="B67" s="5" t="s">
        <v>3729</v>
      </c>
      <c r="C67" s="5"/>
      <c r="D67" s="5"/>
      <c r="E67" s="5"/>
      <c r="F67" s="5"/>
      <c r="G67" s="5"/>
    </row>
    <row r="68" spans="1:7" ht="75" customHeight="1">
      <c r="A68" s="4" t="s">
        <v>3730</v>
      </c>
      <c r="B68" s="5" t="s">
        <v>3731</v>
      </c>
      <c r="C68" s="5"/>
      <c r="D68" s="5"/>
      <c r="E68" s="5"/>
      <c r="F68" s="5"/>
      <c r="G68" s="5"/>
    </row>
    <row r="69" spans="1:7" ht="150" customHeight="1">
      <c r="A69" s="4" t="s">
        <v>3732</v>
      </c>
      <c r="B69" s="5" t="s">
        <v>3733</v>
      </c>
      <c r="C69" s="5"/>
      <c r="D69" s="5"/>
      <c r="E69" s="5"/>
      <c r="F69" s="5"/>
      <c r="G69" s="5"/>
    </row>
    <row r="70" spans="1:7" ht="45" customHeight="1">
      <c r="A70" s="4" t="s">
        <v>3734</v>
      </c>
      <c r="B70" s="5" t="s">
        <v>3735</v>
      </c>
      <c r="C70" s="5"/>
      <c r="D70" s="5"/>
      <c r="E70" s="5"/>
      <c r="F70" s="5"/>
      <c r="G70" s="5"/>
    </row>
    <row r="71" spans="1:7" ht="45" customHeight="1">
      <c r="A71" s="4" t="s">
        <v>3734</v>
      </c>
      <c r="B71" s="5" t="s">
        <v>3736</v>
      </c>
      <c r="C71" s="5"/>
      <c r="D71" s="5"/>
      <c r="E71" s="5"/>
      <c r="F71" s="5"/>
      <c r="G71" s="5"/>
    </row>
    <row r="72" spans="1:7" ht="75" customHeight="1">
      <c r="A72" s="4" t="s">
        <v>3734</v>
      </c>
      <c r="B72" s="5" t="s">
        <v>3737</v>
      </c>
      <c r="C72" s="5"/>
      <c r="D72" s="5"/>
      <c r="E72" s="5"/>
      <c r="F72" s="5"/>
      <c r="G72" s="5"/>
    </row>
    <row r="73" spans="1:7" ht="45" customHeight="1">
      <c r="A73" s="4" t="s">
        <v>3734</v>
      </c>
      <c r="B73" s="5" t="s">
        <v>3738</v>
      </c>
      <c r="C73" s="5"/>
      <c r="D73" s="5"/>
      <c r="E73" s="5"/>
      <c r="F73" s="5"/>
      <c r="G73" s="5"/>
    </row>
    <row r="74" spans="1:7" ht="60" customHeight="1">
      <c r="A74" s="4" t="s">
        <v>3739</v>
      </c>
      <c r="B74" s="5" t="s">
        <v>3740</v>
      </c>
      <c r="C74" s="5"/>
      <c r="D74" s="5"/>
      <c r="E74" s="5"/>
      <c r="F74" s="5"/>
      <c r="G74" s="5"/>
    </row>
    <row r="75" spans="1:7" ht="45" customHeight="1">
      <c r="A75" s="4" t="s">
        <v>3739</v>
      </c>
      <c r="B75" s="5" t="s">
        <v>3741</v>
      </c>
      <c r="C75" s="5"/>
      <c r="D75" s="5"/>
      <c r="E75" s="5"/>
      <c r="F75" s="5"/>
      <c r="G75" s="5"/>
    </row>
    <row r="76" spans="1:7" ht="60" customHeight="1">
      <c r="A76" s="4" t="s">
        <v>3739</v>
      </c>
      <c r="B76" s="5" t="s">
        <v>3742</v>
      </c>
      <c r="C76" s="5"/>
      <c r="D76" s="5"/>
      <c r="E76" s="5"/>
      <c r="F76" s="5"/>
      <c r="G76" s="5"/>
    </row>
    <row r="77" spans="1:7" ht="285" customHeight="1">
      <c r="A77" s="4" t="s">
        <v>3743</v>
      </c>
      <c r="B77" s="5" t="s">
        <v>3744</v>
      </c>
      <c r="C77" s="5"/>
      <c r="D77" s="5"/>
      <c r="E77" s="5"/>
      <c r="F77" s="5"/>
      <c r="G77" s="5"/>
    </row>
    <row r="78" spans="1:7" ht="165" customHeight="1">
      <c r="A78" s="4" t="s">
        <v>3745</v>
      </c>
      <c r="B78" s="5" t="s">
        <v>3746</v>
      </c>
      <c r="C78" s="5"/>
      <c r="D78" s="5"/>
      <c r="E78" s="5"/>
      <c r="F78" s="5"/>
      <c r="G78" s="5"/>
    </row>
    <row r="79" spans="1:7" ht="135" customHeight="1">
      <c r="A79" s="4" t="s">
        <v>3747</v>
      </c>
      <c r="B79" s="5" t="s">
        <v>3748</v>
      </c>
      <c r="C79" s="5"/>
      <c r="D79" s="5"/>
      <c r="E79" s="5"/>
      <c r="F79" s="5"/>
      <c r="G79" s="5"/>
    </row>
    <row r="80" spans="1:7" ht="120" customHeight="1">
      <c r="A80" s="4" t="s">
        <v>3749</v>
      </c>
      <c r="B80" s="5" t="s">
        <v>3750</v>
      </c>
      <c r="C80" s="5"/>
      <c r="D80" s="5"/>
      <c r="E80" s="5"/>
      <c r="F80" s="5"/>
      <c r="G80" s="5"/>
    </row>
    <row r="81" spans="1:7" ht="90" customHeight="1">
      <c r="A81" s="4" t="s">
        <v>3747</v>
      </c>
      <c r="B81" s="5" t="s">
        <v>3751</v>
      </c>
      <c r="C81" s="5"/>
      <c r="D81" s="5"/>
      <c r="E81" s="5"/>
      <c r="F81" s="5"/>
      <c r="G81" s="5"/>
    </row>
    <row r="82" spans="1:7" ht="195" customHeight="1">
      <c r="A82" s="4" t="s">
        <v>3752</v>
      </c>
      <c r="B82" s="5" t="s">
        <v>3753</v>
      </c>
      <c r="C82" s="5"/>
      <c r="D82" s="5"/>
      <c r="E82" s="5"/>
      <c r="F82" s="5"/>
      <c r="G82" s="5"/>
    </row>
    <row r="83" spans="1:7" ht="150" customHeight="1">
      <c r="A83" s="4" t="s">
        <v>3754</v>
      </c>
      <c r="B83" s="5" t="s">
        <v>3755</v>
      </c>
      <c r="C83" s="5"/>
      <c r="D83" s="5"/>
      <c r="E83" s="5"/>
      <c r="F83" s="5"/>
      <c r="G83" s="5"/>
    </row>
    <row r="84" spans="1:7" ht="255" customHeight="1">
      <c r="A84" s="4" t="s">
        <v>3756</v>
      </c>
      <c r="B84" s="5" t="s">
        <v>3757</v>
      </c>
      <c r="C84" s="5"/>
      <c r="D84" s="5"/>
      <c r="E84" s="5"/>
      <c r="F84" s="5"/>
      <c r="G84" s="5"/>
    </row>
    <row r="85" spans="1:7" ht="90" customHeight="1">
      <c r="A85" s="4" t="s">
        <v>3752</v>
      </c>
      <c r="B85" s="5" t="s">
        <v>3758</v>
      </c>
      <c r="C85" s="5"/>
      <c r="D85" s="5"/>
      <c r="E85" s="5"/>
      <c r="F85" s="5"/>
      <c r="G85" s="5"/>
    </row>
    <row r="86" spans="1:7" ht="75" customHeight="1">
      <c r="A86" s="4" t="s">
        <v>3754</v>
      </c>
      <c r="B86" s="5" t="s">
        <v>3759</v>
      </c>
      <c r="C86" s="5"/>
      <c r="D86" s="5"/>
      <c r="E86" s="5"/>
      <c r="F86" s="5"/>
      <c r="G86" s="5"/>
    </row>
    <row r="87" spans="1:7" ht="45" customHeight="1">
      <c r="A87" s="4" t="s">
        <v>3760</v>
      </c>
      <c r="B87" s="5" t="s">
        <v>3761</v>
      </c>
      <c r="C87" s="5"/>
      <c r="D87" s="5"/>
      <c r="E87" s="5"/>
      <c r="F87" s="5"/>
      <c r="G87" s="5"/>
    </row>
    <row r="88" spans="1:7" ht="180" customHeight="1">
      <c r="A88" s="4" t="s">
        <v>3762</v>
      </c>
      <c r="B88" s="5" t="s">
        <v>3763</v>
      </c>
      <c r="C88" s="5"/>
      <c r="D88" s="5"/>
      <c r="E88" s="5"/>
      <c r="F88" s="5"/>
      <c r="G88" s="5"/>
    </row>
    <row r="89" spans="1:7" ht="75" customHeight="1">
      <c r="A89" s="4" t="s">
        <v>3760</v>
      </c>
      <c r="B89" s="5" t="s">
        <v>3764</v>
      </c>
      <c r="C89" s="5"/>
      <c r="D89" s="5"/>
      <c r="E89" s="5"/>
      <c r="F89" s="5"/>
      <c r="G89" s="5"/>
    </row>
    <row r="90" spans="1:7" ht="120" customHeight="1">
      <c r="A90" s="4" t="s">
        <v>3760</v>
      </c>
      <c r="B90" s="5" t="s">
        <v>3765</v>
      </c>
      <c r="C90" s="5"/>
      <c r="D90" s="5"/>
      <c r="E90" s="5"/>
      <c r="F90" s="5"/>
      <c r="G90" s="5"/>
    </row>
    <row r="91" spans="1:7" ht="105" customHeight="1">
      <c r="A91" s="4" t="s">
        <v>3760</v>
      </c>
      <c r="B91" s="5" t="s">
        <v>3766</v>
      </c>
      <c r="C91" s="5"/>
      <c r="D91" s="5"/>
      <c r="E91" s="5"/>
      <c r="F91" s="5"/>
      <c r="G91" s="5"/>
    </row>
    <row r="92" spans="1:7" ht="510" customHeight="1">
      <c r="A92" s="4" t="s">
        <v>3767</v>
      </c>
      <c r="B92" s="5" t="s">
        <v>3768</v>
      </c>
      <c r="C92" s="5"/>
      <c r="D92" s="5"/>
      <c r="E92" s="5"/>
      <c r="F92" s="5"/>
      <c r="G92" s="5"/>
    </row>
    <row r="93" spans="1:7" ht="90" customHeight="1">
      <c r="A93" s="4" t="s">
        <v>3769</v>
      </c>
      <c r="B93" s="5" t="s">
        <v>3770</v>
      </c>
      <c r="C93" s="5"/>
      <c r="D93" s="5"/>
      <c r="E93" s="5"/>
      <c r="F93" s="5"/>
      <c r="G93" s="5"/>
    </row>
    <row r="94" spans="1:7" ht="210" customHeight="1">
      <c r="A94" s="4" t="s">
        <v>3771</v>
      </c>
      <c r="B94" s="5" t="s">
        <v>3772</v>
      </c>
      <c r="C94" s="5"/>
      <c r="D94" s="5"/>
      <c r="E94" s="5"/>
      <c r="F94" s="5"/>
      <c r="G94" s="5"/>
    </row>
    <row r="95" spans="1:7" ht="90" customHeight="1">
      <c r="A95" s="4" t="s">
        <v>3773</v>
      </c>
      <c r="B95" s="5" t="s">
        <v>3774</v>
      </c>
      <c r="C95" s="5"/>
      <c r="D95" s="5"/>
      <c r="E95" s="5"/>
      <c r="F95" s="5"/>
      <c r="G95" s="5"/>
    </row>
    <row r="96" spans="1:7" ht="105" customHeight="1">
      <c r="A96" s="4" t="s">
        <v>3773</v>
      </c>
      <c r="B96" s="5" t="s">
        <v>3775</v>
      </c>
      <c r="C96" s="5"/>
      <c r="D96" s="5"/>
      <c r="E96" s="5"/>
      <c r="F96" s="5"/>
      <c r="G96" s="5"/>
    </row>
    <row r="97" spans="1:7" ht="120" customHeight="1">
      <c r="A97" s="4" t="s">
        <v>3773</v>
      </c>
      <c r="B97" s="5" t="s">
        <v>3776</v>
      </c>
      <c r="C97" s="5"/>
      <c r="D97" s="5"/>
      <c r="E97" s="5"/>
      <c r="F97" s="5"/>
      <c r="G97" s="5"/>
    </row>
    <row r="98" spans="1:7" ht="60" customHeight="1">
      <c r="A98" s="4" t="s">
        <v>3777</v>
      </c>
      <c r="B98" s="5" t="s">
        <v>3778</v>
      </c>
      <c r="C98" s="5"/>
      <c r="D98" s="5"/>
      <c r="E98" s="5"/>
      <c r="F98" s="5"/>
      <c r="G98" s="5"/>
    </row>
    <row r="99" spans="1:7" ht="210" customHeight="1">
      <c r="A99" s="4" t="s">
        <v>3779</v>
      </c>
      <c r="B99" s="5" t="s">
        <v>3780</v>
      </c>
      <c r="C99" s="5"/>
      <c r="D99" s="5"/>
      <c r="E99" s="5"/>
      <c r="F99" s="5"/>
      <c r="G99" s="5"/>
    </row>
    <row r="100" spans="1:7" ht="90" customHeight="1">
      <c r="A100" s="4" t="s">
        <v>3781</v>
      </c>
      <c r="B100" s="5" t="s">
        <v>3782</v>
      </c>
      <c r="C100" s="5"/>
      <c r="D100" s="5"/>
      <c r="E100" s="5"/>
      <c r="F100" s="5"/>
      <c r="G100" s="5"/>
    </row>
    <row r="101" spans="1:7" ht="90" customHeight="1">
      <c r="A101" s="4" t="s">
        <v>3781</v>
      </c>
      <c r="B101" s="5" t="s">
        <v>3783</v>
      </c>
      <c r="C101" s="5"/>
      <c r="D101" s="5"/>
      <c r="E101" s="5"/>
      <c r="F101" s="5"/>
      <c r="G101" s="5"/>
    </row>
    <row r="102" spans="1:7" ht="120" customHeight="1">
      <c r="A102" s="4" t="s">
        <v>3781</v>
      </c>
      <c r="B102" s="5" t="s">
        <v>3784</v>
      </c>
      <c r="C102" s="5"/>
      <c r="D102" s="5"/>
      <c r="E102" s="5"/>
      <c r="F102" s="5"/>
      <c r="G102" s="5"/>
    </row>
    <row r="103" spans="1:7" ht="120" customHeight="1">
      <c r="A103" s="4" t="s">
        <v>3781</v>
      </c>
      <c r="B103" s="5" t="s">
        <v>3785</v>
      </c>
      <c r="C103" s="5"/>
      <c r="D103" s="5"/>
      <c r="E103" s="5"/>
      <c r="F103" s="5"/>
      <c r="G103" s="5"/>
    </row>
    <row r="104" spans="1:7" ht="120" customHeight="1">
      <c r="A104" s="4" t="s">
        <v>3777</v>
      </c>
      <c r="B104" s="5" t="s">
        <v>3786</v>
      </c>
      <c r="C104" s="5"/>
      <c r="D104" s="5"/>
      <c r="E104" s="5"/>
      <c r="F104" s="5"/>
      <c r="G104" s="5"/>
    </row>
    <row r="105" spans="1:7" ht="120" customHeight="1">
      <c r="A105" s="4" t="s">
        <v>3777</v>
      </c>
      <c r="B105" s="5" t="s">
        <v>3787</v>
      </c>
      <c r="C105" s="5"/>
      <c r="D105" s="5"/>
      <c r="E105" s="5"/>
      <c r="F105" s="5"/>
      <c r="G105" s="5"/>
    </row>
    <row r="106" spans="1:7" ht="60" customHeight="1">
      <c r="A106" s="4" t="s">
        <v>3777</v>
      </c>
      <c r="B106" s="5" t="s">
        <v>3788</v>
      </c>
      <c r="C106" s="5"/>
      <c r="D106" s="5"/>
      <c r="E106" s="5"/>
      <c r="F106" s="5"/>
      <c r="G106" s="5"/>
    </row>
    <row r="108" spans="1:7">
      <c r="A108" s="3" t="s">
        <v>3789</v>
      </c>
      <c r="B108" s="3"/>
      <c r="C108" s="3"/>
      <c r="D108" s="3"/>
      <c r="E108" s="3"/>
      <c r="F108" s="3"/>
      <c r="G108" s="3"/>
    </row>
    <row r="109" spans="1:7" ht="30" customHeight="1">
      <c r="A109" s="13" t="s">
        <v>3790</v>
      </c>
      <c r="B109" s="13"/>
      <c r="C109" s="13"/>
      <c r="D109" s="13"/>
      <c r="E109" s="13"/>
      <c r="F109" s="13"/>
      <c r="G109" s="13"/>
    </row>
    <row r="110" spans="1:7" ht="30" customHeight="1">
      <c r="A110" s="13" t="s">
        <v>3791</v>
      </c>
      <c r="B110" s="13"/>
      <c r="C110" s="13"/>
      <c r="D110" s="13"/>
      <c r="E110" s="13"/>
      <c r="F110" s="13"/>
      <c r="G110" s="13"/>
    </row>
    <row r="111" spans="1:7" ht="30" customHeight="1">
      <c r="A111" s="13" t="s">
        <v>3792</v>
      </c>
      <c r="B111" s="13"/>
      <c r="C111" s="13"/>
      <c r="D111" s="13"/>
      <c r="E111" s="13"/>
      <c r="F111" s="13"/>
      <c r="G111" s="13"/>
    </row>
    <row r="112" spans="1:7" ht="30" customHeight="1">
      <c r="A112" s="13" t="s">
        <v>3793</v>
      </c>
      <c r="B112" s="13"/>
      <c r="C112" s="13"/>
      <c r="D112" s="13"/>
      <c r="E112" s="13"/>
      <c r="F112" s="13"/>
      <c r="G112" s="13"/>
    </row>
    <row r="113" spans="1:7" ht="30" customHeight="1">
      <c r="A113" s="13" t="s">
        <v>3794</v>
      </c>
      <c r="B113" s="13"/>
      <c r="C113" s="13"/>
      <c r="D113" s="13"/>
      <c r="E113" s="13"/>
      <c r="F113" s="13"/>
      <c r="G113" s="13"/>
    </row>
  </sheetData>
  <mergeCells count="69">
    <mergeCell ref="A4:G4"/>
    <mergeCell ref="B5:G5"/>
    <mergeCell ref="B6:G6"/>
    <mergeCell ref="B7:G7"/>
    <mergeCell ref="B8:G8"/>
    <mergeCell ref="B9:G9"/>
    <mergeCell ref="B10:G10"/>
    <mergeCell ref="B11:G11"/>
    <mergeCell ref="B12:G12"/>
    <mergeCell ref="B13:G13"/>
    <mergeCell ref="B14:G14"/>
    <mergeCell ref="B15:G15"/>
    <mergeCell ref="B16:G16"/>
    <mergeCell ref="B17:G17"/>
    <mergeCell ref="B18:G18"/>
    <mergeCell ref="A20:G20"/>
    <mergeCell ref="A35:G35"/>
    <mergeCell ref="A44:G44"/>
    <mergeCell ref="A56:G56"/>
    <mergeCell ref="A63:G63"/>
    <mergeCell ref="B64:G64"/>
    <mergeCell ref="B65:G65"/>
    <mergeCell ref="B66:G66"/>
    <mergeCell ref="B67:G67"/>
    <mergeCell ref="B68:G68"/>
    <mergeCell ref="B69:G69"/>
    <mergeCell ref="B70:G70"/>
    <mergeCell ref="B71:G71"/>
    <mergeCell ref="B72:G72"/>
    <mergeCell ref="B73:G73"/>
    <mergeCell ref="B74:G74"/>
    <mergeCell ref="B75:G75"/>
    <mergeCell ref="B76:G76"/>
    <mergeCell ref="B77:G77"/>
    <mergeCell ref="B78:G78"/>
    <mergeCell ref="B79:G79"/>
    <mergeCell ref="B80:G80"/>
    <mergeCell ref="B81:G81"/>
    <mergeCell ref="B82:G82"/>
    <mergeCell ref="B83:G83"/>
    <mergeCell ref="B84:G84"/>
    <mergeCell ref="B85:G85"/>
    <mergeCell ref="B86:G86"/>
    <mergeCell ref="B87:G87"/>
    <mergeCell ref="B88:G88"/>
    <mergeCell ref="B89:G89"/>
    <mergeCell ref="B90:G90"/>
    <mergeCell ref="B91:G91"/>
    <mergeCell ref="B92:G92"/>
    <mergeCell ref="B93:G93"/>
    <mergeCell ref="B94:G94"/>
    <mergeCell ref="B95:G95"/>
    <mergeCell ref="B96:G96"/>
    <mergeCell ref="B97:G97"/>
    <mergeCell ref="B98:G98"/>
    <mergeCell ref="B99:G99"/>
    <mergeCell ref="B100:G100"/>
    <mergeCell ref="B101:G101"/>
    <mergeCell ref="B102:G102"/>
    <mergeCell ref="B103:G103"/>
    <mergeCell ref="B104:G104"/>
    <mergeCell ref="B105:G105"/>
    <mergeCell ref="B106:G106"/>
    <mergeCell ref="A108:G108"/>
    <mergeCell ref="A109:G109"/>
    <mergeCell ref="A110:G110"/>
    <mergeCell ref="A111:G111"/>
    <mergeCell ref="A112:G112"/>
    <mergeCell ref="A113:G113"/>
  </mergeCells>
  <hyperlinks>
    <hyperlink ref="B6" r:id="rId1"/>
  </hyperlinks>
  <pageMargins left="0.7" right="0.7" top="0.75" bottom="0.75" header="0.3" footer="0.3"/>
  <pageSetup paperSize="9" fitToHeight="0" orientation="landscape"/>
</worksheet>
</file>

<file path=xl/worksheets/sheet2.xml><?xml version="1.0" encoding="utf-8"?>
<worksheet xmlns="http://schemas.openxmlformats.org/spreadsheetml/2006/main" xmlns:r="http://schemas.openxmlformats.org/officeDocument/2006/relationships">
  <sheetPr>
    <pageSetUpPr fitToPage="1"/>
  </sheetPr>
  <dimension ref="A1:AC163"/>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10.7109375" customWidth="1"/>
    <col min="3" max="3" width="14.7109375" customWidth="1"/>
    <col min="4" max="5" width="16.7109375" customWidth="1"/>
    <col min="6" max="6" width="20.7109375" customWidth="1"/>
    <col min="7" max="7" width="18.7109375" customWidth="1"/>
    <col min="8" max="8" width="45.7109375" customWidth="1"/>
    <col min="9" max="9" width="55.7109375" customWidth="1"/>
    <col min="10" max="10" width="28.7109375" customWidth="1"/>
    <col min="11" max="12" width="40.7109375" customWidth="1"/>
    <col min="13" max="13" width="45.7109375" customWidth="1"/>
    <col min="14" max="14" width="28.7109375" customWidth="1"/>
    <col min="15" max="15" width="15.7109375" customWidth="1"/>
    <col min="16" max="16" width="20.7109375" customWidth="1"/>
    <col min="17" max="17" width="15.7109375" customWidth="1"/>
    <col min="18" max="18" width="14.7109375" customWidth="1"/>
    <col min="19" max="19" width="10.7109375" customWidth="1"/>
    <col min="20" max="20" width="12.7109375" customWidth="1"/>
    <col min="21" max="21" width="6.7109375" customWidth="1"/>
    <col min="22" max="22" width="10.7109375" customWidth="1"/>
    <col min="23" max="23" width="26.7109375" customWidth="1"/>
    <col min="24" max="24" width="13.7109375" customWidth="1"/>
    <col min="25" max="25" width="32.7109375" customWidth="1"/>
    <col min="26" max="27" width="14.7109375" customWidth="1"/>
    <col min="28" max="28" width="36.7109375" customWidth="1"/>
    <col min="29" max="29" width="13.7109375" customWidth="1"/>
  </cols>
  <sheetData>
    <row r="1" spans="1:29" ht="30" customHeight="1">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c r="W1" s="12" t="s">
        <v>22</v>
      </c>
      <c r="X1" s="12" t="s">
        <v>23</v>
      </c>
      <c r="Y1" s="12" t="s">
        <v>24</v>
      </c>
      <c r="Z1" s="14" t="s">
        <v>25</v>
      </c>
      <c r="AA1" s="14" t="s">
        <v>26</v>
      </c>
      <c r="AB1" s="14" t="s">
        <v>27</v>
      </c>
      <c r="AC1" s="14" t="s">
        <v>28</v>
      </c>
    </row>
    <row r="2" spans="1:29">
      <c r="A2" s="5" t="s">
        <v>29</v>
      </c>
      <c r="B2" s="9" t="s">
        <v>30</v>
      </c>
      <c r="C2" s="5" t="s">
        <v>31</v>
      </c>
      <c r="D2" s="5" t="s">
        <v>32</v>
      </c>
      <c r="E2" s="5" t="s">
        <v>33</v>
      </c>
      <c r="F2" s="5" t="s">
        <v>34</v>
      </c>
      <c r="G2" s="5" t="s">
        <v>35</v>
      </c>
      <c r="H2" s="5" t="s">
        <v>36</v>
      </c>
      <c r="I2" s="5" t="s">
        <v>37</v>
      </c>
      <c r="J2" s="5" t="s">
        <v>38</v>
      </c>
      <c r="K2" s="5" t="s">
        <v>39</v>
      </c>
      <c r="L2" s="5" t="s">
        <v>40</v>
      </c>
      <c r="M2" s="5" t="s">
        <v>41</v>
      </c>
      <c r="N2" s="5" t="s">
        <v>42</v>
      </c>
      <c r="O2" s="5" t="s">
        <v>43</v>
      </c>
      <c r="P2" s="5" t="s">
        <v>44</v>
      </c>
      <c r="Q2" s="5"/>
      <c r="R2" s="5" t="s">
        <v>45</v>
      </c>
      <c r="S2" s="5"/>
      <c r="T2" s="5" t="s">
        <v>46</v>
      </c>
      <c r="U2" s="5" t="s">
        <v>47</v>
      </c>
      <c r="V2" s="5" t="s">
        <v>48</v>
      </c>
      <c r="W2" s="5"/>
      <c r="X2" s="5" t="s">
        <v>49</v>
      </c>
      <c r="Y2" s="5" t="s">
        <v>50</v>
      </c>
      <c r="Z2" s="15" t="s">
        <v>51</v>
      </c>
      <c r="AA2" s="15"/>
      <c r="AB2" s="15" t="s">
        <v>52</v>
      </c>
      <c r="AC2" s="15" t="s">
        <v>53</v>
      </c>
    </row>
    <row r="3" spans="1:29">
      <c r="A3" s="5" t="s">
        <v>54</v>
      </c>
      <c r="B3" s="9" t="s">
        <v>30</v>
      </c>
      <c r="C3" s="5" t="s">
        <v>55</v>
      </c>
      <c r="D3" s="5" t="s">
        <v>32</v>
      </c>
      <c r="E3" s="5" t="s">
        <v>33</v>
      </c>
      <c r="F3" s="5" t="s">
        <v>34</v>
      </c>
      <c r="G3" s="5" t="s">
        <v>56</v>
      </c>
      <c r="H3" s="5" t="s">
        <v>57</v>
      </c>
      <c r="I3" s="5" t="s">
        <v>58</v>
      </c>
      <c r="J3" s="5" t="s">
        <v>59</v>
      </c>
      <c r="K3" s="5" t="s">
        <v>60</v>
      </c>
      <c r="L3" s="5" t="s">
        <v>61</v>
      </c>
      <c r="M3" s="5" t="s">
        <v>62</v>
      </c>
      <c r="N3" s="5" t="s">
        <v>42</v>
      </c>
      <c r="O3" s="5" t="s">
        <v>63</v>
      </c>
      <c r="P3" s="5" t="s">
        <v>64</v>
      </c>
      <c r="Q3" s="5"/>
      <c r="R3" s="5" t="s">
        <v>45</v>
      </c>
      <c r="S3" s="5"/>
      <c r="T3" s="5" t="s">
        <v>46</v>
      </c>
      <c r="U3" s="5" t="s">
        <v>47</v>
      </c>
      <c r="V3" s="5" t="s">
        <v>48</v>
      </c>
      <c r="W3" s="5"/>
      <c r="X3" s="5" t="s">
        <v>49</v>
      </c>
      <c r="Y3" s="5" t="s">
        <v>65</v>
      </c>
      <c r="Z3" s="15" t="s">
        <v>66</v>
      </c>
      <c r="AA3" s="15"/>
      <c r="AB3" s="15"/>
      <c r="AC3" s="15"/>
    </row>
    <row r="4" spans="1:29">
      <c r="A4" s="5" t="s">
        <v>67</v>
      </c>
      <c r="B4" s="10" t="s">
        <v>68</v>
      </c>
      <c r="C4" s="5" t="s">
        <v>31</v>
      </c>
      <c r="D4" s="5" t="s">
        <v>32</v>
      </c>
      <c r="E4" s="5" t="s">
        <v>33</v>
      </c>
      <c r="F4" s="5" t="s">
        <v>34</v>
      </c>
      <c r="G4" s="5" t="s">
        <v>69</v>
      </c>
      <c r="H4" s="5" t="s">
        <v>70</v>
      </c>
      <c r="I4" s="5" t="s">
        <v>71</v>
      </c>
      <c r="J4" s="5" t="s">
        <v>72</v>
      </c>
      <c r="K4" s="5" t="s">
        <v>73</v>
      </c>
      <c r="L4" s="5" t="s">
        <v>74</v>
      </c>
      <c r="M4" s="5" t="s">
        <v>75</v>
      </c>
      <c r="N4" s="5" t="s">
        <v>42</v>
      </c>
      <c r="O4" s="5" t="s">
        <v>76</v>
      </c>
      <c r="P4" s="5" t="s">
        <v>77</v>
      </c>
      <c r="Q4" s="5"/>
      <c r="R4" s="5" t="s">
        <v>45</v>
      </c>
      <c r="S4" s="5"/>
      <c r="T4" s="5" t="s">
        <v>46</v>
      </c>
      <c r="U4" s="5" t="s">
        <v>47</v>
      </c>
      <c r="V4" s="5" t="s">
        <v>48</v>
      </c>
      <c r="W4" s="5"/>
      <c r="X4" s="5" t="s">
        <v>49</v>
      </c>
      <c r="Y4" s="5" t="s">
        <v>78</v>
      </c>
      <c r="Z4" s="15" t="s">
        <v>66</v>
      </c>
      <c r="AA4" s="15"/>
      <c r="AB4" s="15"/>
      <c r="AC4" s="15"/>
    </row>
    <row r="5" spans="1:29">
      <c r="A5" s="5" t="s">
        <v>79</v>
      </c>
      <c r="B5" s="10" t="s">
        <v>68</v>
      </c>
      <c r="C5" s="5" t="s">
        <v>55</v>
      </c>
      <c r="D5" s="5" t="s">
        <v>32</v>
      </c>
      <c r="E5" s="5" t="s">
        <v>33</v>
      </c>
      <c r="F5" s="5" t="s">
        <v>34</v>
      </c>
      <c r="G5" s="5" t="s">
        <v>80</v>
      </c>
      <c r="H5" s="5" t="s">
        <v>81</v>
      </c>
      <c r="I5" s="5" t="s">
        <v>82</v>
      </c>
      <c r="J5" s="5" t="s">
        <v>83</v>
      </c>
      <c r="K5" s="5" t="s">
        <v>84</v>
      </c>
      <c r="L5" s="5" t="s">
        <v>85</v>
      </c>
      <c r="M5" s="5" t="s">
        <v>86</v>
      </c>
      <c r="N5" s="5" t="s">
        <v>42</v>
      </c>
      <c r="O5" s="5" t="s">
        <v>87</v>
      </c>
      <c r="P5" s="5" t="s">
        <v>88</v>
      </c>
      <c r="Q5" s="5"/>
      <c r="R5" s="5" t="s">
        <v>45</v>
      </c>
      <c r="S5" s="5"/>
      <c r="T5" s="5" t="s">
        <v>46</v>
      </c>
      <c r="U5" s="5" t="s">
        <v>47</v>
      </c>
      <c r="V5" s="5" t="s">
        <v>48</v>
      </c>
      <c r="W5" s="5"/>
      <c r="X5" s="5" t="s">
        <v>49</v>
      </c>
      <c r="Y5" s="5" t="s">
        <v>89</v>
      </c>
      <c r="Z5" s="15" t="s">
        <v>66</v>
      </c>
      <c r="AA5" s="15"/>
      <c r="AB5" s="15"/>
      <c r="AC5" s="15"/>
    </row>
    <row r="6" spans="1:29">
      <c r="A6" s="5" t="s">
        <v>90</v>
      </c>
      <c r="B6" s="10" t="s">
        <v>68</v>
      </c>
      <c r="C6" s="5" t="s">
        <v>91</v>
      </c>
      <c r="D6" s="5" t="s">
        <v>32</v>
      </c>
      <c r="E6" s="5" t="s">
        <v>33</v>
      </c>
      <c r="F6" s="5" t="s">
        <v>34</v>
      </c>
      <c r="G6" s="5" t="s">
        <v>92</v>
      </c>
      <c r="H6" s="5" t="s">
        <v>93</v>
      </c>
      <c r="I6" s="5" t="s">
        <v>94</v>
      </c>
      <c r="J6" s="5" t="s">
        <v>95</v>
      </c>
      <c r="K6" s="5" t="s">
        <v>96</v>
      </c>
      <c r="L6" s="5" t="s">
        <v>97</v>
      </c>
      <c r="M6" s="5" t="s">
        <v>98</v>
      </c>
      <c r="N6" s="5" t="s">
        <v>42</v>
      </c>
      <c r="O6" s="5" t="s">
        <v>99</v>
      </c>
      <c r="P6" s="5" t="s">
        <v>100</v>
      </c>
      <c r="Q6" s="5"/>
      <c r="R6" s="5" t="s">
        <v>45</v>
      </c>
      <c r="S6" s="5"/>
      <c r="T6" s="5" t="s">
        <v>46</v>
      </c>
      <c r="U6" s="5" t="s">
        <v>47</v>
      </c>
      <c r="V6" s="5" t="s">
        <v>48</v>
      </c>
      <c r="W6" s="5"/>
      <c r="X6" s="5" t="s">
        <v>49</v>
      </c>
      <c r="Y6" s="5" t="s">
        <v>101</v>
      </c>
      <c r="Z6" s="15" t="s">
        <v>66</v>
      </c>
      <c r="AA6" s="15"/>
      <c r="AB6" s="15"/>
      <c r="AC6" s="15"/>
    </row>
    <row r="7" spans="1:29">
      <c r="A7" s="5" t="s">
        <v>102</v>
      </c>
      <c r="B7" s="10" t="s">
        <v>68</v>
      </c>
      <c r="C7" s="5" t="s">
        <v>55</v>
      </c>
      <c r="D7" s="5" t="s">
        <v>32</v>
      </c>
      <c r="E7" s="5" t="s">
        <v>33</v>
      </c>
      <c r="F7" s="5" t="s">
        <v>34</v>
      </c>
      <c r="G7" s="5" t="s">
        <v>103</v>
      </c>
      <c r="H7" s="5" t="s">
        <v>104</v>
      </c>
      <c r="I7" s="5" t="s">
        <v>105</v>
      </c>
      <c r="J7" s="5" t="s">
        <v>106</v>
      </c>
      <c r="K7" s="5" t="s">
        <v>107</v>
      </c>
      <c r="L7" s="5" t="s">
        <v>108</v>
      </c>
      <c r="M7" s="5" t="s">
        <v>109</v>
      </c>
      <c r="N7" s="5" t="s">
        <v>42</v>
      </c>
      <c r="O7" s="5" t="s">
        <v>110</v>
      </c>
      <c r="P7" s="5" t="s">
        <v>111</v>
      </c>
      <c r="Q7" s="5"/>
      <c r="R7" s="5" t="s">
        <v>45</v>
      </c>
      <c r="S7" s="5"/>
      <c r="T7" s="5" t="s">
        <v>46</v>
      </c>
      <c r="U7" s="5" t="s">
        <v>47</v>
      </c>
      <c r="V7" s="5" t="s">
        <v>48</v>
      </c>
      <c r="W7" s="5"/>
      <c r="X7" s="5" t="s">
        <v>49</v>
      </c>
      <c r="Y7" s="5" t="s">
        <v>112</v>
      </c>
      <c r="Z7" s="15" t="s">
        <v>66</v>
      </c>
      <c r="AA7" s="15"/>
      <c r="AB7" s="15"/>
      <c r="AC7" s="15"/>
    </row>
    <row r="8" spans="1:29">
      <c r="A8" s="5" t="s">
        <v>113</v>
      </c>
      <c r="B8" s="10" t="s">
        <v>68</v>
      </c>
      <c r="C8" s="5" t="s">
        <v>55</v>
      </c>
      <c r="D8" s="5" t="s">
        <v>32</v>
      </c>
      <c r="E8" s="5" t="s">
        <v>114</v>
      </c>
      <c r="F8" s="5" t="s">
        <v>115</v>
      </c>
      <c r="G8" s="5" t="s">
        <v>116</v>
      </c>
      <c r="H8" s="5" t="s">
        <v>117</v>
      </c>
      <c r="I8" s="5" t="s">
        <v>118</v>
      </c>
      <c r="J8" s="5" t="s">
        <v>119</v>
      </c>
      <c r="K8" s="5" t="s">
        <v>120</v>
      </c>
      <c r="L8" s="5" t="s">
        <v>121</v>
      </c>
      <c r="M8" s="5" t="s">
        <v>122</v>
      </c>
      <c r="N8" s="5" t="s">
        <v>123</v>
      </c>
      <c r="O8" s="5" t="s">
        <v>124</v>
      </c>
      <c r="P8" s="5" t="s">
        <v>125</v>
      </c>
      <c r="Q8" s="5"/>
      <c r="R8" s="5" t="s">
        <v>45</v>
      </c>
      <c r="S8" s="5"/>
      <c r="T8" s="5" t="s">
        <v>46</v>
      </c>
      <c r="U8" s="5" t="s">
        <v>47</v>
      </c>
      <c r="V8" s="5" t="s">
        <v>126</v>
      </c>
      <c r="W8" s="5" t="s">
        <v>127</v>
      </c>
      <c r="X8" s="5" t="s">
        <v>128</v>
      </c>
      <c r="Y8" s="5" t="s">
        <v>129</v>
      </c>
      <c r="Z8" s="15" t="s">
        <v>130</v>
      </c>
      <c r="AA8" s="15"/>
      <c r="AB8" s="15" t="s">
        <v>131</v>
      </c>
      <c r="AC8" s="15" t="s">
        <v>53</v>
      </c>
    </row>
    <row r="9" spans="1:29">
      <c r="A9" s="5" t="s">
        <v>132</v>
      </c>
      <c r="B9" s="11" t="s">
        <v>133</v>
      </c>
      <c r="C9" s="5" t="s">
        <v>91</v>
      </c>
      <c r="D9" s="5" t="s">
        <v>32</v>
      </c>
      <c r="E9" s="5" t="s">
        <v>33</v>
      </c>
      <c r="F9" s="5" t="s">
        <v>34</v>
      </c>
      <c r="G9" s="5" t="s">
        <v>134</v>
      </c>
      <c r="H9" s="5" t="s">
        <v>135</v>
      </c>
      <c r="I9" s="5" t="s">
        <v>136</v>
      </c>
      <c r="J9" s="5" t="s">
        <v>137</v>
      </c>
      <c r="K9" s="5" t="s">
        <v>138</v>
      </c>
      <c r="L9" s="5" t="s">
        <v>139</v>
      </c>
      <c r="M9" s="5"/>
      <c r="N9" s="5" t="s">
        <v>42</v>
      </c>
      <c r="O9" s="5" t="s">
        <v>99</v>
      </c>
      <c r="P9" s="5" t="s">
        <v>140</v>
      </c>
      <c r="Q9" s="5"/>
      <c r="R9" s="5" t="s">
        <v>45</v>
      </c>
      <c r="S9" s="5"/>
      <c r="T9" s="5" t="s">
        <v>46</v>
      </c>
      <c r="U9" s="5" t="s">
        <v>47</v>
      </c>
      <c r="V9" s="5" t="s">
        <v>48</v>
      </c>
      <c r="W9" s="5"/>
      <c r="X9" s="5" t="s">
        <v>49</v>
      </c>
      <c r="Y9" s="5" t="s">
        <v>141</v>
      </c>
      <c r="Z9" s="15" t="s">
        <v>66</v>
      </c>
      <c r="AA9" s="15"/>
      <c r="AB9" s="15"/>
      <c r="AC9" s="15"/>
    </row>
    <row r="10" spans="1:29">
      <c r="A10" s="5" t="s">
        <v>142</v>
      </c>
      <c r="B10" s="11" t="s">
        <v>133</v>
      </c>
      <c r="C10" s="5" t="s">
        <v>143</v>
      </c>
      <c r="D10" s="5" t="s">
        <v>32</v>
      </c>
      <c r="E10" s="5" t="s">
        <v>33</v>
      </c>
      <c r="F10" s="5" t="s">
        <v>34</v>
      </c>
      <c r="G10" s="5" t="s">
        <v>80</v>
      </c>
      <c r="H10" s="5" t="s">
        <v>144</v>
      </c>
      <c r="I10" s="5" t="s">
        <v>145</v>
      </c>
      <c r="J10" s="5" t="s">
        <v>146</v>
      </c>
      <c r="K10" s="5" t="s">
        <v>147</v>
      </c>
      <c r="L10" s="5" t="s">
        <v>148</v>
      </c>
      <c r="M10" s="5"/>
      <c r="N10" s="5" t="s">
        <v>42</v>
      </c>
      <c r="O10" s="5" t="s">
        <v>99</v>
      </c>
      <c r="P10" s="5" t="s">
        <v>149</v>
      </c>
      <c r="Q10" s="5"/>
      <c r="R10" s="5" t="s">
        <v>45</v>
      </c>
      <c r="S10" s="5"/>
      <c r="T10" s="5" t="s">
        <v>150</v>
      </c>
      <c r="U10" s="5" t="s">
        <v>47</v>
      </c>
      <c r="V10" s="5" t="s">
        <v>48</v>
      </c>
      <c r="W10" s="5"/>
      <c r="X10" s="5" t="s">
        <v>49</v>
      </c>
      <c r="Y10" s="5" t="s">
        <v>151</v>
      </c>
      <c r="Z10" s="15" t="s">
        <v>66</v>
      </c>
      <c r="AA10" s="15"/>
      <c r="AB10" s="15"/>
      <c r="AC10" s="15"/>
    </row>
    <row r="11" spans="1:29">
      <c r="A11" s="5" t="s">
        <v>152</v>
      </c>
      <c r="B11" s="11" t="s">
        <v>133</v>
      </c>
      <c r="C11" s="5" t="s">
        <v>143</v>
      </c>
      <c r="D11" s="5" t="s">
        <v>32</v>
      </c>
      <c r="E11" s="5" t="s">
        <v>33</v>
      </c>
      <c r="F11" s="5" t="s">
        <v>34</v>
      </c>
      <c r="G11" s="5" t="s">
        <v>153</v>
      </c>
      <c r="H11" s="5" t="s">
        <v>154</v>
      </c>
      <c r="I11" s="5" t="s">
        <v>155</v>
      </c>
      <c r="J11" s="5" t="s">
        <v>156</v>
      </c>
      <c r="K11" s="5" t="s">
        <v>157</v>
      </c>
      <c r="L11" s="5" t="s">
        <v>158</v>
      </c>
      <c r="M11" s="5"/>
      <c r="N11" s="5" t="s">
        <v>42</v>
      </c>
      <c r="O11" s="5" t="s">
        <v>99</v>
      </c>
      <c r="P11" s="5" t="s">
        <v>159</v>
      </c>
      <c r="Q11" s="5"/>
      <c r="R11" s="5" t="s">
        <v>45</v>
      </c>
      <c r="S11" s="5"/>
      <c r="T11" s="5" t="s">
        <v>150</v>
      </c>
      <c r="U11" s="5" t="s">
        <v>47</v>
      </c>
      <c r="V11" s="5" t="s">
        <v>48</v>
      </c>
      <c r="W11" s="5"/>
      <c r="X11" s="5" t="s">
        <v>49</v>
      </c>
      <c r="Y11" s="5" t="s">
        <v>160</v>
      </c>
      <c r="Z11" s="15" t="s">
        <v>66</v>
      </c>
      <c r="AA11" s="15"/>
      <c r="AB11" s="15"/>
      <c r="AC11" s="15"/>
    </row>
    <row r="12" spans="1:29">
      <c r="A12" s="5" t="s">
        <v>161</v>
      </c>
      <c r="B12" s="11" t="s">
        <v>133</v>
      </c>
      <c r="C12" s="5" t="s">
        <v>91</v>
      </c>
      <c r="D12" s="5" t="s">
        <v>32</v>
      </c>
      <c r="E12" s="5" t="s">
        <v>33</v>
      </c>
      <c r="F12" s="5" t="s">
        <v>34</v>
      </c>
      <c r="G12" s="5" t="s">
        <v>162</v>
      </c>
      <c r="H12" s="5" t="s">
        <v>163</v>
      </c>
      <c r="I12" s="5" t="s">
        <v>164</v>
      </c>
      <c r="J12" s="5" t="s">
        <v>165</v>
      </c>
      <c r="K12" s="5" t="s">
        <v>166</v>
      </c>
      <c r="L12" s="5" t="s">
        <v>167</v>
      </c>
      <c r="M12" s="5"/>
      <c r="N12" s="5" t="s">
        <v>42</v>
      </c>
      <c r="O12" s="5" t="s">
        <v>168</v>
      </c>
      <c r="P12" s="5" t="s">
        <v>169</v>
      </c>
      <c r="Q12" s="5"/>
      <c r="R12" s="5" t="s">
        <v>45</v>
      </c>
      <c r="S12" s="5"/>
      <c r="T12" s="5" t="s">
        <v>46</v>
      </c>
      <c r="U12" s="5" t="s">
        <v>47</v>
      </c>
      <c r="V12" s="5" t="s">
        <v>48</v>
      </c>
      <c r="W12" s="5"/>
      <c r="X12" s="5" t="s">
        <v>49</v>
      </c>
      <c r="Y12" s="5" t="s">
        <v>170</v>
      </c>
      <c r="Z12" s="15" t="s">
        <v>66</v>
      </c>
      <c r="AA12" s="15"/>
      <c r="AB12" s="15"/>
      <c r="AC12" s="15"/>
    </row>
    <row r="13" spans="1:29">
      <c r="A13" s="5" t="s">
        <v>171</v>
      </c>
      <c r="B13" s="11" t="s">
        <v>133</v>
      </c>
      <c r="C13" s="5" t="s">
        <v>143</v>
      </c>
      <c r="D13" s="5" t="s">
        <v>32</v>
      </c>
      <c r="E13" s="5" t="s">
        <v>33</v>
      </c>
      <c r="F13" s="5" t="s">
        <v>34</v>
      </c>
      <c r="G13" s="5" t="s">
        <v>172</v>
      </c>
      <c r="H13" s="5" t="s">
        <v>173</v>
      </c>
      <c r="I13" s="5" t="s">
        <v>174</v>
      </c>
      <c r="J13" s="5" t="s">
        <v>175</v>
      </c>
      <c r="K13" s="5" t="s">
        <v>176</v>
      </c>
      <c r="L13" s="5" t="s">
        <v>177</v>
      </c>
      <c r="M13" s="5"/>
      <c r="N13" s="5" t="s">
        <v>42</v>
      </c>
      <c r="O13" s="5" t="s">
        <v>99</v>
      </c>
      <c r="P13" s="5" t="s">
        <v>178</v>
      </c>
      <c r="Q13" s="5"/>
      <c r="R13" s="5" t="s">
        <v>45</v>
      </c>
      <c r="S13" s="5"/>
      <c r="T13" s="5" t="s">
        <v>46</v>
      </c>
      <c r="U13" s="5" t="s">
        <v>47</v>
      </c>
      <c r="V13" s="5" t="s">
        <v>48</v>
      </c>
      <c r="W13" s="5"/>
      <c r="X13" s="5" t="s">
        <v>49</v>
      </c>
      <c r="Y13" s="5" t="s">
        <v>179</v>
      </c>
      <c r="Z13" s="15" t="s">
        <v>51</v>
      </c>
      <c r="AA13" s="15"/>
      <c r="AB13" s="15" t="s">
        <v>180</v>
      </c>
      <c r="AC13" s="15" t="s">
        <v>53</v>
      </c>
    </row>
    <row r="14" spans="1:29">
      <c r="A14" s="5" t="s">
        <v>181</v>
      </c>
      <c r="B14" s="11" t="s">
        <v>133</v>
      </c>
      <c r="C14" s="5" t="s">
        <v>91</v>
      </c>
      <c r="D14" s="5" t="s">
        <v>32</v>
      </c>
      <c r="E14" s="5" t="s">
        <v>33</v>
      </c>
      <c r="F14" s="5" t="s">
        <v>34</v>
      </c>
      <c r="G14" s="5" t="s">
        <v>182</v>
      </c>
      <c r="H14" s="5" t="s">
        <v>183</v>
      </c>
      <c r="I14" s="5" t="s">
        <v>184</v>
      </c>
      <c r="J14" s="5" t="s">
        <v>185</v>
      </c>
      <c r="K14" s="5" t="s">
        <v>186</v>
      </c>
      <c r="L14" s="5" t="s">
        <v>187</v>
      </c>
      <c r="M14" s="5"/>
      <c r="N14" s="5" t="s">
        <v>42</v>
      </c>
      <c r="O14" s="5" t="s">
        <v>99</v>
      </c>
      <c r="P14" s="5" t="s">
        <v>188</v>
      </c>
      <c r="Q14" s="5"/>
      <c r="R14" s="5" t="s">
        <v>45</v>
      </c>
      <c r="S14" s="5"/>
      <c r="T14" s="5" t="s">
        <v>46</v>
      </c>
      <c r="U14" s="5" t="s">
        <v>47</v>
      </c>
      <c r="V14" s="5" t="s">
        <v>48</v>
      </c>
      <c r="W14" s="5"/>
      <c r="X14" s="5" t="s">
        <v>49</v>
      </c>
      <c r="Y14" s="5" t="s">
        <v>189</v>
      </c>
      <c r="Z14" s="15" t="s">
        <v>66</v>
      </c>
      <c r="AA14" s="15"/>
      <c r="AB14" s="15"/>
      <c r="AC14" s="15"/>
    </row>
    <row r="15" spans="1:29">
      <c r="A15" s="5" t="s">
        <v>190</v>
      </c>
      <c r="B15" s="11" t="s">
        <v>133</v>
      </c>
      <c r="C15" s="5" t="s">
        <v>191</v>
      </c>
      <c r="D15" s="5" t="s">
        <v>32</v>
      </c>
      <c r="E15" s="5" t="s">
        <v>33</v>
      </c>
      <c r="F15" s="5" t="s">
        <v>34</v>
      </c>
      <c r="G15" s="5" t="s">
        <v>192</v>
      </c>
      <c r="H15" s="5" t="s">
        <v>193</v>
      </c>
      <c r="I15" s="5" t="s">
        <v>194</v>
      </c>
      <c r="J15" s="5" t="s">
        <v>195</v>
      </c>
      <c r="K15" s="5" t="s">
        <v>196</v>
      </c>
      <c r="L15" s="5" t="s">
        <v>197</v>
      </c>
      <c r="M15" s="5"/>
      <c r="N15" s="5" t="s">
        <v>42</v>
      </c>
      <c r="O15" s="5" t="s">
        <v>99</v>
      </c>
      <c r="P15" s="5" t="s">
        <v>198</v>
      </c>
      <c r="Q15" s="5"/>
      <c r="R15" s="5" t="s">
        <v>45</v>
      </c>
      <c r="S15" s="5"/>
      <c r="T15" s="5" t="s">
        <v>46</v>
      </c>
      <c r="U15" s="5" t="s">
        <v>47</v>
      </c>
      <c r="V15" s="5" t="s">
        <v>48</v>
      </c>
      <c r="W15" s="5"/>
      <c r="X15" s="5" t="s">
        <v>49</v>
      </c>
      <c r="Y15" s="5" t="s">
        <v>199</v>
      </c>
      <c r="Z15" s="15" t="s">
        <v>66</v>
      </c>
      <c r="AA15" s="15"/>
      <c r="AB15" s="15"/>
      <c r="AC15" s="15"/>
    </row>
    <row r="16" spans="1:29">
      <c r="A16" s="5" t="s">
        <v>200</v>
      </c>
      <c r="B16" s="11" t="s">
        <v>133</v>
      </c>
      <c r="C16" s="5" t="s">
        <v>55</v>
      </c>
      <c r="D16" s="5" t="s">
        <v>32</v>
      </c>
      <c r="E16" s="5" t="s">
        <v>114</v>
      </c>
      <c r="F16" s="5" t="s">
        <v>115</v>
      </c>
      <c r="G16" s="5" t="s">
        <v>116</v>
      </c>
      <c r="H16" s="5" t="s">
        <v>201</v>
      </c>
      <c r="I16" s="5" t="s">
        <v>202</v>
      </c>
      <c r="J16" s="5" t="s">
        <v>203</v>
      </c>
      <c r="K16" s="5" t="s">
        <v>204</v>
      </c>
      <c r="L16" s="5" t="s">
        <v>205</v>
      </c>
      <c r="M16" s="5" t="s">
        <v>206</v>
      </c>
      <c r="N16" s="5" t="s">
        <v>207</v>
      </c>
      <c r="O16" s="5" t="s">
        <v>208</v>
      </c>
      <c r="P16" s="5" t="s">
        <v>209</v>
      </c>
      <c r="Q16" s="5"/>
      <c r="R16" s="5" t="s">
        <v>45</v>
      </c>
      <c r="S16" s="5"/>
      <c r="T16" s="5" t="s">
        <v>150</v>
      </c>
      <c r="U16" s="5" t="s">
        <v>47</v>
      </c>
      <c r="V16" s="5" t="s">
        <v>126</v>
      </c>
      <c r="W16" s="5"/>
      <c r="X16" s="5" t="s">
        <v>49</v>
      </c>
      <c r="Y16" s="5" t="s">
        <v>210</v>
      </c>
      <c r="Z16" s="15" t="s">
        <v>51</v>
      </c>
      <c r="AA16" s="15"/>
      <c r="AB16" s="15" t="s">
        <v>211</v>
      </c>
      <c r="AC16" s="15" t="s">
        <v>53</v>
      </c>
    </row>
    <row r="17" spans="1:29">
      <c r="A17" s="5" t="s">
        <v>212</v>
      </c>
      <c r="B17" s="11" t="s">
        <v>133</v>
      </c>
      <c r="C17" s="5" t="s">
        <v>143</v>
      </c>
      <c r="D17" s="5" t="s">
        <v>32</v>
      </c>
      <c r="E17" s="5" t="s">
        <v>33</v>
      </c>
      <c r="F17" s="5" t="s">
        <v>34</v>
      </c>
      <c r="G17" s="5" t="s">
        <v>213</v>
      </c>
      <c r="H17" s="5" t="s">
        <v>214</v>
      </c>
      <c r="I17" s="5" t="s">
        <v>215</v>
      </c>
      <c r="J17" s="5" t="s">
        <v>216</v>
      </c>
      <c r="K17" s="5" t="s">
        <v>217</v>
      </c>
      <c r="L17" s="5" t="s">
        <v>218</v>
      </c>
      <c r="M17" s="5"/>
      <c r="N17" s="5" t="s">
        <v>42</v>
      </c>
      <c r="O17" s="5" t="s">
        <v>219</v>
      </c>
      <c r="P17" s="5" t="s">
        <v>209</v>
      </c>
      <c r="Q17" s="5"/>
      <c r="R17" s="5" t="s">
        <v>45</v>
      </c>
      <c r="S17" s="5"/>
      <c r="T17" s="5" t="s">
        <v>46</v>
      </c>
      <c r="U17" s="5" t="s">
        <v>47</v>
      </c>
      <c r="V17" s="5" t="s">
        <v>48</v>
      </c>
      <c r="W17" s="5"/>
      <c r="X17" s="5" t="s">
        <v>49</v>
      </c>
      <c r="Y17" s="5" t="s">
        <v>220</v>
      </c>
      <c r="Z17" s="15" t="s">
        <v>51</v>
      </c>
      <c r="AA17" s="15"/>
      <c r="AB17" s="15" t="s">
        <v>221</v>
      </c>
      <c r="AC17" s="15" t="s">
        <v>53</v>
      </c>
    </row>
    <row r="18" spans="1:29">
      <c r="A18" s="5" t="s">
        <v>222</v>
      </c>
      <c r="B18" s="5"/>
      <c r="C18" s="5" t="s">
        <v>223</v>
      </c>
      <c r="D18" s="5" t="s">
        <v>224</v>
      </c>
      <c r="E18" s="5" t="s">
        <v>32</v>
      </c>
      <c r="F18" s="5" t="s">
        <v>225</v>
      </c>
      <c r="G18" s="5" t="s">
        <v>226</v>
      </c>
      <c r="H18" s="5" t="s">
        <v>227</v>
      </c>
      <c r="I18" s="5" t="s">
        <v>228</v>
      </c>
      <c r="J18" s="5" t="s">
        <v>229</v>
      </c>
      <c r="K18" s="5" t="s">
        <v>230</v>
      </c>
      <c r="L18" s="5" t="s">
        <v>231</v>
      </c>
      <c r="M18" s="5"/>
      <c r="N18" s="5" t="s">
        <v>232</v>
      </c>
      <c r="O18" s="5" t="s">
        <v>233</v>
      </c>
      <c r="P18" s="5" t="s">
        <v>209</v>
      </c>
      <c r="Q18" s="5"/>
      <c r="R18" s="5" t="s">
        <v>45</v>
      </c>
      <c r="S18" s="5"/>
      <c r="T18" s="5" t="s">
        <v>46</v>
      </c>
      <c r="U18" s="5" t="s">
        <v>47</v>
      </c>
      <c r="V18" s="5" t="s">
        <v>234</v>
      </c>
      <c r="W18" s="5"/>
      <c r="X18" s="5" t="s">
        <v>128</v>
      </c>
      <c r="Y18" s="5" t="s">
        <v>235</v>
      </c>
      <c r="Z18" s="15" t="s">
        <v>130</v>
      </c>
      <c r="AA18" s="15"/>
      <c r="AB18" s="15" t="s">
        <v>236</v>
      </c>
      <c r="AC18" s="15" t="s">
        <v>53</v>
      </c>
    </row>
    <row r="19" spans="1:29">
      <c r="A19" s="5" t="s">
        <v>237</v>
      </c>
      <c r="B19" s="5"/>
      <c r="C19" s="5" t="s">
        <v>223</v>
      </c>
      <c r="D19" s="5" t="s">
        <v>32</v>
      </c>
      <c r="E19" s="5" t="s">
        <v>33</v>
      </c>
      <c r="F19" s="5" t="s">
        <v>34</v>
      </c>
      <c r="G19" s="5" t="s">
        <v>80</v>
      </c>
      <c r="H19" s="5" t="s">
        <v>238</v>
      </c>
      <c r="I19" s="5" t="s">
        <v>239</v>
      </c>
      <c r="J19" s="5" t="s">
        <v>240</v>
      </c>
      <c r="K19" s="5" t="s">
        <v>241</v>
      </c>
      <c r="L19" s="5" t="s">
        <v>242</v>
      </c>
      <c r="M19" s="5"/>
      <c r="N19" s="5" t="s">
        <v>42</v>
      </c>
      <c r="O19" s="5" t="s">
        <v>243</v>
      </c>
      <c r="P19" s="5" t="s">
        <v>244</v>
      </c>
      <c r="Q19" s="5"/>
      <c r="R19" s="5" t="s">
        <v>45</v>
      </c>
      <c r="S19" s="5"/>
      <c r="T19" s="5" t="s">
        <v>46</v>
      </c>
      <c r="U19" s="5" t="s">
        <v>47</v>
      </c>
      <c r="V19" s="5" t="s">
        <v>48</v>
      </c>
      <c r="W19" s="5"/>
      <c r="X19" s="5" t="s">
        <v>128</v>
      </c>
      <c r="Y19" s="5" t="s">
        <v>245</v>
      </c>
      <c r="Z19" s="15" t="s">
        <v>51</v>
      </c>
      <c r="AA19" s="15"/>
      <c r="AB19" s="15" t="s">
        <v>246</v>
      </c>
      <c r="AC19" s="15" t="s">
        <v>247</v>
      </c>
    </row>
    <row r="20" spans="1:29">
      <c r="A20" s="5" t="s">
        <v>248</v>
      </c>
      <c r="B20" s="5"/>
      <c r="C20" s="5" t="s">
        <v>223</v>
      </c>
      <c r="D20" s="5" t="s">
        <v>32</v>
      </c>
      <c r="E20" s="5" t="s">
        <v>33</v>
      </c>
      <c r="F20" s="5" t="s">
        <v>34</v>
      </c>
      <c r="G20" s="5" t="s">
        <v>80</v>
      </c>
      <c r="H20" s="5" t="s">
        <v>249</v>
      </c>
      <c r="I20" s="5" t="s">
        <v>250</v>
      </c>
      <c r="J20" s="5" t="s">
        <v>251</v>
      </c>
      <c r="K20" s="5" t="s">
        <v>252</v>
      </c>
      <c r="L20" s="5" t="s">
        <v>253</v>
      </c>
      <c r="M20" s="5"/>
      <c r="N20" s="5" t="s">
        <v>42</v>
      </c>
      <c r="O20" s="5" t="s">
        <v>254</v>
      </c>
      <c r="P20" s="5" t="s">
        <v>255</v>
      </c>
      <c r="Q20" s="5"/>
      <c r="R20" s="5" t="s">
        <v>45</v>
      </c>
      <c r="S20" s="5"/>
      <c r="T20" s="5" t="s">
        <v>46</v>
      </c>
      <c r="U20" s="5" t="s">
        <v>47</v>
      </c>
      <c r="V20" s="5" t="s">
        <v>48</v>
      </c>
      <c r="W20" s="5"/>
      <c r="X20" s="5" t="s">
        <v>49</v>
      </c>
      <c r="Y20" s="5" t="s">
        <v>256</v>
      </c>
      <c r="Z20" s="15" t="s">
        <v>66</v>
      </c>
      <c r="AA20" s="15"/>
      <c r="AB20" s="15"/>
      <c r="AC20" s="15"/>
    </row>
    <row r="21" spans="1:29">
      <c r="A21" s="5" t="s">
        <v>257</v>
      </c>
      <c r="B21" s="5"/>
      <c r="C21" s="5" t="s">
        <v>258</v>
      </c>
      <c r="D21" s="5" t="s">
        <v>32</v>
      </c>
      <c r="E21" s="5" t="s">
        <v>33</v>
      </c>
      <c r="F21" s="5" t="s">
        <v>34</v>
      </c>
      <c r="G21" s="5" t="s">
        <v>259</v>
      </c>
      <c r="H21" s="5" t="s">
        <v>260</v>
      </c>
      <c r="I21" s="5" t="s">
        <v>261</v>
      </c>
      <c r="J21" s="5" t="s">
        <v>262</v>
      </c>
      <c r="K21" s="5" t="s">
        <v>263</v>
      </c>
      <c r="L21" s="5" t="s">
        <v>264</v>
      </c>
      <c r="M21" s="5"/>
      <c r="N21" s="5" t="s">
        <v>42</v>
      </c>
      <c r="O21" s="5" t="s">
        <v>99</v>
      </c>
      <c r="P21" s="5" t="s">
        <v>265</v>
      </c>
      <c r="Q21" s="5"/>
      <c r="R21" s="5" t="s">
        <v>45</v>
      </c>
      <c r="S21" s="5"/>
      <c r="T21" s="5" t="s">
        <v>46</v>
      </c>
      <c r="U21" s="5" t="s">
        <v>47</v>
      </c>
      <c r="V21" s="5" t="s">
        <v>48</v>
      </c>
      <c r="W21" s="5"/>
      <c r="X21" s="5" t="s">
        <v>49</v>
      </c>
      <c r="Y21" s="5" t="s">
        <v>266</v>
      </c>
      <c r="Z21" s="15" t="s">
        <v>66</v>
      </c>
      <c r="AA21" s="15"/>
      <c r="AB21" s="15"/>
      <c r="AC21" s="15"/>
    </row>
    <row r="22" spans="1:29">
      <c r="A22" s="5" t="s">
        <v>267</v>
      </c>
      <c r="B22" s="5"/>
      <c r="C22" s="5" t="s">
        <v>258</v>
      </c>
      <c r="D22" s="5" t="s">
        <v>32</v>
      </c>
      <c r="E22" s="5" t="s">
        <v>33</v>
      </c>
      <c r="F22" s="5" t="s">
        <v>268</v>
      </c>
      <c r="G22" s="5" t="s">
        <v>269</v>
      </c>
      <c r="H22" s="5" t="s">
        <v>270</v>
      </c>
      <c r="I22" s="5" t="s">
        <v>271</v>
      </c>
      <c r="J22" s="5" t="s">
        <v>272</v>
      </c>
      <c r="K22" s="5" t="s">
        <v>273</v>
      </c>
      <c r="L22" s="5" t="s">
        <v>274</v>
      </c>
      <c r="M22" s="5"/>
      <c r="N22" s="5" t="s">
        <v>42</v>
      </c>
      <c r="O22" s="5" t="s">
        <v>99</v>
      </c>
      <c r="P22" s="5" t="s">
        <v>275</v>
      </c>
      <c r="Q22" s="5"/>
      <c r="R22" s="5" t="s">
        <v>45</v>
      </c>
      <c r="S22" s="5"/>
      <c r="T22" s="5" t="s">
        <v>46</v>
      </c>
      <c r="U22" s="5" t="s">
        <v>47</v>
      </c>
      <c r="V22" s="5" t="s">
        <v>276</v>
      </c>
      <c r="W22" s="5"/>
      <c r="X22" s="5" t="s">
        <v>49</v>
      </c>
      <c r="Y22" s="5" t="s">
        <v>277</v>
      </c>
      <c r="Z22" s="15" t="s">
        <v>66</v>
      </c>
      <c r="AA22" s="15"/>
      <c r="AB22" s="15"/>
      <c r="AC22" s="15"/>
    </row>
    <row r="23" spans="1:29">
      <c r="A23" s="5" t="s">
        <v>278</v>
      </c>
      <c r="B23" s="11" t="s">
        <v>133</v>
      </c>
      <c r="C23" s="5" t="s">
        <v>55</v>
      </c>
      <c r="D23" s="5" t="s">
        <v>279</v>
      </c>
      <c r="E23" s="5" t="s">
        <v>280</v>
      </c>
      <c r="F23" s="5" t="s">
        <v>281</v>
      </c>
      <c r="G23" s="5" t="s">
        <v>282</v>
      </c>
      <c r="H23" s="5" t="s">
        <v>283</v>
      </c>
      <c r="I23" s="5" t="s">
        <v>284</v>
      </c>
      <c r="J23" s="5" t="s">
        <v>285</v>
      </c>
      <c r="K23" s="5" t="s">
        <v>286</v>
      </c>
      <c r="L23" s="5" t="s">
        <v>287</v>
      </c>
      <c r="M23" s="5" t="s">
        <v>288</v>
      </c>
      <c r="N23" s="5" t="s">
        <v>289</v>
      </c>
      <c r="O23" s="5" t="s">
        <v>99</v>
      </c>
      <c r="P23" s="5" t="s">
        <v>290</v>
      </c>
      <c r="Q23" s="5"/>
      <c r="R23" s="5" t="s">
        <v>45</v>
      </c>
      <c r="S23" s="5"/>
      <c r="T23" s="5" t="s">
        <v>150</v>
      </c>
      <c r="U23" s="5" t="s">
        <v>291</v>
      </c>
      <c r="V23" s="5" t="s">
        <v>292</v>
      </c>
      <c r="W23" s="5" t="s">
        <v>293</v>
      </c>
      <c r="X23" s="5" t="s">
        <v>49</v>
      </c>
      <c r="Y23" s="5" t="s">
        <v>294</v>
      </c>
      <c r="Z23" s="15" t="s">
        <v>51</v>
      </c>
      <c r="AA23" s="15"/>
      <c r="AB23" s="15" t="s">
        <v>295</v>
      </c>
      <c r="AC23" s="15" t="s">
        <v>247</v>
      </c>
    </row>
    <row r="24" spans="1:29">
      <c r="A24" s="5" t="s">
        <v>296</v>
      </c>
      <c r="B24" s="5"/>
      <c r="C24" s="5" t="s">
        <v>258</v>
      </c>
      <c r="D24" s="5" t="s">
        <v>279</v>
      </c>
      <c r="E24" s="5" t="s">
        <v>280</v>
      </c>
      <c r="F24" s="5" t="s">
        <v>281</v>
      </c>
      <c r="G24" s="5" t="s">
        <v>297</v>
      </c>
      <c r="H24" s="5" t="s">
        <v>298</v>
      </c>
      <c r="I24" s="5" t="s">
        <v>299</v>
      </c>
      <c r="J24" s="5" t="s">
        <v>300</v>
      </c>
      <c r="K24" s="5" t="s">
        <v>301</v>
      </c>
      <c r="L24" s="5" t="s">
        <v>302</v>
      </c>
      <c r="M24" s="5" t="s">
        <v>303</v>
      </c>
      <c r="N24" s="5" t="s">
        <v>289</v>
      </c>
      <c r="O24" s="5" t="s">
        <v>99</v>
      </c>
      <c r="P24" s="5" t="s">
        <v>304</v>
      </c>
      <c r="Q24" s="5"/>
      <c r="R24" s="5" t="s">
        <v>45</v>
      </c>
      <c r="S24" s="5"/>
      <c r="T24" s="5" t="s">
        <v>150</v>
      </c>
      <c r="U24" s="5" t="s">
        <v>291</v>
      </c>
      <c r="V24" s="5" t="s">
        <v>292</v>
      </c>
      <c r="W24" s="5"/>
      <c r="X24" s="5" t="s">
        <v>49</v>
      </c>
      <c r="Y24" s="5" t="s">
        <v>305</v>
      </c>
      <c r="Z24" s="15" t="s">
        <v>51</v>
      </c>
      <c r="AA24" s="15"/>
      <c r="AB24" s="15" t="s">
        <v>306</v>
      </c>
      <c r="AC24" s="15" t="s">
        <v>53</v>
      </c>
    </row>
    <row r="25" spans="1:29">
      <c r="A25" s="5" t="s">
        <v>307</v>
      </c>
      <c r="B25" s="11" t="s">
        <v>133</v>
      </c>
      <c r="C25" s="5" t="s">
        <v>91</v>
      </c>
      <c r="D25" s="5" t="s">
        <v>279</v>
      </c>
      <c r="E25" s="5" t="s">
        <v>280</v>
      </c>
      <c r="F25" s="5" t="s">
        <v>281</v>
      </c>
      <c r="G25" s="5" t="s">
        <v>308</v>
      </c>
      <c r="H25" s="5" t="s">
        <v>309</v>
      </c>
      <c r="I25" s="5" t="s">
        <v>310</v>
      </c>
      <c r="J25" s="5" t="s">
        <v>311</v>
      </c>
      <c r="K25" s="5" t="s">
        <v>312</v>
      </c>
      <c r="L25" s="5" t="s">
        <v>313</v>
      </c>
      <c r="M25" s="5" t="s">
        <v>314</v>
      </c>
      <c r="N25" s="5" t="s">
        <v>289</v>
      </c>
      <c r="O25" s="5" t="s">
        <v>99</v>
      </c>
      <c r="P25" s="5" t="s">
        <v>315</v>
      </c>
      <c r="Q25" s="5"/>
      <c r="R25" s="5" t="s">
        <v>45</v>
      </c>
      <c r="S25" s="5"/>
      <c r="T25" s="5" t="s">
        <v>150</v>
      </c>
      <c r="U25" s="5" t="s">
        <v>291</v>
      </c>
      <c r="V25" s="5" t="s">
        <v>292</v>
      </c>
      <c r="W25" s="5"/>
      <c r="X25" s="5" t="s">
        <v>49</v>
      </c>
      <c r="Y25" s="5" t="s">
        <v>316</v>
      </c>
      <c r="Z25" s="15" t="s">
        <v>51</v>
      </c>
      <c r="AA25" s="15"/>
      <c r="AB25" s="15" t="s">
        <v>317</v>
      </c>
      <c r="AC25" s="15" t="s">
        <v>53</v>
      </c>
    </row>
    <row r="26" spans="1:29">
      <c r="A26" s="5" t="s">
        <v>318</v>
      </c>
      <c r="B26" s="11" t="s">
        <v>133</v>
      </c>
      <c r="C26" s="5" t="s">
        <v>191</v>
      </c>
      <c r="D26" s="5" t="s">
        <v>279</v>
      </c>
      <c r="E26" s="5" t="s">
        <v>280</v>
      </c>
      <c r="F26" s="5" t="s">
        <v>281</v>
      </c>
      <c r="G26" s="5" t="s">
        <v>319</v>
      </c>
      <c r="H26" s="5" t="s">
        <v>320</v>
      </c>
      <c r="I26" s="5" t="s">
        <v>321</v>
      </c>
      <c r="J26" s="5" t="s">
        <v>322</v>
      </c>
      <c r="K26" s="5" t="s">
        <v>323</v>
      </c>
      <c r="L26" s="5" t="s">
        <v>324</v>
      </c>
      <c r="M26" s="5" t="s">
        <v>325</v>
      </c>
      <c r="N26" s="5" t="s">
        <v>289</v>
      </c>
      <c r="O26" s="5" t="s">
        <v>99</v>
      </c>
      <c r="P26" s="5" t="s">
        <v>326</v>
      </c>
      <c r="Q26" s="5"/>
      <c r="R26" s="5" t="s">
        <v>45</v>
      </c>
      <c r="S26" s="5"/>
      <c r="T26" s="5" t="s">
        <v>150</v>
      </c>
      <c r="U26" s="5" t="s">
        <v>291</v>
      </c>
      <c r="V26" s="5" t="s">
        <v>292</v>
      </c>
      <c r="W26" s="5"/>
      <c r="X26" s="5" t="s">
        <v>49</v>
      </c>
      <c r="Y26" s="5" t="s">
        <v>327</v>
      </c>
      <c r="Z26" s="15" t="s">
        <v>51</v>
      </c>
      <c r="AA26" s="15"/>
      <c r="AB26" s="15" t="s">
        <v>328</v>
      </c>
      <c r="AC26" s="15" t="s">
        <v>53</v>
      </c>
    </row>
    <row r="27" spans="1:29">
      <c r="A27" s="5" t="s">
        <v>329</v>
      </c>
      <c r="B27" s="11" t="s">
        <v>133</v>
      </c>
      <c r="C27" s="5" t="s">
        <v>191</v>
      </c>
      <c r="D27" s="5" t="s">
        <v>279</v>
      </c>
      <c r="E27" s="5" t="s">
        <v>280</v>
      </c>
      <c r="F27" s="5" t="s">
        <v>281</v>
      </c>
      <c r="G27" s="5" t="s">
        <v>330</v>
      </c>
      <c r="H27" s="5" t="s">
        <v>331</v>
      </c>
      <c r="I27" s="5" t="s">
        <v>332</v>
      </c>
      <c r="J27" s="5" t="s">
        <v>333</v>
      </c>
      <c r="K27" s="5" t="s">
        <v>334</v>
      </c>
      <c r="L27" s="5" t="s">
        <v>335</v>
      </c>
      <c r="M27" s="5" t="s">
        <v>336</v>
      </c>
      <c r="N27" s="5" t="s">
        <v>289</v>
      </c>
      <c r="O27" s="5" t="s">
        <v>99</v>
      </c>
      <c r="P27" s="5" t="s">
        <v>337</v>
      </c>
      <c r="Q27" s="5"/>
      <c r="R27" s="5" t="s">
        <v>45</v>
      </c>
      <c r="S27" s="5"/>
      <c r="T27" s="5" t="s">
        <v>150</v>
      </c>
      <c r="U27" s="5" t="s">
        <v>291</v>
      </c>
      <c r="V27" s="5" t="s">
        <v>292</v>
      </c>
      <c r="W27" s="5"/>
      <c r="X27" s="5" t="s">
        <v>49</v>
      </c>
      <c r="Y27" s="5" t="s">
        <v>338</v>
      </c>
      <c r="Z27" s="15" t="s">
        <v>66</v>
      </c>
      <c r="AA27" s="15"/>
      <c r="AB27" s="15"/>
      <c r="AC27" s="15"/>
    </row>
    <row r="28" spans="1:29">
      <c r="A28" s="5" t="s">
        <v>339</v>
      </c>
      <c r="B28" s="11" t="s">
        <v>133</v>
      </c>
      <c r="C28" s="5" t="s">
        <v>91</v>
      </c>
      <c r="D28" s="5" t="s">
        <v>279</v>
      </c>
      <c r="E28" s="5" t="s">
        <v>280</v>
      </c>
      <c r="F28" s="5" t="s">
        <v>340</v>
      </c>
      <c r="G28" s="5" t="s">
        <v>341</v>
      </c>
      <c r="H28" s="5" t="s">
        <v>342</v>
      </c>
      <c r="I28" s="5" t="s">
        <v>343</v>
      </c>
      <c r="J28" s="5" t="s">
        <v>344</v>
      </c>
      <c r="K28" s="5" t="s">
        <v>345</v>
      </c>
      <c r="L28" s="5" t="s">
        <v>346</v>
      </c>
      <c r="M28" s="5" t="s">
        <v>347</v>
      </c>
      <c r="N28" s="5" t="s">
        <v>348</v>
      </c>
      <c r="O28" s="5" t="s">
        <v>99</v>
      </c>
      <c r="P28" s="5" t="s">
        <v>349</v>
      </c>
      <c r="Q28" s="5"/>
      <c r="R28" s="5" t="s">
        <v>45</v>
      </c>
      <c r="S28" s="5"/>
      <c r="T28" s="5" t="s">
        <v>150</v>
      </c>
      <c r="U28" s="5" t="s">
        <v>291</v>
      </c>
      <c r="V28" s="5" t="s">
        <v>350</v>
      </c>
      <c r="W28" s="5"/>
      <c r="X28" s="5" t="s">
        <v>49</v>
      </c>
      <c r="Y28" s="5" t="s">
        <v>351</v>
      </c>
      <c r="Z28" s="15" t="s">
        <v>66</v>
      </c>
      <c r="AA28" s="15"/>
      <c r="AB28" s="15"/>
      <c r="AC28" s="15"/>
    </row>
    <row r="29" spans="1:29">
      <c r="A29" s="5" t="s">
        <v>352</v>
      </c>
      <c r="B29" s="10" t="s">
        <v>68</v>
      </c>
      <c r="C29" s="5" t="s">
        <v>31</v>
      </c>
      <c r="D29" s="5" t="s">
        <v>279</v>
      </c>
      <c r="E29" s="5" t="s">
        <v>280</v>
      </c>
      <c r="F29" s="5" t="s">
        <v>340</v>
      </c>
      <c r="G29" s="5" t="s">
        <v>353</v>
      </c>
      <c r="H29" s="5" t="s">
        <v>354</v>
      </c>
      <c r="I29" s="5" t="s">
        <v>355</v>
      </c>
      <c r="J29" s="5" t="s">
        <v>356</v>
      </c>
      <c r="K29" s="5" t="s">
        <v>357</v>
      </c>
      <c r="L29" s="5" t="s">
        <v>358</v>
      </c>
      <c r="M29" s="5" t="s">
        <v>359</v>
      </c>
      <c r="N29" s="5" t="s">
        <v>348</v>
      </c>
      <c r="O29" s="5" t="s">
        <v>99</v>
      </c>
      <c r="P29" s="5" t="s">
        <v>360</v>
      </c>
      <c r="Q29" s="5"/>
      <c r="R29" s="5" t="s">
        <v>45</v>
      </c>
      <c r="S29" s="5"/>
      <c r="T29" s="5" t="s">
        <v>150</v>
      </c>
      <c r="U29" s="5" t="s">
        <v>291</v>
      </c>
      <c r="V29" s="5" t="s">
        <v>350</v>
      </c>
      <c r="W29" s="5"/>
      <c r="X29" s="5" t="s">
        <v>49</v>
      </c>
      <c r="Y29" s="5" t="s">
        <v>361</v>
      </c>
      <c r="Z29" s="15" t="s">
        <v>66</v>
      </c>
      <c r="AA29" s="15"/>
      <c r="AB29" s="15"/>
      <c r="AC29" s="15"/>
    </row>
    <row r="30" spans="1:29">
      <c r="A30" s="5" t="s">
        <v>362</v>
      </c>
      <c r="B30" s="11" t="s">
        <v>133</v>
      </c>
      <c r="C30" s="5" t="s">
        <v>143</v>
      </c>
      <c r="D30" s="5" t="s">
        <v>279</v>
      </c>
      <c r="E30" s="5" t="s">
        <v>280</v>
      </c>
      <c r="F30" s="5" t="s">
        <v>340</v>
      </c>
      <c r="G30" s="5" t="s">
        <v>363</v>
      </c>
      <c r="H30" s="5" t="s">
        <v>364</v>
      </c>
      <c r="I30" s="5" t="s">
        <v>365</v>
      </c>
      <c r="J30" s="5" t="s">
        <v>366</v>
      </c>
      <c r="K30" s="5" t="s">
        <v>367</v>
      </c>
      <c r="L30" s="5" t="s">
        <v>368</v>
      </c>
      <c r="M30" s="5" t="s">
        <v>369</v>
      </c>
      <c r="N30" s="5" t="s">
        <v>348</v>
      </c>
      <c r="O30" s="5" t="s">
        <v>99</v>
      </c>
      <c r="P30" s="5" t="s">
        <v>370</v>
      </c>
      <c r="Q30" s="5"/>
      <c r="R30" s="5" t="s">
        <v>45</v>
      </c>
      <c r="S30" s="5"/>
      <c r="T30" s="5" t="s">
        <v>150</v>
      </c>
      <c r="U30" s="5" t="s">
        <v>291</v>
      </c>
      <c r="V30" s="5" t="s">
        <v>350</v>
      </c>
      <c r="W30" s="5"/>
      <c r="X30" s="5" t="s">
        <v>128</v>
      </c>
      <c r="Y30" s="5" t="s">
        <v>371</v>
      </c>
      <c r="Z30" s="15" t="s">
        <v>51</v>
      </c>
      <c r="AA30" s="15"/>
      <c r="AB30" s="15" t="s">
        <v>372</v>
      </c>
      <c r="AC30" s="15" t="s">
        <v>247</v>
      </c>
    </row>
    <row r="31" spans="1:29">
      <c r="A31" s="5" t="s">
        <v>373</v>
      </c>
      <c r="B31" s="10" t="s">
        <v>68</v>
      </c>
      <c r="C31" s="5" t="s">
        <v>55</v>
      </c>
      <c r="D31" s="5" t="s">
        <v>279</v>
      </c>
      <c r="E31" s="5" t="s">
        <v>280</v>
      </c>
      <c r="F31" s="5" t="s">
        <v>340</v>
      </c>
      <c r="G31" s="5" t="s">
        <v>363</v>
      </c>
      <c r="H31" s="5" t="s">
        <v>374</v>
      </c>
      <c r="I31" s="5" t="s">
        <v>375</v>
      </c>
      <c r="J31" s="5" t="s">
        <v>376</v>
      </c>
      <c r="K31" s="5" t="s">
        <v>377</v>
      </c>
      <c r="L31" s="5" t="s">
        <v>378</v>
      </c>
      <c r="M31" s="5" t="s">
        <v>379</v>
      </c>
      <c r="N31" s="5" t="s">
        <v>348</v>
      </c>
      <c r="O31" s="5" t="s">
        <v>99</v>
      </c>
      <c r="P31" s="5" t="s">
        <v>380</v>
      </c>
      <c r="Q31" s="5"/>
      <c r="R31" s="5" t="s">
        <v>45</v>
      </c>
      <c r="S31" s="5"/>
      <c r="T31" s="5" t="s">
        <v>150</v>
      </c>
      <c r="U31" s="5" t="s">
        <v>291</v>
      </c>
      <c r="V31" s="5" t="s">
        <v>350</v>
      </c>
      <c r="W31" s="5"/>
      <c r="X31" s="5" t="s">
        <v>49</v>
      </c>
      <c r="Y31" s="5" t="s">
        <v>381</v>
      </c>
      <c r="Z31" s="15" t="s">
        <v>66</v>
      </c>
      <c r="AA31" s="15"/>
      <c r="AB31" s="15"/>
      <c r="AC31" s="15"/>
    </row>
    <row r="32" spans="1:29">
      <c r="A32" s="5" t="s">
        <v>382</v>
      </c>
      <c r="B32" s="11" t="s">
        <v>133</v>
      </c>
      <c r="C32" s="5" t="s">
        <v>91</v>
      </c>
      <c r="D32" s="5" t="s">
        <v>279</v>
      </c>
      <c r="E32" s="5" t="s">
        <v>280</v>
      </c>
      <c r="F32" s="5" t="s">
        <v>340</v>
      </c>
      <c r="G32" s="5" t="s">
        <v>363</v>
      </c>
      <c r="H32" s="5" t="s">
        <v>383</v>
      </c>
      <c r="I32" s="5" t="s">
        <v>384</v>
      </c>
      <c r="J32" s="5" t="s">
        <v>385</v>
      </c>
      <c r="K32" s="5" t="s">
        <v>386</v>
      </c>
      <c r="L32" s="5" t="s">
        <v>387</v>
      </c>
      <c r="M32" s="5" t="s">
        <v>388</v>
      </c>
      <c r="N32" s="5" t="s">
        <v>348</v>
      </c>
      <c r="O32" s="5" t="s">
        <v>99</v>
      </c>
      <c r="P32" s="5" t="s">
        <v>389</v>
      </c>
      <c r="Q32" s="5"/>
      <c r="R32" s="5" t="s">
        <v>45</v>
      </c>
      <c r="S32" s="5"/>
      <c r="T32" s="5" t="s">
        <v>150</v>
      </c>
      <c r="U32" s="5" t="s">
        <v>291</v>
      </c>
      <c r="V32" s="5" t="s">
        <v>350</v>
      </c>
      <c r="W32" s="5"/>
      <c r="X32" s="5" t="s">
        <v>49</v>
      </c>
      <c r="Y32" s="5" t="s">
        <v>390</v>
      </c>
      <c r="Z32" s="15" t="s">
        <v>66</v>
      </c>
      <c r="AA32" s="15"/>
      <c r="AB32" s="15"/>
      <c r="AC32" s="15"/>
    </row>
    <row r="33" spans="1:29">
      <c r="A33" s="5" t="s">
        <v>391</v>
      </c>
      <c r="B33" s="11" t="s">
        <v>133</v>
      </c>
      <c r="C33" s="5" t="s">
        <v>143</v>
      </c>
      <c r="D33" s="5" t="s">
        <v>279</v>
      </c>
      <c r="E33" s="5" t="s">
        <v>280</v>
      </c>
      <c r="F33" s="5" t="s">
        <v>340</v>
      </c>
      <c r="G33" s="5" t="s">
        <v>392</v>
      </c>
      <c r="H33" s="5" t="s">
        <v>393</v>
      </c>
      <c r="I33" s="5" t="s">
        <v>394</v>
      </c>
      <c r="J33" s="5" t="s">
        <v>395</v>
      </c>
      <c r="K33" s="5" t="s">
        <v>396</v>
      </c>
      <c r="L33" s="5" t="s">
        <v>397</v>
      </c>
      <c r="M33" s="5" t="s">
        <v>398</v>
      </c>
      <c r="N33" s="5" t="s">
        <v>348</v>
      </c>
      <c r="O33" s="5" t="s">
        <v>99</v>
      </c>
      <c r="P33" s="5" t="s">
        <v>399</v>
      </c>
      <c r="Q33" s="5"/>
      <c r="R33" s="5" t="s">
        <v>45</v>
      </c>
      <c r="S33" s="5"/>
      <c r="T33" s="5" t="s">
        <v>150</v>
      </c>
      <c r="U33" s="5" t="s">
        <v>291</v>
      </c>
      <c r="V33" s="5" t="s">
        <v>350</v>
      </c>
      <c r="W33" s="5"/>
      <c r="X33" s="5" t="s">
        <v>49</v>
      </c>
      <c r="Y33" s="5" t="s">
        <v>400</v>
      </c>
      <c r="Z33" s="15" t="s">
        <v>51</v>
      </c>
      <c r="AA33" s="15"/>
      <c r="AB33" s="15" t="s">
        <v>401</v>
      </c>
      <c r="AC33" s="15" t="s">
        <v>53</v>
      </c>
    </row>
    <row r="34" spans="1:29">
      <c r="A34" s="5" t="s">
        <v>402</v>
      </c>
      <c r="B34" s="11" t="s">
        <v>133</v>
      </c>
      <c r="C34" s="5" t="s">
        <v>143</v>
      </c>
      <c r="D34" s="5" t="s">
        <v>279</v>
      </c>
      <c r="E34" s="5" t="s">
        <v>280</v>
      </c>
      <c r="F34" s="5" t="s">
        <v>340</v>
      </c>
      <c r="G34" s="5" t="s">
        <v>353</v>
      </c>
      <c r="H34" s="5" t="s">
        <v>403</v>
      </c>
      <c r="I34" s="5" t="s">
        <v>404</v>
      </c>
      <c r="J34" s="5" t="s">
        <v>405</v>
      </c>
      <c r="K34" s="5" t="s">
        <v>406</v>
      </c>
      <c r="L34" s="5" t="s">
        <v>407</v>
      </c>
      <c r="M34" s="5" t="s">
        <v>408</v>
      </c>
      <c r="N34" s="5" t="s">
        <v>409</v>
      </c>
      <c r="O34" s="5" t="s">
        <v>99</v>
      </c>
      <c r="P34" s="5" t="s">
        <v>410</v>
      </c>
      <c r="Q34" s="5"/>
      <c r="R34" s="5" t="s">
        <v>45</v>
      </c>
      <c r="S34" s="5"/>
      <c r="T34" s="5" t="s">
        <v>150</v>
      </c>
      <c r="U34" s="5" t="s">
        <v>291</v>
      </c>
      <c r="V34" s="5" t="s">
        <v>350</v>
      </c>
      <c r="W34" s="5"/>
      <c r="X34" s="5" t="s">
        <v>49</v>
      </c>
      <c r="Y34" s="5" t="s">
        <v>411</v>
      </c>
      <c r="Z34" s="15" t="s">
        <v>66</v>
      </c>
      <c r="AA34" s="15"/>
      <c r="AB34" s="15"/>
      <c r="AC34" s="15"/>
    </row>
    <row r="35" spans="1:29">
      <c r="A35" s="5" t="s">
        <v>412</v>
      </c>
      <c r="B35" s="11" t="s">
        <v>133</v>
      </c>
      <c r="C35" s="5" t="s">
        <v>31</v>
      </c>
      <c r="D35" s="5" t="s">
        <v>279</v>
      </c>
      <c r="E35" s="5" t="s">
        <v>280</v>
      </c>
      <c r="F35" s="5" t="s">
        <v>340</v>
      </c>
      <c r="G35" s="5" t="s">
        <v>392</v>
      </c>
      <c r="H35" s="5" t="s">
        <v>413</v>
      </c>
      <c r="I35" s="5" t="s">
        <v>414</v>
      </c>
      <c r="J35" s="5" t="s">
        <v>415</v>
      </c>
      <c r="K35" s="5" t="s">
        <v>416</v>
      </c>
      <c r="L35" s="5" t="s">
        <v>417</v>
      </c>
      <c r="M35" s="5" t="s">
        <v>418</v>
      </c>
      <c r="N35" s="5" t="s">
        <v>409</v>
      </c>
      <c r="O35" s="5" t="s">
        <v>99</v>
      </c>
      <c r="P35" s="5" t="s">
        <v>419</v>
      </c>
      <c r="Q35" s="5"/>
      <c r="R35" s="5" t="s">
        <v>45</v>
      </c>
      <c r="S35" s="5"/>
      <c r="T35" s="5" t="s">
        <v>150</v>
      </c>
      <c r="U35" s="5" t="s">
        <v>291</v>
      </c>
      <c r="V35" s="5" t="s">
        <v>350</v>
      </c>
      <c r="W35" s="5"/>
      <c r="X35" s="5" t="s">
        <v>49</v>
      </c>
      <c r="Y35" s="5" t="s">
        <v>420</v>
      </c>
      <c r="Z35" s="15" t="s">
        <v>66</v>
      </c>
      <c r="AA35" s="15"/>
      <c r="AB35" s="15"/>
      <c r="AC35" s="15"/>
    </row>
    <row r="36" spans="1:29">
      <c r="A36" s="5" t="s">
        <v>421</v>
      </c>
      <c r="B36" s="11" t="s">
        <v>133</v>
      </c>
      <c r="C36" s="5" t="s">
        <v>191</v>
      </c>
      <c r="D36" s="5" t="s">
        <v>279</v>
      </c>
      <c r="E36" s="5" t="s">
        <v>280</v>
      </c>
      <c r="F36" s="5" t="s">
        <v>340</v>
      </c>
      <c r="G36" s="5" t="s">
        <v>392</v>
      </c>
      <c r="H36" s="5" t="s">
        <v>422</v>
      </c>
      <c r="I36" s="5" t="s">
        <v>423</v>
      </c>
      <c r="J36" s="5" t="s">
        <v>424</v>
      </c>
      <c r="K36" s="5" t="s">
        <v>425</v>
      </c>
      <c r="L36" s="5" t="s">
        <v>426</v>
      </c>
      <c r="M36" s="5" t="s">
        <v>427</v>
      </c>
      <c r="N36" s="5" t="s">
        <v>409</v>
      </c>
      <c r="O36" s="5" t="s">
        <v>99</v>
      </c>
      <c r="P36" s="5" t="s">
        <v>428</v>
      </c>
      <c r="Q36" s="5"/>
      <c r="R36" s="5" t="s">
        <v>45</v>
      </c>
      <c r="S36" s="5"/>
      <c r="T36" s="5" t="s">
        <v>150</v>
      </c>
      <c r="U36" s="5" t="s">
        <v>291</v>
      </c>
      <c r="V36" s="5" t="s">
        <v>350</v>
      </c>
      <c r="W36" s="5"/>
      <c r="X36" s="5" t="s">
        <v>49</v>
      </c>
      <c r="Y36" s="5" t="s">
        <v>429</v>
      </c>
      <c r="Z36" s="15" t="s">
        <v>66</v>
      </c>
      <c r="AA36" s="15"/>
      <c r="AB36" s="15"/>
      <c r="AC36" s="15"/>
    </row>
    <row r="37" spans="1:29">
      <c r="A37" s="5" t="s">
        <v>430</v>
      </c>
      <c r="B37" s="11" t="s">
        <v>133</v>
      </c>
      <c r="C37" s="5" t="s">
        <v>143</v>
      </c>
      <c r="D37" s="5" t="s">
        <v>279</v>
      </c>
      <c r="E37" s="5" t="s">
        <v>280</v>
      </c>
      <c r="F37" s="5" t="s">
        <v>340</v>
      </c>
      <c r="G37" s="5" t="s">
        <v>431</v>
      </c>
      <c r="H37" s="5" t="s">
        <v>432</v>
      </c>
      <c r="I37" s="5" t="s">
        <v>433</v>
      </c>
      <c r="J37" s="5" t="s">
        <v>434</v>
      </c>
      <c r="K37" s="5" t="s">
        <v>435</v>
      </c>
      <c r="L37" s="5" t="s">
        <v>436</v>
      </c>
      <c r="M37" s="5" t="s">
        <v>437</v>
      </c>
      <c r="N37" s="5" t="s">
        <v>409</v>
      </c>
      <c r="O37" s="5" t="s">
        <v>99</v>
      </c>
      <c r="P37" s="5" t="s">
        <v>438</v>
      </c>
      <c r="Q37" s="5"/>
      <c r="R37" s="5" t="s">
        <v>45</v>
      </c>
      <c r="S37" s="5"/>
      <c r="T37" s="5" t="s">
        <v>150</v>
      </c>
      <c r="U37" s="5" t="s">
        <v>291</v>
      </c>
      <c r="V37" s="5" t="s">
        <v>350</v>
      </c>
      <c r="W37" s="5" t="s">
        <v>439</v>
      </c>
      <c r="X37" s="5" t="s">
        <v>128</v>
      </c>
      <c r="Y37" s="5" t="s">
        <v>440</v>
      </c>
      <c r="Z37" s="15" t="s">
        <v>51</v>
      </c>
      <c r="AA37" s="15"/>
      <c r="AB37" s="15" t="s">
        <v>441</v>
      </c>
      <c r="AC37" s="15" t="s">
        <v>247</v>
      </c>
    </row>
    <row r="38" spans="1:29">
      <c r="A38" s="5" t="s">
        <v>442</v>
      </c>
      <c r="B38" s="11" t="s">
        <v>133</v>
      </c>
      <c r="C38" s="5" t="s">
        <v>91</v>
      </c>
      <c r="D38" s="5" t="s">
        <v>279</v>
      </c>
      <c r="E38" s="5" t="s">
        <v>280</v>
      </c>
      <c r="F38" s="5" t="s">
        <v>281</v>
      </c>
      <c r="G38" s="5" t="s">
        <v>443</v>
      </c>
      <c r="H38" s="5" t="s">
        <v>444</v>
      </c>
      <c r="I38" s="5" t="s">
        <v>445</v>
      </c>
      <c r="J38" s="5" t="s">
        <v>446</v>
      </c>
      <c r="K38" s="5" t="s">
        <v>447</v>
      </c>
      <c r="L38" s="5" t="s">
        <v>448</v>
      </c>
      <c r="M38" s="5" t="s">
        <v>449</v>
      </c>
      <c r="N38" s="5" t="s">
        <v>289</v>
      </c>
      <c r="O38" s="5" t="s">
        <v>99</v>
      </c>
      <c r="P38" s="5" t="s">
        <v>450</v>
      </c>
      <c r="Q38" s="5"/>
      <c r="R38" s="5" t="s">
        <v>45</v>
      </c>
      <c r="S38" s="5"/>
      <c r="T38" s="5" t="s">
        <v>150</v>
      </c>
      <c r="U38" s="5" t="s">
        <v>291</v>
      </c>
      <c r="V38" s="5" t="s">
        <v>292</v>
      </c>
      <c r="W38" s="5"/>
      <c r="X38" s="5" t="s">
        <v>49</v>
      </c>
      <c r="Y38" s="5" t="s">
        <v>451</v>
      </c>
      <c r="Z38" s="15" t="s">
        <v>66</v>
      </c>
      <c r="AA38" s="15"/>
      <c r="AB38" s="15"/>
      <c r="AC38" s="15"/>
    </row>
    <row r="39" spans="1:29">
      <c r="A39" s="5" t="s">
        <v>452</v>
      </c>
      <c r="B39" s="5"/>
      <c r="C39" s="5" t="s">
        <v>223</v>
      </c>
      <c r="D39" s="5" t="s">
        <v>279</v>
      </c>
      <c r="E39" s="5" t="s">
        <v>280</v>
      </c>
      <c r="F39" s="5" t="s">
        <v>281</v>
      </c>
      <c r="G39" s="5" t="s">
        <v>453</v>
      </c>
      <c r="H39" s="5" t="s">
        <v>454</v>
      </c>
      <c r="I39" s="5" t="s">
        <v>455</v>
      </c>
      <c r="J39" s="5" t="s">
        <v>456</v>
      </c>
      <c r="K39" s="5" t="s">
        <v>457</v>
      </c>
      <c r="L39" s="5" t="s">
        <v>458</v>
      </c>
      <c r="M39" s="5" t="s">
        <v>459</v>
      </c>
      <c r="N39" s="5" t="s">
        <v>289</v>
      </c>
      <c r="O39" s="5" t="s">
        <v>99</v>
      </c>
      <c r="P39" s="5" t="s">
        <v>209</v>
      </c>
      <c r="Q39" s="5"/>
      <c r="R39" s="5" t="s">
        <v>45</v>
      </c>
      <c r="S39" s="5"/>
      <c r="T39" s="5" t="s">
        <v>150</v>
      </c>
      <c r="U39" s="5" t="s">
        <v>291</v>
      </c>
      <c r="V39" s="5" t="s">
        <v>292</v>
      </c>
      <c r="W39" s="5"/>
      <c r="X39" s="5" t="s">
        <v>49</v>
      </c>
      <c r="Y39" s="5" t="s">
        <v>460</v>
      </c>
      <c r="Z39" s="15" t="s">
        <v>51</v>
      </c>
      <c r="AA39" s="15"/>
      <c r="AB39" s="15" t="s">
        <v>461</v>
      </c>
      <c r="AC39" s="15" t="s">
        <v>247</v>
      </c>
    </row>
    <row r="40" spans="1:29">
      <c r="A40" s="5" t="s">
        <v>462</v>
      </c>
      <c r="B40" s="11" t="s">
        <v>133</v>
      </c>
      <c r="C40" s="5" t="s">
        <v>191</v>
      </c>
      <c r="D40" s="5" t="s">
        <v>279</v>
      </c>
      <c r="E40" s="5" t="s">
        <v>280</v>
      </c>
      <c r="F40" s="5" t="s">
        <v>340</v>
      </c>
      <c r="G40" s="5" t="s">
        <v>463</v>
      </c>
      <c r="H40" s="5" t="s">
        <v>464</v>
      </c>
      <c r="I40" s="5" t="s">
        <v>465</v>
      </c>
      <c r="J40" s="5" t="s">
        <v>466</v>
      </c>
      <c r="K40" s="5" t="s">
        <v>467</v>
      </c>
      <c r="L40" s="5" t="s">
        <v>468</v>
      </c>
      <c r="M40" s="5" t="s">
        <v>469</v>
      </c>
      <c r="N40" s="5" t="s">
        <v>348</v>
      </c>
      <c r="O40" s="5" t="s">
        <v>99</v>
      </c>
      <c r="P40" s="5" t="s">
        <v>470</v>
      </c>
      <c r="Q40" s="5"/>
      <c r="R40" s="5" t="s">
        <v>45</v>
      </c>
      <c r="S40" s="5"/>
      <c r="T40" s="5" t="s">
        <v>150</v>
      </c>
      <c r="U40" s="5" t="s">
        <v>291</v>
      </c>
      <c r="V40" s="5" t="s">
        <v>350</v>
      </c>
      <c r="W40" s="5"/>
      <c r="X40" s="5" t="s">
        <v>49</v>
      </c>
      <c r="Y40" s="5" t="s">
        <v>471</v>
      </c>
      <c r="Z40" s="15" t="s">
        <v>66</v>
      </c>
      <c r="AA40" s="15"/>
      <c r="AB40" s="15"/>
      <c r="AC40" s="15"/>
    </row>
    <row r="41" spans="1:29">
      <c r="A41" s="5" t="s">
        <v>472</v>
      </c>
      <c r="B41" s="10" t="s">
        <v>68</v>
      </c>
      <c r="C41" s="5" t="s">
        <v>31</v>
      </c>
      <c r="D41" s="5" t="s">
        <v>279</v>
      </c>
      <c r="E41" s="5" t="s">
        <v>473</v>
      </c>
      <c r="F41" s="5" t="s">
        <v>474</v>
      </c>
      <c r="G41" s="5" t="s">
        <v>475</v>
      </c>
      <c r="H41" s="5" t="s">
        <v>476</v>
      </c>
      <c r="I41" s="5" t="s">
        <v>477</v>
      </c>
      <c r="J41" s="5" t="s">
        <v>478</v>
      </c>
      <c r="K41" s="5" t="s">
        <v>479</v>
      </c>
      <c r="L41" s="5" t="s">
        <v>480</v>
      </c>
      <c r="M41" s="5" t="s">
        <v>481</v>
      </c>
      <c r="N41" s="5" t="s">
        <v>482</v>
      </c>
      <c r="O41" s="5" t="s">
        <v>99</v>
      </c>
      <c r="P41" s="5" t="s">
        <v>483</v>
      </c>
      <c r="Q41" s="5"/>
      <c r="R41" s="5" t="s">
        <v>45</v>
      </c>
      <c r="S41" s="5"/>
      <c r="T41" s="5" t="s">
        <v>150</v>
      </c>
      <c r="U41" s="5" t="s">
        <v>291</v>
      </c>
      <c r="V41" s="5" t="s">
        <v>484</v>
      </c>
      <c r="W41" s="5"/>
      <c r="X41" s="5" t="s">
        <v>49</v>
      </c>
      <c r="Y41" s="5" t="s">
        <v>485</v>
      </c>
      <c r="Z41" s="15" t="s">
        <v>66</v>
      </c>
      <c r="AA41" s="15"/>
      <c r="AB41" s="15"/>
      <c r="AC41" s="15"/>
    </row>
    <row r="42" spans="1:29">
      <c r="A42" s="5" t="s">
        <v>486</v>
      </c>
      <c r="B42" s="10" t="s">
        <v>68</v>
      </c>
      <c r="C42" s="5" t="s">
        <v>55</v>
      </c>
      <c r="D42" s="5" t="s">
        <v>279</v>
      </c>
      <c r="E42" s="5" t="s">
        <v>473</v>
      </c>
      <c r="F42" s="5" t="s">
        <v>474</v>
      </c>
      <c r="G42" s="5" t="s">
        <v>487</v>
      </c>
      <c r="H42" s="5" t="s">
        <v>488</v>
      </c>
      <c r="I42" s="5" t="s">
        <v>489</v>
      </c>
      <c r="J42" s="5" t="s">
        <v>490</v>
      </c>
      <c r="K42" s="5" t="s">
        <v>491</v>
      </c>
      <c r="L42" s="5" t="s">
        <v>492</v>
      </c>
      <c r="M42" s="5" t="s">
        <v>493</v>
      </c>
      <c r="N42" s="5" t="s">
        <v>482</v>
      </c>
      <c r="O42" s="5" t="s">
        <v>99</v>
      </c>
      <c r="P42" s="5" t="s">
        <v>494</v>
      </c>
      <c r="Q42" s="5"/>
      <c r="R42" s="5" t="s">
        <v>45</v>
      </c>
      <c r="S42" s="5"/>
      <c r="T42" s="5" t="s">
        <v>150</v>
      </c>
      <c r="U42" s="5" t="s">
        <v>291</v>
      </c>
      <c r="V42" s="5" t="s">
        <v>484</v>
      </c>
      <c r="W42" s="5"/>
      <c r="X42" s="5" t="s">
        <v>49</v>
      </c>
      <c r="Y42" s="5" t="s">
        <v>495</v>
      </c>
      <c r="Z42" s="15" t="s">
        <v>66</v>
      </c>
      <c r="AA42" s="15"/>
      <c r="AB42" s="15"/>
      <c r="AC42" s="15"/>
    </row>
    <row r="43" spans="1:29">
      <c r="A43" s="5" t="s">
        <v>496</v>
      </c>
      <c r="B43" s="11" t="s">
        <v>133</v>
      </c>
      <c r="C43" s="5" t="s">
        <v>143</v>
      </c>
      <c r="D43" s="5" t="s">
        <v>279</v>
      </c>
      <c r="E43" s="5" t="s">
        <v>473</v>
      </c>
      <c r="F43" s="5" t="s">
        <v>474</v>
      </c>
      <c r="G43" s="5" t="s">
        <v>497</v>
      </c>
      <c r="H43" s="5" t="s">
        <v>498</v>
      </c>
      <c r="I43" s="5" t="s">
        <v>499</v>
      </c>
      <c r="J43" s="5" t="s">
        <v>500</v>
      </c>
      <c r="K43" s="5" t="s">
        <v>501</v>
      </c>
      <c r="L43" s="5" t="s">
        <v>502</v>
      </c>
      <c r="M43" s="5" t="s">
        <v>503</v>
      </c>
      <c r="N43" s="5" t="s">
        <v>482</v>
      </c>
      <c r="O43" s="5" t="s">
        <v>99</v>
      </c>
      <c r="P43" s="5" t="s">
        <v>504</v>
      </c>
      <c r="Q43" s="5"/>
      <c r="R43" s="5" t="s">
        <v>45</v>
      </c>
      <c r="S43" s="5"/>
      <c r="T43" s="5" t="s">
        <v>150</v>
      </c>
      <c r="U43" s="5" t="s">
        <v>291</v>
      </c>
      <c r="V43" s="5" t="s">
        <v>484</v>
      </c>
      <c r="W43" s="5"/>
      <c r="X43" s="5" t="s">
        <v>49</v>
      </c>
      <c r="Y43" s="5" t="s">
        <v>505</v>
      </c>
      <c r="Z43" s="15" t="s">
        <v>66</v>
      </c>
      <c r="AA43" s="15"/>
      <c r="AB43" s="15"/>
      <c r="AC43" s="15"/>
    </row>
    <row r="44" spans="1:29">
      <c r="A44" s="5" t="s">
        <v>506</v>
      </c>
      <c r="B44" s="10" t="s">
        <v>68</v>
      </c>
      <c r="C44" s="5" t="s">
        <v>91</v>
      </c>
      <c r="D44" s="5" t="s">
        <v>279</v>
      </c>
      <c r="E44" s="5" t="s">
        <v>473</v>
      </c>
      <c r="F44" s="5" t="s">
        <v>474</v>
      </c>
      <c r="G44" s="5" t="s">
        <v>507</v>
      </c>
      <c r="H44" s="5" t="s">
        <v>508</v>
      </c>
      <c r="I44" s="5" t="s">
        <v>509</v>
      </c>
      <c r="J44" s="5" t="s">
        <v>510</v>
      </c>
      <c r="K44" s="5" t="s">
        <v>511</v>
      </c>
      <c r="L44" s="5" t="s">
        <v>512</v>
      </c>
      <c r="M44" s="5" t="s">
        <v>513</v>
      </c>
      <c r="N44" s="5" t="s">
        <v>482</v>
      </c>
      <c r="O44" s="5" t="s">
        <v>99</v>
      </c>
      <c r="P44" s="5" t="s">
        <v>514</v>
      </c>
      <c r="Q44" s="5"/>
      <c r="R44" s="5" t="s">
        <v>45</v>
      </c>
      <c r="S44" s="5"/>
      <c r="T44" s="5" t="s">
        <v>150</v>
      </c>
      <c r="U44" s="5" t="s">
        <v>291</v>
      </c>
      <c r="V44" s="5" t="s">
        <v>484</v>
      </c>
      <c r="W44" s="5"/>
      <c r="X44" s="5" t="s">
        <v>49</v>
      </c>
      <c r="Y44" s="5" t="s">
        <v>515</v>
      </c>
      <c r="Z44" s="15" t="s">
        <v>66</v>
      </c>
      <c r="AA44" s="15"/>
      <c r="AB44" s="15"/>
      <c r="AC44" s="15"/>
    </row>
    <row r="45" spans="1:29">
      <c r="A45" s="5" t="s">
        <v>516</v>
      </c>
      <c r="B45" s="9" t="s">
        <v>30</v>
      </c>
      <c r="C45" s="5" t="s">
        <v>55</v>
      </c>
      <c r="D45" s="5" t="s">
        <v>279</v>
      </c>
      <c r="E45" s="5" t="s">
        <v>517</v>
      </c>
      <c r="F45" s="5" t="s">
        <v>518</v>
      </c>
      <c r="G45" s="5" t="s">
        <v>519</v>
      </c>
      <c r="H45" s="5" t="s">
        <v>520</v>
      </c>
      <c r="I45" s="5" t="s">
        <v>521</v>
      </c>
      <c r="J45" s="5" t="s">
        <v>522</v>
      </c>
      <c r="K45" s="5" t="s">
        <v>523</v>
      </c>
      <c r="L45" s="5" t="s">
        <v>524</v>
      </c>
      <c r="M45" s="5" t="s">
        <v>525</v>
      </c>
      <c r="N45" s="5" t="s">
        <v>526</v>
      </c>
      <c r="O45" s="5" t="s">
        <v>99</v>
      </c>
      <c r="P45" s="5" t="s">
        <v>527</v>
      </c>
      <c r="Q45" s="5"/>
      <c r="R45" s="5" t="s">
        <v>45</v>
      </c>
      <c r="S45" s="5"/>
      <c r="T45" s="5" t="s">
        <v>150</v>
      </c>
      <c r="U45" s="5" t="s">
        <v>291</v>
      </c>
      <c r="V45" s="5" t="s">
        <v>528</v>
      </c>
      <c r="W45" s="5"/>
      <c r="X45" s="5" t="s">
        <v>49</v>
      </c>
      <c r="Y45" s="5" t="s">
        <v>529</v>
      </c>
      <c r="Z45" s="15" t="s">
        <v>66</v>
      </c>
      <c r="AA45" s="15"/>
      <c r="AB45" s="15"/>
      <c r="AC45" s="15"/>
    </row>
    <row r="46" spans="1:29">
      <c r="A46" s="5" t="s">
        <v>530</v>
      </c>
      <c r="B46" s="9" t="s">
        <v>30</v>
      </c>
      <c r="C46" s="5" t="s">
        <v>531</v>
      </c>
      <c r="D46" s="5" t="s">
        <v>279</v>
      </c>
      <c r="E46" s="5" t="s">
        <v>517</v>
      </c>
      <c r="F46" s="5" t="s">
        <v>518</v>
      </c>
      <c r="G46" s="5" t="s">
        <v>532</v>
      </c>
      <c r="H46" s="5" t="s">
        <v>533</v>
      </c>
      <c r="I46" s="5" t="s">
        <v>534</v>
      </c>
      <c r="J46" s="5" t="s">
        <v>535</v>
      </c>
      <c r="K46" s="5" t="s">
        <v>536</v>
      </c>
      <c r="L46" s="5" t="s">
        <v>537</v>
      </c>
      <c r="M46" s="5" t="s">
        <v>538</v>
      </c>
      <c r="N46" s="5" t="s">
        <v>526</v>
      </c>
      <c r="O46" s="5" t="s">
        <v>99</v>
      </c>
      <c r="P46" s="5" t="s">
        <v>539</v>
      </c>
      <c r="Q46" s="5"/>
      <c r="R46" s="5" t="s">
        <v>45</v>
      </c>
      <c r="S46" s="5"/>
      <c r="T46" s="5" t="s">
        <v>150</v>
      </c>
      <c r="U46" s="5" t="s">
        <v>291</v>
      </c>
      <c r="V46" s="5" t="s">
        <v>528</v>
      </c>
      <c r="W46" s="5"/>
      <c r="X46" s="5" t="s">
        <v>49</v>
      </c>
      <c r="Y46" s="5" t="s">
        <v>540</v>
      </c>
      <c r="Z46" s="15" t="s">
        <v>66</v>
      </c>
      <c r="AA46" s="15"/>
      <c r="AB46" s="15"/>
      <c r="AC46" s="15"/>
    </row>
    <row r="47" spans="1:29">
      <c r="A47" s="5" t="s">
        <v>541</v>
      </c>
      <c r="B47" s="5"/>
      <c r="C47" s="5" t="s">
        <v>223</v>
      </c>
      <c r="D47" s="5" t="s">
        <v>279</v>
      </c>
      <c r="E47" s="5" t="s">
        <v>280</v>
      </c>
      <c r="F47" s="5" t="s">
        <v>340</v>
      </c>
      <c r="G47" s="5" t="s">
        <v>542</v>
      </c>
      <c r="H47" s="5" t="s">
        <v>543</v>
      </c>
      <c r="I47" s="5" t="s">
        <v>544</v>
      </c>
      <c r="J47" s="5" t="s">
        <v>545</v>
      </c>
      <c r="K47" s="5" t="s">
        <v>546</v>
      </c>
      <c r="L47" s="5" t="s">
        <v>547</v>
      </c>
      <c r="M47" s="5" t="s">
        <v>548</v>
      </c>
      <c r="N47" s="5" t="s">
        <v>348</v>
      </c>
      <c r="O47" s="5" t="s">
        <v>99</v>
      </c>
      <c r="P47" s="5" t="s">
        <v>549</v>
      </c>
      <c r="Q47" s="5"/>
      <c r="R47" s="5" t="s">
        <v>45</v>
      </c>
      <c r="S47" s="5"/>
      <c r="T47" s="5" t="s">
        <v>150</v>
      </c>
      <c r="U47" s="5" t="s">
        <v>291</v>
      </c>
      <c r="V47" s="5" t="s">
        <v>350</v>
      </c>
      <c r="W47" s="5"/>
      <c r="X47" s="5" t="s">
        <v>49</v>
      </c>
      <c r="Y47" s="5" t="s">
        <v>550</v>
      </c>
      <c r="Z47" s="15" t="s">
        <v>51</v>
      </c>
      <c r="AA47" s="15"/>
      <c r="AB47" s="15" t="s">
        <v>551</v>
      </c>
      <c r="AC47" s="15" t="s">
        <v>247</v>
      </c>
    </row>
    <row r="48" spans="1:29">
      <c r="A48" s="5" t="s">
        <v>552</v>
      </c>
      <c r="B48" s="11" t="s">
        <v>133</v>
      </c>
      <c r="C48" s="5" t="s">
        <v>553</v>
      </c>
      <c r="D48" s="5" t="s">
        <v>279</v>
      </c>
      <c r="E48" s="5" t="s">
        <v>554</v>
      </c>
      <c r="F48" s="5" t="s">
        <v>555</v>
      </c>
      <c r="G48" s="5" t="s">
        <v>556</v>
      </c>
      <c r="H48" s="5" t="s">
        <v>557</v>
      </c>
      <c r="I48" s="5" t="s">
        <v>558</v>
      </c>
      <c r="J48" s="5" t="s">
        <v>559</v>
      </c>
      <c r="K48" s="5" t="s">
        <v>560</v>
      </c>
      <c r="L48" s="5" t="s">
        <v>561</v>
      </c>
      <c r="M48" s="5" t="s">
        <v>562</v>
      </c>
      <c r="N48" s="5" t="s">
        <v>563</v>
      </c>
      <c r="O48" s="5" t="s">
        <v>99</v>
      </c>
      <c r="P48" s="5" t="s">
        <v>209</v>
      </c>
      <c r="Q48" s="5"/>
      <c r="R48" s="5" t="s">
        <v>45</v>
      </c>
      <c r="S48" s="5"/>
      <c r="T48" s="5" t="s">
        <v>150</v>
      </c>
      <c r="U48" s="5" t="s">
        <v>291</v>
      </c>
      <c r="V48" s="5" t="s">
        <v>564</v>
      </c>
      <c r="W48" s="5"/>
      <c r="X48" s="5" t="s">
        <v>49</v>
      </c>
      <c r="Y48" s="5" t="s">
        <v>565</v>
      </c>
      <c r="Z48" s="15" t="s">
        <v>66</v>
      </c>
      <c r="AA48" s="15"/>
      <c r="AB48" s="15"/>
      <c r="AC48" s="15"/>
    </row>
    <row r="49" spans="1:29">
      <c r="A49" s="5" t="s">
        <v>566</v>
      </c>
      <c r="B49" s="11" t="s">
        <v>133</v>
      </c>
      <c r="C49" s="5" t="s">
        <v>143</v>
      </c>
      <c r="D49" s="5" t="s">
        <v>279</v>
      </c>
      <c r="E49" s="5" t="s">
        <v>554</v>
      </c>
      <c r="F49" s="5" t="s">
        <v>555</v>
      </c>
      <c r="G49" s="5" t="s">
        <v>567</v>
      </c>
      <c r="H49" s="5" t="s">
        <v>568</v>
      </c>
      <c r="I49" s="5" t="s">
        <v>569</v>
      </c>
      <c r="J49" s="5" t="s">
        <v>570</v>
      </c>
      <c r="K49" s="5" t="s">
        <v>571</v>
      </c>
      <c r="L49" s="5" t="s">
        <v>572</v>
      </c>
      <c r="M49" s="5" t="s">
        <v>573</v>
      </c>
      <c r="N49" s="5" t="s">
        <v>563</v>
      </c>
      <c r="O49" s="5" t="s">
        <v>99</v>
      </c>
      <c r="P49" s="5" t="s">
        <v>574</v>
      </c>
      <c r="Q49" s="5"/>
      <c r="R49" s="5" t="s">
        <v>45</v>
      </c>
      <c r="S49" s="5"/>
      <c r="T49" s="5" t="s">
        <v>150</v>
      </c>
      <c r="U49" s="5" t="s">
        <v>291</v>
      </c>
      <c r="V49" s="5" t="s">
        <v>564</v>
      </c>
      <c r="W49" s="5"/>
      <c r="X49" s="5" t="s">
        <v>49</v>
      </c>
      <c r="Y49" s="5" t="s">
        <v>575</v>
      </c>
      <c r="Z49" s="15" t="s">
        <v>66</v>
      </c>
      <c r="AA49" s="15"/>
      <c r="AB49" s="15"/>
      <c r="AC49" s="15"/>
    </row>
    <row r="50" spans="1:29">
      <c r="A50" s="5" t="s">
        <v>576</v>
      </c>
      <c r="B50" s="11" t="s">
        <v>133</v>
      </c>
      <c r="C50" s="5" t="s">
        <v>143</v>
      </c>
      <c r="D50" s="5" t="s">
        <v>279</v>
      </c>
      <c r="E50" s="5" t="s">
        <v>554</v>
      </c>
      <c r="F50" s="5" t="s">
        <v>555</v>
      </c>
      <c r="G50" s="5" t="s">
        <v>577</v>
      </c>
      <c r="H50" s="5" t="s">
        <v>578</v>
      </c>
      <c r="I50" s="5" t="s">
        <v>579</v>
      </c>
      <c r="J50" s="5" t="s">
        <v>580</v>
      </c>
      <c r="K50" s="5" t="s">
        <v>581</v>
      </c>
      <c r="L50" s="5" t="s">
        <v>582</v>
      </c>
      <c r="M50" s="5" t="s">
        <v>583</v>
      </c>
      <c r="N50" s="5" t="s">
        <v>563</v>
      </c>
      <c r="O50" s="5" t="s">
        <v>99</v>
      </c>
      <c r="P50" s="5" t="s">
        <v>584</v>
      </c>
      <c r="Q50" s="5"/>
      <c r="R50" s="5" t="s">
        <v>45</v>
      </c>
      <c r="S50" s="5"/>
      <c r="T50" s="5" t="s">
        <v>150</v>
      </c>
      <c r="U50" s="5" t="s">
        <v>291</v>
      </c>
      <c r="V50" s="5" t="s">
        <v>564</v>
      </c>
      <c r="W50" s="5" t="s">
        <v>585</v>
      </c>
      <c r="X50" s="5" t="s">
        <v>49</v>
      </c>
      <c r="Y50" s="5" t="s">
        <v>586</v>
      </c>
      <c r="Z50" s="15" t="s">
        <v>66</v>
      </c>
      <c r="AA50" s="15"/>
      <c r="AB50" s="15"/>
      <c r="AC50" s="15"/>
    </row>
    <row r="51" spans="1:29">
      <c r="A51" s="5" t="s">
        <v>587</v>
      </c>
      <c r="B51" s="10" t="s">
        <v>68</v>
      </c>
      <c r="C51" s="5" t="s">
        <v>55</v>
      </c>
      <c r="D51" s="5" t="s">
        <v>279</v>
      </c>
      <c r="E51" s="5" t="s">
        <v>554</v>
      </c>
      <c r="F51" s="5" t="s">
        <v>555</v>
      </c>
      <c r="G51" s="5" t="s">
        <v>567</v>
      </c>
      <c r="H51" s="5" t="s">
        <v>588</v>
      </c>
      <c r="I51" s="5" t="s">
        <v>589</v>
      </c>
      <c r="J51" s="5" t="s">
        <v>590</v>
      </c>
      <c r="K51" s="5" t="s">
        <v>591</v>
      </c>
      <c r="L51" s="5" t="s">
        <v>592</v>
      </c>
      <c r="M51" s="5" t="s">
        <v>593</v>
      </c>
      <c r="N51" s="5" t="s">
        <v>563</v>
      </c>
      <c r="O51" s="5" t="s">
        <v>99</v>
      </c>
      <c r="P51" s="5" t="s">
        <v>594</v>
      </c>
      <c r="Q51" s="5"/>
      <c r="R51" s="5" t="s">
        <v>45</v>
      </c>
      <c r="S51" s="5"/>
      <c r="T51" s="5" t="s">
        <v>150</v>
      </c>
      <c r="U51" s="5" t="s">
        <v>291</v>
      </c>
      <c r="V51" s="5" t="s">
        <v>564</v>
      </c>
      <c r="W51" s="5"/>
      <c r="X51" s="5" t="s">
        <v>49</v>
      </c>
      <c r="Y51" s="5" t="s">
        <v>595</v>
      </c>
      <c r="Z51" s="15" t="s">
        <v>66</v>
      </c>
      <c r="AA51" s="15"/>
      <c r="AB51" s="15"/>
      <c r="AC51" s="15"/>
    </row>
    <row r="52" spans="1:29">
      <c r="A52" s="5" t="s">
        <v>596</v>
      </c>
      <c r="B52" s="10" t="s">
        <v>68</v>
      </c>
      <c r="C52" s="5" t="s">
        <v>597</v>
      </c>
      <c r="D52" s="5" t="s">
        <v>279</v>
      </c>
      <c r="E52" s="5" t="s">
        <v>554</v>
      </c>
      <c r="F52" s="5" t="s">
        <v>555</v>
      </c>
      <c r="G52" s="5" t="s">
        <v>598</v>
      </c>
      <c r="H52" s="5" t="s">
        <v>599</v>
      </c>
      <c r="I52" s="5" t="s">
        <v>600</v>
      </c>
      <c r="J52" s="5" t="s">
        <v>601</v>
      </c>
      <c r="K52" s="5" t="s">
        <v>602</v>
      </c>
      <c r="L52" s="5" t="s">
        <v>603</v>
      </c>
      <c r="M52" s="5" t="s">
        <v>604</v>
      </c>
      <c r="N52" s="5" t="s">
        <v>563</v>
      </c>
      <c r="O52" s="5" t="s">
        <v>605</v>
      </c>
      <c r="P52" s="5" t="s">
        <v>606</v>
      </c>
      <c r="Q52" s="5"/>
      <c r="R52" s="5" t="s">
        <v>45</v>
      </c>
      <c r="S52" s="5"/>
      <c r="T52" s="5" t="s">
        <v>150</v>
      </c>
      <c r="U52" s="5" t="s">
        <v>291</v>
      </c>
      <c r="V52" s="5" t="s">
        <v>564</v>
      </c>
      <c r="W52" s="5"/>
      <c r="X52" s="5" t="s">
        <v>49</v>
      </c>
      <c r="Y52" s="5" t="s">
        <v>607</v>
      </c>
      <c r="Z52" s="15" t="s">
        <v>66</v>
      </c>
      <c r="AA52" s="15"/>
      <c r="AB52" s="15"/>
      <c r="AC52" s="15"/>
    </row>
    <row r="53" spans="1:29">
      <c r="A53" s="5" t="s">
        <v>608</v>
      </c>
      <c r="B53" s="10" t="s">
        <v>68</v>
      </c>
      <c r="C53" s="5" t="s">
        <v>55</v>
      </c>
      <c r="D53" s="5" t="s">
        <v>279</v>
      </c>
      <c r="E53" s="5" t="s">
        <v>554</v>
      </c>
      <c r="F53" s="5" t="s">
        <v>555</v>
      </c>
      <c r="G53" s="5" t="s">
        <v>609</v>
      </c>
      <c r="H53" s="5" t="s">
        <v>610</v>
      </c>
      <c r="I53" s="5" t="s">
        <v>611</v>
      </c>
      <c r="J53" s="5" t="s">
        <v>612</v>
      </c>
      <c r="K53" s="5" t="s">
        <v>613</v>
      </c>
      <c r="L53" s="5" t="s">
        <v>614</v>
      </c>
      <c r="M53" s="5" t="s">
        <v>615</v>
      </c>
      <c r="N53" s="5" t="s">
        <v>563</v>
      </c>
      <c r="O53" s="5" t="s">
        <v>99</v>
      </c>
      <c r="P53" s="5" t="s">
        <v>616</v>
      </c>
      <c r="Q53" s="5"/>
      <c r="R53" s="5" t="s">
        <v>45</v>
      </c>
      <c r="S53" s="5"/>
      <c r="T53" s="5" t="s">
        <v>150</v>
      </c>
      <c r="U53" s="5" t="s">
        <v>291</v>
      </c>
      <c r="V53" s="5" t="s">
        <v>564</v>
      </c>
      <c r="W53" s="5"/>
      <c r="X53" s="5" t="s">
        <v>49</v>
      </c>
      <c r="Y53" s="5" t="s">
        <v>617</v>
      </c>
      <c r="Z53" s="15" t="s">
        <v>66</v>
      </c>
      <c r="AA53" s="15"/>
      <c r="AB53" s="15"/>
      <c r="AC53" s="15"/>
    </row>
    <row r="54" spans="1:29">
      <c r="A54" s="5" t="s">
        <v>618</v>
      </c>
      <c r="B54" s="10" t="s">
        <v>68</v>
      </c>
      <c r="C54" s="5" t="s">
        <v>55</v>
      </c>
      <c r="D54" s="5" t="s">
        <v>32</v>
      </c>
      <c r="E54" s="5" t="s">
        <v>33</v>
      </c>
      <c r="F54" s="5" t="s">
        <v>34</v>
      </c>
      <c r="G54" s="5" t="s">
        <v>619</v>
      </c>
      <c r="H54" s="5" t="s">
        <v>620</v>
      </c>
      <c r="I54" s="5" t="s">
        <v>621</v>
      </c>
      <c r="J54" s="5" t="s">
        <v>622</v>
      </c>
      <c r="K54" s="5" t="s">
        <v>623</v>
      </c>
      <c r="L54" s="5" t="s">
        <v>624</v>
      </c>
      <c r="M54" s="5" t="s">
        <v>625</v>
      </c>
      <c r="N54" s="5" t="s">
        <v>626</v>
      </c>
      <c r="O54" s="5" t="s">
        <v>99</v>
      </c>
      <c r="P54" s="5" t="s">
        <v>209</v>
      </c>
      <c r="Q54" s="5"/>
      <c r="R54" s="5" t="s">
        <v>45</v>
      </c>
      <c r="S54" s="5"/>
      <c r="T54" s="5" t="s">
        <v>150</v>
      </c>
      <c r="U54" s="5" t="s">
        <v>627</v>
      </c>
      <c r="V54" s="5" t="s">
        <v>48</v>
      </c>
      <c r="W54" s="5"/>
      <c r="X54" s="5" t="s">
        <v>49</v>
      </c>
      <c r="Y54" s="5" t="s">
        <v>628</v>
      </c>
      <c r="Z54" s="15" t="s">
        <v>51</v>
      </c>
      <c r="AA54" s="15"/>
      <c r="AB54" s="15" t="s">
        <v>629</v>
      </c>
      <c r="AC54" s="15" t="s">
        <v>53</v>
      </c>
    </row>
    <row r="55" spans="1:29">
      <c r="A55" s="5" t="s">
        <v>630</v>
      </c>
      <c r="B55" s="10" t="s">
        <v>68</v>
      </c>
      <c r="C55" s="5" t="s">
        <v>531</v>
      </c>
      <c r="D55" s="5" t="s">
        <v>279</v>
      </c>
      <c r="E55" s="5" t="s">
        <v>631</v>
      </c>
      <c r="F55" s="5" t="s">
        <v>632</v>
      </c>
      <c r="G55" s="5"/>
      <c r="H55" s="5" t="s">
        <v>633</v>
      </c>
      <c r="I55" s="5" t="s">
        <v>634</v>
      </c>
      <c r="J55" s="5" t="s">
        <v>635</v>
      </c>
      <c r="K55" s="5" t="s">
        <v>636</v>
      </c>
      <c r="L55" s="5" t="s">
        <v>637</v>
      </c>
      <c r="M55" s="5" t="s">
        <v>638</v>
      </c>
      <c r="N55" s="5" t="s">
        <v>639</v>
      </c>
      <c r="O55" s="5" t="s">
        <v>99</v>
      </c>
      <c r="P55" s="5" t="s">
        <v>209</v>
      </c>
      <c r="Q55" s="5"/>
      <c r="R55" s="5" t="s">
        <v>45</v>
      </c>
      <c r="S55" s="5" t="s">
        <v>640</v>
      </c>
      <c r="T55" s="5" t="s">
        <v>53</v>
      </c>
      <c r="U55" s="5" t="s">
        <v>641</v>
      </c>
      <c r="V55" s="5" t="s">
        <v>642</v>
      </c>
      <c r="W55" s="5"/>
      <c r="X55" s="5" t="s">
        <v>49</v>
      </c>
      <c r="Y55" s="5" t="s">
        <v>643</v>
      </c>
      <c r="Z55" s="15" t="s">
        <v>51</v>
      </c>
      <c r="AA55" s="15"/>
      <c r="AB55" s="15" t="s">
        <v>644</v>
      </c>
      <c r="AC55" s="15" t="s">
        <v>53</v>
      </c>
    </row>
    <row r="56" spans="1:29">
      <c r="A56" s="5" t="s">
        <v>645</v>
      </c>
      <c r="B56" s="9" t="s">
        <v>30</v>
      </c>
      <c r="C56" s="5" t="s">
        <v>597</v>
      </c>
      <c r="D56" s="5" t="s">
        <v>279</v>
      </c>
      <c r="E56" s="5" t="s">
        <v>631</v>
      </c>
      <c r="F56" s="5" t="s">
        <v>646</v>
      </c>
      <c r="G56" s="5"/>
      <c r="H56" s="5" t="s">
        <v>647</v>
      </c>
      <c r="I56" s="5" t="s">
        <v>648</v>
      </c>
      <c r="J56" s="5" t="s">
        <v>649</v>
      </c>
      <c r="K56" s="5" t="s">
        <v>650</v>
      </c>
      <c r="L56" s="5" t="s">
        <v>651</v>
      </c>
      <c r="M56" s="5" t="s">
        <v>652</v>
      </c>
      <c r="N56" s="5" t="s">
        <v>653</v>
      </c>
      <c r="O56" s="5" t="s">
        <v>605</v>
      </c>
      <c r="P56" s="5" t="s">
        <v>209</v>
      </c>
      <c r="Q56" s="5"/>
      <c r="R56" s="5" t="s">
        <v>45</v>
      </c>
      <c r="S56" s="5" t="s">
        <v>640</v>
      </c>
      <c r="T56" s="5" t="s">
        <v>53</v>
      </c>
      <c r="U56" s="5" t="s">
        <v>641</v>
      </c>
      <c r="V56" s="5" t="s">
        <v>654</v>
      </c>
      <c r="W56" s="5"/>
      <c r="X56" s="5" t="s">
        <v>49</v>
      </c>
      <c r="Y56" s="5" t="s">
        <v>655</v>
      </c>
      <c r="Z56" s="15" t="s">
        <v>51</v>
      </c>
      <c r="AA56" s="15"/>
      <c r="AB56" s="15" t="s">
        <v>656</v>
      </c>
      <c r="AC56" s="15" t="s">
        <v>53</v>
      </c>
    </row>
    <row r="57" spans="1:29">
      <c r="A57" s="5" t="s">
        <v>657</v>
      </c>
      <c r="B57" s="11" t="s">
        <v>133</v>
      </c>
      <c r="C57" s="5" t="s">
        <v>91</v>
      </c>
      <c r="D57" s="5" t="s">
        <v>279</v>
      </c>
      <c r="E57" s="5" t="s">
        <v>631</v>
      </c>
      <c r="F57" s="5" t="s">
        <v>658</v>
      </c>
      <c r="G57" s="5"/>
      <c r="H57" s="5" t="s">
        <v>659</v>
      </c>
      <c r="I57" s="5" t="s">
        <v>660</v>
      </c>
      <c r="J57" s="5" t="s">
        <v>661</v>
      </c>
      <c r="K57" s="5" t="s">
        <v>662</v>
      </c>
      <c r="L57" s="5" t="s">
        <v>663</v>
      </c>
      <c r="M57" s="5" t="s">
        <v>664</v>
      </c>
      <c r="N57" s="5" t="s">
        <v>665</v>
      </c>
      <c r="O57" s="5" t="s">
        <v>99</v>
      </c>
      <c r="P57" s="5" t="s">
        <v>209</v>
      </c>
      <c r="Q57" s="5"/>
      <c r="R57" s="5" t="s">
        <v>45</v>
      </c>
      <c r="S57" s="5" t="s">
        <v>640</v>
      </c>
      <c r="T57" s="5" t="s">
        <v>53</v>
      </c>
      <c r="U57" s="5" t="s">
        <v>641</v>
      </c>
      <c r="V57" s="5" t="s">
        <v>666</v>
      </c>
      <c r="W57" s="5"/>
      <c r="X57" s="5" t="s">
        <v>49</v>
      </c>
      <c r="Y57" s="5" t="s">
        <v>667</v>
      </c>
      <c r="Z57" s="15" t="s">
        <v>51</v>
      </c>
      <c r="AA57" s="15"/>
      <c r="AB57" s="15" t="s">
        <v>668</v>
      </c>
      <c r="AC57" s="15" t="s">
        <v>53</v>
      </c>
    </row>
    <row r="58" spans="1:29">
      <c r="A58" s="5" t="s">
        <v>669</v>
      </c>
      <c r="B58" s="11" t="s">
        <v>133</v>
      </c>
      <c r="C58" s="5" t="s">
        <v>143</v>
      </c>
      <c r="D58" s="5" t="s">
        <v>279</v>
      </c>
      <c r="E58" s="5" t="s">
        <v>631</v>
      </c>
      <c r="F58" s="5" t="s">
        <v>670</v>
      </c>
      <c r="G58" s="5"/>
      <c r="H58" s="5" t="s">
        <v>671</v>
      </c>
      <c r="I58" s="5" t="s">
        <v>672</v>
      </c>
      <c r="J58" s="5" t="s">
        <v>673</v>
      </c>
      <c r="K58" s="5" t="s">
        <v>674</v>
      </c>
      <c r="L58" s="5" t="s">
        <v>675</v>
      </c>
      <c r="M58" s="5" t="s">
        <v>676</v>
      </c>
      <c r="N58" s="5" t="s">
        <v>677</v>
      </c>
      <c r="O58" s="5" t="s">
        <v>99</v>
      </c>
      <c r="P58" s="5" t="s">
        <v>678</v>
      </c>
      <c r="Q58" s="5"/>
      <c r="R58" s="5" t="s">
        <v>45</v>
      </c>
      <c r="S58" s="5" t="s">
        <v>640</v>
      </c>
      <c r="T58" s="5" t="s">
        <v>53</v>
      </c>
      <c r="U58" s="5" t="s">
        <v>641</v>
      </c>
      <c r="V58" s="5" t="s">
        <v>679</v>
      </c>
      <c r="W58" s="5" t="s">
        <v>680</v>
      </c>
      <c r="X58" s="5" t="s">
        <v>49</v>
      </c>
      <c r="Y58" s="5" t="s">
        <v>681</v>
      </c>
      <c r="Z58" s="15" t="s">
        <v>51</v>
      </c>
      <c r="AA58" s="15"/>
      <c r="AB58" s="15" t="s">
        <v>682</v>
      </c>
      <c r="AC58" s="15" t="s">
        <v>247</v>
      </c>
    </row>
    <row r="59" spans="1:29">
      <c r="A59" s="5" t="s">
        <v>683</v>
      </c>
      <c r="B59" s="10" t="s">
        <v>68</v>
      </c>
      <c r="C59" s="5" t="s">
        <v>91</v>
      </c>
      <c r="D59" s="5" t="s">
        <v>279</v>
      </c>
      <c r="E59" s="5" t="s">
        <v>631</v>
      </c>
      <c r="F59" s="5" t="s">
        <v>684</v>
      </c>
      <c r="G59" s="5"/>
      <c r="H59" s="5" t="s">
        <v>685</v>
      </c>
      <c r="I59" s="5" t="s">
        <v>686</v>
      </c>
      <c r="J59" s="5" t="s">
        <v>687</v>
      </c>
      <c r="K59" s="5" t="s">
        <v>688</v>
      </c>
      <c r="L59" s="5" t="s">
        <v>689</v>
      </c>
      <c r="M59" s="5" t="s">
        <v>690</v>
      </c>
      <c r="N59" s="5" t="s">
        <v>691</v>
      </c>
      <c r="O59" s="5" t="s">
        <v>99</v>
      </c>
      <c r="P59" s="5" t="s">
        <v>209</v>
      </c>
      <c r="Q59" s="5"/>
      <c r="R59" s="5" t="s">
        <v>45</v>
      </c>
      <c r="S59" s="5" t="s">
        <v>640</v>
      </c>
      <c r="T59" s="5" t="s">
        <v>53</v>
      </c>
      <c r="U59" s="5" t="s">
        <v>641</v>
      </c>
      <c r="V59" s="5" t="s">
        <v>692</v>
      </c>
      <c r="W59" s="5"/>
      <c r="X59" s="5" t="s">
        <v>49</v>
      </c>
      <c r="Y59" s="5" t="s">
        <v>693</v>
      </c>
      <c r="Z59" s="15" t="s">
        <v>51</v>
      </c>
      <c r="AA59" s="15"/>
      <c r="AB59" s="15" t="s">
        <v>694</v>
      </c>
      <c r="AC59" s="15" t="s">
        <v>53</v>
      </c>
    </row>
    <row r="60" spans="1:29">
      <c r="A60" s="5" t="s">
        <v>695</v>
      </c>
      <c r="B60" s="9" t="s">
        <v>30</v>
      </c>
      <c r="C60" s="5" t="s">
        <v>91</v>
      </c>
      <c r="D60" s="5" t="s">
        <v>279</v>
      </c>
      <c r="E60" s="5" t="s">
        <v>631</v>
      </c>
      <c r="F60" s="5" t="s">
        <v>696</v>
      </c>
      <c r="G60" s="5"/>
      <c r="H60" s="5" t="s">
        <v>697</v>
      </c>
      <c r="I60" s="5" t="s">
        <v>698</v>
      </c>
      <c r="J60" s="5" t="s">
        <v>699</v>
      </c>
      <c r="K60" s="5" t="s">
        <v>700</v>
      </c>
      <c r="L60" s="5" t="s">
        <v>701</v>
      </c>
      <c r="M60" s="5" t="s">
        <v>702</v>
      </c>
      <c r="N60" s="5" t="s">
        <v>703</v>
      </c>
      <c r="O60" s="5" t="s">
        <v>605</v>
      </c>
      <c r="P60" s="5" t="s">
        <v>209</v>
      </c>
      <c r="Q60" s="5"/>
      <c r="R60" s="5" t="s">
        <v>45</v>
      </c>
      <c r="S60" s="5" t="s">
        <v>640</v>
      </c>
      <c r="T60" s="5" t="s">
        <v>53</v>
      </c>
      <c r="U60" s="5" t="s">
        <v>641</v>
      </c>
      <c r="V60" s="5" t="s">
        <v>704</v>
      </c>
      <c r="W60" s="5"/>
      <c r="X60" s="5" t="s">
        <v>49</v>
      </c>
      <c r="Y60" s="5" t="s">
        <v>705</v>
      </c>
      <c r="Z60" s="15" t="s">
        <v>51</v>
      </c>
      <c r="AA60" s="15"/>
      <c r="AB60" s="15" t="s">
        <v>706</v>
      </c>
      <c r="AC60" s="15" t="s">
        <v>53</v>
      </c>
    </row>
    <row r="61" spans="1:29">
      <c r="A61" s="5" t="s">
        <v>707</v>
      </c>
      <c r="B61" s="10" t="s">
        <v>68</v>
      </c>
      <c r="C61" s="5" t="s">
        <v>531</v>
      </c>
      <c r="D61" s="5" t="s">
        <v>279</v>
      </c>
      <c r="E61" s="5" t="s">
        <v>708</v>
      </c>
      <c r="F61" s="5" t="s">
        <v>709</v>
      </c>
      <c r="G61" s="5"/>
      <c r="H61" s="5" t="s">
        <v>710</v>
      </c>
      <c r="I61" s="5" t="s">
        <v>711</v>
      </c>
      <c r="J61" s="5" t="s">
        <v>712</v>
      </c>
      <c r="K61" s="5" t="s">
        <v>713</v>
      </c>
      <c r="L61" s="5" t="s">
        <v>714</v>
      </c>
      <c r="M61" s="5" t="s">
        <v>715</v>
      </c>
      <c r="N61" s="5" t="s">
        <v>716</v>
      </c>
      <c r="O61" s="5" t="s">
        <v>99</v>
      </c>
      <c r="P61" s="5" t="s">
        <v>209</v>
      </c>
      <c r="Q61" s="5"/>
      <c r="R61" s="5" t="s">
        <v>45</v>
      </c>
      <c r="S61" s="5" t="s">
        <v>640</v>
      </c>
      <c r="T61" s="5" t="s">
        <v>53</v>
      </c>
      <c r="U61" s="5" t="s">
        <v>641</v>
      </c>
      <c r="V61" s="5" t="s">
        <v>717</v>
      </c>
      <c r="W61" s="5" t="s">
        <v>718</v>
      </c>
      <c r="X61" s="5" t="s">
        <v>49</v>
      </c>
      <c r="Y61" s="5" t="s">
        <v>719</v>
      </c>
      <c r="Z61" s="15" t="s">
        <v>51</v>
      </c>
      <c r="AA61" s="15"/>
      <c r="AB61" s="15" t="s">
        <v>720</v>
      </c>
      <c r="AC61" s="15" t="s">
        <v>53</v>
      </c>
    </row>
    <row r="62" spans="1:29">
      <c r="A62" s="5" t="s">
        <v>721</v>
      </c>
      <c r="B62" s="11" t="s">
        <v>133</v>
      </c>
      <c r="C62" s="5" t="s">
        <v>143</v>
      </c>
      <c r="D62" s="5" t="s">
        <v>279</v>
      </c>
      <c r="E62" s="5" t="s">
        <v>708</v>
      </c>
      <c r="F62" s="5" t="s">
        <v>709</v>
      </c>
      <c r="G62" s="5"/>
      <c r="H62" s="5" t="s">
        <v>722</v>
      </c>
      <c r="I62" s="5" t="s">
        <v>723</v>
      </c>
      <c r="J62" s="5" t="s">
        <v>724</v>
      </c>
      <c r="K62" s="5" t="s">
        <v>725</v>
      </c>
      <c r="L62" s="5" t="s">
        <v>726</v>
      </c>
      <c r="M62" s="5" t="s">
        <v>727</v>
      </c>
      <c r="N62" s="5" t="s">
        <v>716</v>
      </c>
      <c r="O62" s="5" t="s">
        <v>99</v>
      </c>
      <c r="P62" s="5" t="s">
        <v>728</v>
      </c>
      <c r="Q62" s="5"/>
      <c r="R62" s="5" t="s">
        <v>45</v>
      </c>
      <c r="S62" s="5" t="s">
        <v>640</v>
      </c>
      <c r="T62" s="5" t="s">
        <v>53</v>
      </c>
      <c r="U62" s="5" t="s">
        <v>641</v>
      </c>
      <c r="V62" s="5" t="s">
        <v>717</v>
      </c>
      <c r="W62" s="5" t="s">
        <v>729</v>
      </c>
      <c r="X62" s="5" t="s">
        <v>128</v>
      </c>
      <c r="Y62" s="5" t="s">
        <v>730</v>
      </c>
      <c r="Z62" s="15" t="s">
        <v>51</v>
      </c>
      <c r="AA62" s="15"/>
      <c r="AB62" s="15" t="s">
        <v>731</v>
      </c>
      <c r="AC62" s="15" t="s">
        <v>247</v>
      </c>
    </row>
    <row r="63" spans="1:29">
      <c r="A63" s="5" t="s">
        <v>732</v>
      </c>
      <c r="B63" s="11" t="s">
        <v>133</v>
      </c>
      <c r="C63" s="5" t="s">
        <v>55</v>
      </c>
      <c r="D63" s="5" t="s">
        <v>279</v>
      </c>
      <c r="E63" s="5" t="s">
        <v>631</v>
      </c>
      <c r="F63" s="5" t="s">
        <v>632</v>
      </c>
      <c r="G63" s="5"/>
      <c r="H63" s="5" t="s">
        <v>733</v>
      </c>
      <c r="I63" s="5" t="s">
        <v>734</v>
      </c>
      <c r="J63" s="5" t="s">
        <v>735</v>
      </c>
      <c r="K63" s="5" t="s">
        <v>736</v>
      </c>
      <c r="L63" s="5" t="s">
        <v>737</v>
      </c>
      <c r="M63" s="5" t="s">
        <v>738</v>
      </c>
      <c r="N63" s="5" t="s">
        <v>739</v>
      </c>
      <c r="O63" s="5" t="s">
        <v>99</v>
      </c>
      <c r="P63" s="5" t="s">
        <v>209</v>
      </c>
      <c r="Q63" s="5"/>
      <c r="R63" s="5" t="s">
        <v>45</v>
      </c>
      <c r="S63" s="5" t="s">
        <v>640</v>
      </c>
      <c r="T63" s="5" t="s">
        <v>53</v>
      </c>
      <c r="U63" s="5" t="s">
        <v>641</v>
      </c>
      <c r="V63" s="5" t="s">
        <v>642</v>
      </c>
      <c r="W63" s="5"/>
      <c r="X63" s="5" t="s">
        <v>49</v>
      </c>
      <c r="Y63" s="5" t="s">
        <v>740</v>
      </c>
      <c r="Z63" s="15" t="s">
        <v>51</v>
      </c>
      <c r="AA63" s="15"/>
      <c r="AB63" s="15" t="s">
        <v>741</v>
      </c>
      <c r="AC63" s="15" t="s">
        <v>53</v>
      </c>
    </row>
    <row r="64" spans="1:29">
      <c r="A64" s="5" t="s">
        <v>742</v>
      </c>
      <c r="B64" s="11" t="s">
        <v>133</v>
      </c>
      <c r="C64" s="5" t="s">
        <v>55</v>
      </c>
      <c r="D64" s="5" t="s">
        <v>224</v>
      </c>
      <c r="E64" s="5" t="s">
        <v>32</v>
      </c>
      <c r="F64" s="5" t="s">
        <v>225</v>
      </c>
      <c r="G64" s="5"/>
      <c r="H64" s="5" t="s">
        <v>743</v>
      </c>
      <c r="I64" s="5" t="s">
        <v>744</v>
      </c>
      <c r="J64" s="5" t="s">
        <v>745</v>
      </c>
      <c r="K64" s="5" t="s">
        <v>746</v>
      </c>
      <c r="L64" s="5" t="s">
        <v>747</v>
      </c>
      <c r="M64" s="5" t="s">
        <v>748</v>
      </c>
      <c r="N64" s="5" t="s">
        <v>749</v>
      </c>
      <c r="O64" s="5" t="s">
        <v>99</v>
      </c>
      <c r="P64" s="5" t="s">
        <v>209</v>
      </c>
      <c r="Q64" s="5"/>
      <c r="R64" s="5" t="s">
        <v>45</v>
      </c>
      <c r="S64" s="5" t="s">
        <v>640</v>
      </c>
      <c r="T64" s="5" t="s">
        <v>53</v>
      </c>
      <c r="U64" s="5" t="s">
        <v>641</v>
      </c>
      <c r="V64" s="5" t="s">
        <v>234</v>
      </c>
      <c r="W64" s="5"/>
      <c r="X64" s="5" t="s">
        <v>49</v>
      </c>
      <c r="Y64" s="5" t="s">
        <v>750</v>
      </c>
      <c r="Z64" s="15" t="s">
        <v>51</v>
      </c>
      <c r="AA64" s="15"/>
      <c r="AB64" s="15" t="s">
        <v>751</v>
      </c>
      <c r="AC64" s="15" t="s">
        <v>53</v>
      </c>
    </row>
    <row r="65" spans="1:29">
      <c r="A65" s="5" t="s">
        <v>752</v>
      </c>
      <c r="B65" s="11" t="s">
        <v>133</v>
      </c>
      <c r="C65" s="5" t="s">
        <v>597</v>
      </c>
      <c r="D65" s="5" t="s">
        <v>224</v>
      </c>
      <c r="E65" s="5" t="s">
        <v>32</v>
      </c>
      <c r="F65" s="5" t="s">
        <v>225</v>
      </c>
      <c r="G65" s="5"/>
      <c r="H65" s="5" t="s">
        <v>753</v>
      </c>
      <c r="I65" s="5" t="s">
        <v>754</v>
      </c>
      <c r="J65" s="5" t="s">
        <v>755</v>
      </c>
      <c r="K65" s="5" t="s">
        <v>756</v>
      </c>
      <c r="L65" s="5" t="s">
        <v>757</v>
      </c>
      <c r="M65" s="5" t="s">
        <v>758</v>
      </c>
      <c r="N65" s="5" t="s">
        <v>759</v>
      </c>
      <c r="O65" s="5" t="s">
        <v>99</v>
      </c>
      <c r="P65" s="5" t="s">
        <v>209</v>
      </c>
      <c r="Q65" s="5"/>
      <c r="R65" s="5" t="s">
        <v>45</v>
      </c>
      <c r="S65" s="5" t="s">
        <v>640</v>
      </c>
      <c r="T65" s="5" t="s">
        <v>53</v>
      </c>
      <c r="U65" s="5" t="s">
        <v>641</v>
      </c>
      <c r="V65" s="5" t="s">
        <v>234</v>
      </c>
      <c r="W65" s="5"/>
      <c r="X65" s="5" t="s">
        <v>49</v>
      </c>
      <c r="Y65" s="5" t="s">
        <v>760</v>
      </c>
      <c r="Z65" s="15" t="s">
        <v>51</v>
      </c>
      <c r="AA65" s="15"/>
      <c r="AB65" s="15" t="s">
        <v>761</v>
      </c>
      <c r="AC65" s="15" t="s">
        <v>53</v>
      </c>
    </row>
    <row r="66" spans="1:29">
      <c r="A66" s="5" t="s">
        <v>762</v>
      </c>
      <c r="B66" s="10" t="s">
        <v>68</v>
      </c>
      <c r="C66" s="5" t="s">
        <v>597</v>
      </c>
      <c r="D66" s="5" t="s">
        <v>279</v>
      </c>
      <c r="E66" s="5" t="s">
        <v>763</v>
      </c>
      <c r="F66" s="5" t="s">
        <v>764</v>
      </c>
      <c r="G66" s="5"/>
      <c r="H66" s="5" t="s">
        <v>765</v>
      </c>
      <c r="I66" s="5" t="s">
        <v>766</v>
      </c>
      <c r="J66" s="5" t="s">
        <v>767</v>
      </c>
      <c r="K66" s="5" t="s">
        <v>768</v>
      </c>
      <c r="L66" s="5" t="s">
        <v>769</v>
      </c>
      <c r="M66" s="5" t="s">
        <v>770</v>
      </c>
      <c r="N66" s="5" t="s">
        <v>771</v>
      </c>
      <c r="O66" s="5" t="s">
        <v>99</v>
      </c>
      <c r="P66" s="5" t="s">
        <v>209</v>
      </c>
      <c r="Q66" s="5"/>
      <c r="R66" s="5" t="s">
        <v>45</v>
      </c>
      <c r="S66" s="5" t="s">
        <v>640</v>
      </c>
      <c r="T66" s="5" t="s">
        <v>53</v>
      </c>
      <c r="U66" s="5" t="s">
        <v>641</v>
      </c>
      <c r="V66" s="5" t="s">
        <v>772</v>
      </c>
      <c r="W66" s="5"/>
      <c r="X66" s="5" t="s">
        <v>49</v>
      </c>
      <c r="Y66" s="5" t="s">
        <v>773</v>
      </c>
      <c r="Z66" s="15" t="s">
        <v>51</v>
      </c>
      <c r="AA66" s="15"/>
      <c r="AB66" s="15" t="s">
        <v>774</v>
      </c>
      <c r="AC66" s="15" t="s">
        <v>53</v>
      </c>
    </row>
    <row r="67" spans="1:29">
      <c r="A67" s="5" t="s">
        <v>775</v>
      </c>
      <c r="B67" s="11" t="s">
        <v>133</v>
      </c>
      <c r="C67" s="5" t="s">
        <v>143</v>
      </c>
      <c r="D67" s="5" t="s">
        <v>279</v>
      </c>
      <c r="E67" s="5" t="s">
        <v>763</v>
      </c>
      <c r="F67" s="5" t="s">
        <v>776</v>
      </c>
      <c r="G67" s="5"/>
      <c r="H67" s="5" t="s">
        <v>777</v>
      </c>
      <c r="I67" s="5" t="s">
        <v>778</v>
      </c>
      <c r="J67" s="5" t="s">
        <v>779</v>
      </c>
      <c r="K67" s="5" t="s">
        <v>780</v>
      </c>
      <c r="L67" s="5" t="s">
        <v>781</v>
      </c>
      <c r="M67" s="5" t="s">
        <v>782</v>
      </c>
      <c r="N67" s="5" t="s">
        <v>783</v>
      </c>
      <c r="O67" s="5" t="s">
        <v>99</v>
      </c>
      <c r="P67" s="5" t="s">
        <v>209</v>
      </c>
      <c r="Q67" s="5"/>
      <c r="R67" s="5" t="s">
        <v>45</v>
      </c>
      <c r="S67" s="5" t="s">
        <v>640</v>
      </c>
      <c r="T67" s="5" t="s">
        <v>53</v>
      </c>
      <c r="U67" s="5" t="s">
        <v>641</v>
      </c>
      <c r="V67" s="5" t="s">
        <v>784</v>
      </c>
      <c r="W67" s="5"/>
      <c r="X67" s="5" t="s">
        <v>49</v>
      </c>
      <c r="Y67" s="5" t="s">
        <v>785</v>
      </c>
      <c r="Z67" s="15" t="s">
        <v>51</v>
      </c>
      <c r="AA67" s="15"/>
      <c r="AB67" s="15" t="s">
        <v>786</v>
      </c>
      <c r="AC67" s="15" t="s">
        <v>53</v>
      </c>
    </row>
    <row r="68" spans="1:29">
      <c r="A68" s="5" t="s">
        <v>787</v>
      </c>
      <c r="B68" s="11" t="s">
        <v>133</v>
      </c>
      <c r="C68" s="5" t="s">
        <v>531</v>
      </c>
      <c r="D68" s="5" t="s">
        <v>279</v>
      </c>
      <c r="E68" s="5" t="s">
        <v>763</v>
      </c>
      <c r="F68" s="5" t="s">
        <v>788</v>
      </c>
      <c r="G68" s="5"/>
      <c r="H68" s="5" t="s">
        <v>789</v>
      </c>
      <c r="I68" s="5" t="s">
        <v>790</v>
      </c>
      <c r="J68" s="5" t="s">
        <v>791</v>
      </c>
      <c r="K68" s="5" t="s">
        <v>792</v>
      </c>
      <c r="L68" s="5" t="s">
        <v>793</v>
      </c>
      <c r="M68" s="5" t="s">
        <v>794</v>
      </c>
      <c r="N68" s="5" t="s">
        <v>795</v>
      </c>
      <c r="O68" s="5" t="s">
        <v>99</v>
      </c>
      <c r="P68" s="5" t="s">
        <v>796</v>
      </c>
      <c r="Q68" s="5"/>
      <c r="R68" s="5" t="s">
        <v>45</v>
      </c>
      <c r="S68" s="5" t="s">
        <v>640</v>
      </c>
      <c r="T68" s="5" t="s">
        <v>53</v>
      </c>
      <c r="U68" s="5" t="s">
        <v>641</v>
      </c>
      <c r="V68" s="5" t="s">
        <v>797</v>
      </c>
      <c r="W68" s="5"/>
      <c r="X68" s="5" t="s">
        <v>49</v>
      </c>
      <c r="Y68" s="5" t="s">
        <v>798</v>
      </c>
      <c r="Z68" s="15" t="s">
        <v>51</v>
      </c>
      <c r="AA68" s="15"/>
      <c r="AB68" s="15" t="s">
        <v>799</v>
      </c>
      <c r="AC68" s="15" t="s">
        <v>53</v>
      </c>
    </row>
    <row r="69" spans="1:29">
      <c r="A69" s="5" t="s">
        <v>800</v>
      </c>
      <c r="B69" s="11" t="s">
        <v>133</v>
      </c>
      <c r="C69" s="5" t="s">
        <v>55</v>
      </c>
      <c r="D69" s="5" t="s">
        <v>279</v>
      </c>
      <c r="E69" s="5" t="s">
        <v>631</v>
      </c>
      <c r="F69" s="5" t="s">
        <v>632</v>
      </c>
      <c r="G69" s="5"/>
      <c r="H69" s="5" t="s">
        <v>801</v>
      </c>
      <c r="I69" s="5" t="s">
        <v>802</v>
      </c>
      <c r="J69" s="5" t="s">
        <v>803</v>
      </c>
      <c r="K69" s="5" t="s">
        <v>804</v>
      </c>
      <c r="L69" s="5" t="s">
        <v>805</v>
      </c>
      <c r="M69" s="5" t="s">
        <v>806</v>
      </c>
      <c r="N69" s="5" t="s">
        <v>807</v>
      </c>
      <c r="O69" s="5" t="s">
        <v>808</v>
      </c>
      <c r="P69" s="5" t="s">
        <v>809</v>
      </c>
      <c r="Q69" s="5"/>
      <c r="R69" s="5" t="s">
        <v>45</v>
      </c>
      <c r="S69" s="5" t="s">
        <v>810</v>
      </c>
      <c r="T69" s="5" t="s">
        <v>53</v>
      </c>
      <c r="U69" s="5" t="s">
        <v>811</v>
      </c>
      <c r="V69" s="5" t="s">
        <v>642</v>
      </c>
      <c r="W69" s="5"/>
      <c r="X69" s="5" t="s">
        <v>49</v>
      </c>
      <c r="Y69" s="5" t="s">
        <v>812</v>
      </c>
      <c r="Z69" s="15" t="s">
        <v>51</v>
      </c>
      <c r="AA69" s="15"/>
      <c r="AB69" s="15" t="s">
        <v>813</v>
      </c>
      <c r="AC69" s="15" t="s">
        <v>247</v>
      </c>
    </row>
    <row r="70" spans="1:29">
      <c r="A70" s="5" t="s">
        <v>814</v>
      </c>
      <c r="B70" s="11" t="s">
        <v>133</v>
      </c>
      <c r="C70" s="5" t="s">
        <v>143</v>
      </c>
      <c r="D70" s="5" t="s">
        <v>32</v>
      </c>
      <c r="E70" s="5" t="s">
        <v>114</v>
      </c>
      <c r="F70" s="5" t="s">
        <v>115</v>
      </c>
      <c r="G70" s="5"/>
      <c r="H70" s="5" t="s">
        <v>815</v>
      </c>
      <c r="I70" s="5" t="s">
        <v>816</v>
      </c>
      <c r="J70" s="5" t="s">
        <v>817</v>
      </c>
      <c r="K70" s="5" t="s">
        <v>818</v>
      </c>
      <c r="L70" s="5" t="s">
        <v>819</v>
      </c>
      <c r="M70" s="5" t="s">
        <v>820</v>
      </c>
      <c r="N70" s="5" t="s">
        <v>821</v>
      </c>
      <c r="O70" s="5" t="s">
        <v>99</v>
      </c>
      <c r="P70" s="5" t="s">
        <v>822</v>
      </c>
      <c r="Q70" s="5"/>
      <c r="R70" s="5" t="s">
        <v>45</v>
      </c>
      <c r="S70" s="5" t="s">
        <v>810</v>
      </c>
      <c r="T70" s="5" t="s">
        <v>53</v>
      </c>
      <c r="U70" s="5" t="s">
        <v>811</v>
      </c>
      <c r="V70" s="5" t="s">
        <v>126</v>
      </c>
      <c r="W70" s="5"/>
      <c r="X70" s="5" t="s">
        <v>49</v>
      </c>
      <c r="Y70" s="5" t="s">
        <v>823</v>
      </c>
      <c r="Z70" s="15" t="s">
        <v>66</v>
      </c>
      <c r="AA70" s="15"/>
      <c r="AB70" s="15"/>
      <c r="AC70" s="15"/>
    </row>
    <row r="71" spans="1:29">
      <c r="A71" s="5" t="s">
        <v>824</v>
      </c>
      <c r="B71" s="11" t="s">
        <v>133</v>
      </c>
      <c r="C71" s="5" t="s">
        <v>55</v>
      </c>
      <c r="D71" s="5" t="s">
        <v>224</v>
      </c>
      <c r="E71" s="5" t="s">
        <v>32</v>
      </c>
      <c r="F71" s="5" t="s">
        <v>225</v>
      </c>
      <c r="G71" s="5"/>
      <c r="H71" s="5" t="s">
        <v>825</v>
      </c>
      <c r="I71" s="5" t="s">
        <v>826</v>
      </c>
      <c r="J71" s="5" t="s">
        <v>827</v>
      </c>
      <c r="K71" s="5" t="s">
        <v>828</v>
      </c>
      <c r="L71" s="5" t="s">
        <v>829</v>
      </c>
      <c r="M71" s="5" t="s">
        <v>830</v>
      </c>
      <c r="N71" s="5" t="s">
        <v>749</v>
      </c>
      <c r="O71" s="5" t="s">
        <v>99</v>
      </c>
      <c r="P71" s="5" t="s">
        <v>209</v>
      </c>
      <c r="Q71" s="5"/>
      <c r="R71" s="5" t="s">
        <v>45</v>
      </c>
      <c r="S71" s="5" t="s">
        <v>810</v>
      </c>
      <c r="T71" s="5" t="s">
        <v>53</v>
      </c>
      <c r="U71" s="5" t="s">
        <v>811</v>
      </c>
      <c r="V71" s="5" t="s">
        <v>234</v>
      </c>
      <c r="W71" s="5"/>
      <c r="X71" s="5" t="s">
        <v>128</v>
      </c>
      <c r="Y71" s="5" t="s">
        <v>831</v>
      </c>
      <c r="Z71" s="15" t="s">
        <v>130</v>
      </c>
      <c r="AA71" s="15"/>
      <c r="AB71" s="15" t="s">
        <v>832</v>
      </c>
      <c r="AC71" s="15"/>
    </row>
    <row r="72" spans="1:29">
      <c r="A72" s="5" t="s">
        <v>833</v>
      </c>
      <c r="B72" s="11" t="s">
        <v>133</v>
      </c>
      <c r="C72" s="5" t="s">
        <v>191</v>
      </c>
      <c r="D72" s="5" t="s">
        <v>32</v>
      </c>
      <c r="E72" s="5" t="s">
        <v>33</v>
      </c>
      <c r="F72" s="5" t="s">
        <v>34</v>
      </c>
      <c r="G72" s="5"/>
      <c r="H72" s="5" t="s">
        <v>834</v>
      </c>
      <c r="I72" s="5" t="s">
        <v>835</v>
      </c>
      <c r="J72" s="5" t="s">
        <v>836</v>
      </c>
      <c r="K72" s="5" t="s">
        <v>837</v>
      </c>
      <c r="L72" s="5" t="s">
        <v>838</v>
      </c>
      <c r="M72" s="5" t="s">
        <v>839</v>
      </c>
      <c r="N72" s="5" t="s">
        <v>626</v>
      </c>
      <c r="O72" s="5" t="s">
        <v>99</v>
      </c>
      <c r="P72" s="5" t="s">
        <v>840</v>
      </c>
      <c r="Q72" s="5"/>
      <c r="R72" s="5" t="s">
        <v>45</v>
      </c>
      <c r="S72" s="5" t="s">
        <v>810</v>
      </c>
      <c r="T72" s="5" t="s">
        <v>53</v>
      </c>
      <c r="U72" s="5" t="s">
        <v>811</v>
      </c>
      <c r="V72" s="5" t="s">
        <v>48</v>
      </c>
      <c r="W72" s="5"/>
      <c r="X72" s="5" t="s">
        <v>49</v>
      </c>
      <c r="Y72" s="5" t="s">
        <v>841</v>
      </c>
      <c r="Z72" s="15" t="s">
        <v>66</v>
      </c>
      <c r="AA72" s="15"/>
      <c r="AB72" s="15"/>
      <c r="AC72" s="15"/>
    </row>
    <row r="73" spans="1:29">
      <c r="A73" s="5" t="s">
        <v>842</v>
      </c>
      <c r="B73" s="11" t="s">
        <v>133</v>
      </c>
      <c r="C73" s="5" t="s">
        <v>31</v>
      </c>
      <c r="D73" s="5" t="s">
        <v>32</v>
      </c>
      <c r="E73" s="5" t="s">
        <v>33</v>
      </c>
      <c r="F73" s="5" t="s">
        <v>34</v>
      </c>
      <c r="G73" s="5"/>
      <c r="H73" s="5" t="s">
        <v>843</v>
      </c>
      <c r="I73" s="5" t="s">
        <v>844</v>
      </c>
      <c r="J73" s="5" t="s">
        <v>845</v>
      </c>
      <c r="K73" s="5" t="s">
        <v>846</v>
      </c>
      <c r="L73" s="5" t="s">
        <v>847</v>
      </c>
      <c r="M73" s="5" t="s">
        <v>848</v>
      </c>
      <c r="N73" s="5" t="s">
        <v>626</v>
      </c>
      <c r="O73" s="5" t="s">
        <v>849</v>
      </c>
      <c r="P73" s="5" t="s">
        <v>850</v>
      </c>
      <c r="Q73" s="5"/>
      <c r="R73" s="5" t="s">
        <v>45</v>
      </c>
      <c r="S73" s="5" t="s">
        <v>810</v>
      </c>
      <c r="T73" s="5" t="s">
        <v>53</v>
      </c>
      <c r="U73" s="5" t="s">
        <v>811</v>
      </c>
      <c r="V73" s="5" t="s">
        <v>48</v>
      </c>
      <c r="W73" s="5"/>
      <c r="X73" s="5" t="s">
        <v>49</v>
      </c>
      <c r="Y73" s="5" t="s">
        <v>851</v>
      </c>
      <c r="Z73" s="15" t="s">
        <v>51</v>
      </c>
      <c r="AA73" s="15"/>
      <c r="AB73" s="15" t="s">
        <v>852</v>
      </c>
      <c r="AC73" s="15" t="s">
        <v>247</v>
      </c>
    </row>
    <row r="74" spans="1:29">
      <c r="A74" s="5" t="s">
        <v>853</v>
      </c>
      <c r="B74" s="11" t="s">
        <v>133</v>
      </c>
      <c r="C74" s="5" t="s">
        <v>143</v>
      </c>
      <c r="D74" s="5" t="s">
        <v>32</v>
      </c>
      <c r="E74" s="5" t="s">
        <v>33</v>
      </c>
      <c r="F74" s="5" t="s">
        <v>34</v>
      </c>
      <c r="G74" s="5"/>
      <c r="H74" s="5" t="s">
        <v>854</v>
      </c>
      <c r="I74" s="5" t="s">
        <v>855</v>
      </c>
      <c r="J74" s="5" t="s">
        <v>856</v>
      </c>
      <c r="K74" s="5" t="s">
        <v>857</v>
      </c>
      <c r="L74" s="5" t="s">
        <v>858</v>
      </c>
      <c r="M74" s="5" t="s">
        <v>859</v>
      </c>
      <c r="N74" s="5" t="s">
        <v>626</v>
      </c>
      <c r="O74" s="5" t="s">
        <v>860</v>
      </c>
      <c r="P74" s="5" t="s">
        <v>861</v>
      </c>
      <c r="Q74" s="5"/>
      <c r="R74" s="5" t="s">
        <v>45</v>
      </c>
      <c r="S74" s="5" t="s">
        <v>810</v>
      </c>
      <c r="T74" s="5" t="s">
        <v>53</v>
      </c>
      <c r="U74" s="5" t="s">
        <v>811</v>
      </c>
      <c r="V74" s="5" t="s">
        <v>48</v>
      </c>
      <c r="W74" s="5"/>
      <c r="X74" s="5" t="s">
        <v>49</v>
      </c>
      <c r="Y74" s="5" t="s">
        <v>862</v>
      </c>
      <c r="Z74" s="15" t="s">
        <v>51</v>
      </c>
      <c r="AA74" s="15"/>
      <c r="AB74" s="15" t="s">
        <v>863</v>
      </c>
      <c r="AC74" s="15" t="s">
        <v>247</v>
      </c>
    </row>
    <row r="75" spans="1:29">
      <c r="A75" s="5" t="s">
        <v>864</v>
      </c>
      <c r="B75" s="11" t="s">
        <v>133</v>
      </c>
      <c r="C75" s="5" t="s">
        <v>191</v>
      </c>
      <c r="D75" s="5" t="s">
        <v>279</v>
      </c>
      <c r="E75" s="5" t="s">
        <v>280</v>
      </c>
      <c r="F75" s="5" t="s">
        <v>281</v>
      </c>
      <c r="G75" s="5" t="s">
        <v>297</v>
      </c>
      <c r="H75" s="5" t="s">
        <v>865</v>
      </c>
      <c r="I75" s="5" t="s">
        <v>866</v>
      </c>
      <c r="J75" s="5" t="s">
        <v>867</v>
      </c>
      <c r="K75" s="5" t="s">
        <v>868</v>
      </c>
      <c r="L75" s="5" t="s">
        <v>869</v>
      </c>
      <c r="M75" s="5" t="s">
        <v>870</v>
      </c>
      <c r="N75" s="5" t="s">
        <v>289</v>
      </c>
      <c r="O75" s="5" t="s">
        <v>99</v>
      </c>
      <c r="P75" s="5" t="s">
        <v>871</v>
      </c>
      <c r="Q75" s="5"/>
      <c r="R75" s="5" t="s">
        <v>45</v>
      </c>
      <c r="S75" s="5" t="s">
        <v>810</v>
      </c>
      <c r="T75" s="5" t="s">
        <v>53</v>
      </c>
      <c r="U75" s="5" t="s">
        <v>811</v>
      </c>
      <c r="V75" s="5" t="s">
        <v>292</v>
      </c>
      <c r="W75" s="5"/>
      <c r="X75" s="5" t="s">
        <v>49</v>
      </c>
      <c r="Y75" s="5" t="s">
        <v>872</v>
      </c>
      <c r="Z75" s="15" t="s">
        <v>66</v>
      </c>
      <c r="AA75" s="15"/>
      <c r="AB75" s="15"/>
      <c r="AC75" s="15"/>
    </row>
    <row r="76" spans="1:29">
      <c r="A76" s="5" t="s">
        <v>873</v>
      </c>
      <c r="B76" s="11" t="s">
        <v>133</v>
      </c>
      <c r="C76" s="5" t="s">
        <v>191</v>
      </c>
      <c r="D76" s="5" t="s">
        <v>279</v>
      </c>
      <c r="E76" s="5" t="s">
        <v>280</v>
      </c>
      <c r="F76" s="5" t="s">
        <v>281</v>
      </c>
      <c r="G76" s="5" t="s">
        <v>308</v>
      </c>
      <c r="H76" s="5" t="s">
        <v>874</v>
      </c>
      <c r="I76" s="5" t="s">
        <v>875</v>
      </c>
      <c r="J76" s="5" t="s">
        <v>876</v>
      </c>
      <c r="K76" s="5" t="s">
        <v>877</v>
      </c>
      <c r="L76" s="5" t="s">
        <v>878</v>
      </c>
      <c r="M76" s="5" t="s">
        <v>879</v>
      </c>
      <c r="N76" s="5" t="s">
        <v>289</v>
      </c>
      <c r="O76" s="5" t="s">
        <v>99</v>
      </c>
      <c r="P76" s="5" t="s">
        <v>880</v>
      </c>
      <c r="Q76" s="5"/>
      <c r="R76" s="5" t="s">
        <v>45</v>
      </c>
      <c r="S76" s="5" t="s">
        <v>810</v>
      </c>
      <c r="T76" s="5" t="s">
        <v>53</v>
      </c>
      <c r="U76" s="5" t="s">
        <v>811</v>
      </c>
      <c r="V76" s="5" t="s">
        <v>292</v>
      </c>
      <c r="W76" s="5" t="s">
        <v>881</v>
      </c>
      <c r="X76" s="5" t="s">
        <v>128</v>
      </c>
      <c r="Y76" s="5" t="s">
        <v>882</v>
      </c>
      <c r="Z76" s="15" t="s">
        <v>51</v>
      </c>
      <c r="AA76" s="15"/>
      <c r="AB76" s="15" t="s">
        <v>883</v>
      </c>
      <c r="AC76" s="15" t="s">
        <v>247</v>
      </c>
    </row>
    <row r="77" spans="1:29">
      <c r="A77" s="5" t="s">
        <v>884</v>
      </c>
      <c r="B77" s="10" t="s">
        <v>68</v>
      </c>
      <c r="C77" s="5" t="s">
        <v>597</v>
      </c>
      <c r="D77" s="5" t="s">
        <v>279</v>
      </c>
      <c r="E77" s="5" t="s">
        <v>280</v>
      </c>
      <c r="F77" s="5" t="s">
        <v>281</v>
      </c>
      <c r="G77" s="5" t="s">
        <v>453</v>
      </c>
      <c r="H77" s="5" t="s">
        <v>885</v>
      </c>
      <c r="I77" s="5" t="s">
        <v>886</v>
      </c>
      <c r="J77" s="5" t="s">
        <v>887</v>
      </c>
      <c r="K77" s="5" t="s">
        <v>888</v>
      </c>
      <c r="L77" s="5" t="s">
        <v>889</v>
      </c>
      <c r="M77" s="5" t="s">
        <v>890</v>
      </c>
      <c r="N77" s="5" t="s">
        <v>289</v>
      </c>
      <c r="O77" s="5" t="s">
        <v>99</v>
      </c>
      <c r="P77" s="5" t="s">
        <v>891</v>
      </c>
      <c r="Q77" s="5"/>
      <c r="R77" s="5" t="s">
        <v>45</v>
      </c>
      <c r="S77" s="5" t="s">
        <v>810</v>
      </c>
      <c r="T77" s="5" t="s">
        <v>53</v>
      </c>
      <c r="U77" s="5" t="s">
        <v>811</v>
      </c>
      <c r="V77" s="5" t="s">
        <v>292</v>
      </c>
      <c r="W77" s="5" t="s">
        <v>892</v>
      </c>
      <c r="X77" s="5" t="s">
        <v>128</v>
      </c>
      <c r="Y77" s="5" t="s">
        <v>893</v>
      </c>
      <c r="Z77" s="15" t="s">
        <v>51</v>
      </c>
      <c r="AA77" s="15"/>
      <c r="AB77" s="15" t="s">
        <v>894</v>
      </c>
      <c r="AC77" s="15" t="s">
        <v>247</v>
      </c>
    </row>
    <row r="78" spans="1:29">
      <c r="A78" s="5" t="s">
        <v>895</v>
      </c>
      <c r="B78" s="10" t="s">
        <v>68</v>
      </c>
      <c r="C78" s="5" t="s">
        <v>31</v>
      </c>
      <c r="D78" s="5" t="s">
        <v>279</v>
      </c>
      <c r="E78" s="5" t="s">
        <v>280</v>
      </c>
      <c r="F78" s="5" t="s">
        <v>340</v>
      </c>
      <c r="G78" s="5"/>
      <c r="H78" s="5" t="s">
        <v>896</v>
      </c>
      <c r="I78" s="5" t="s">
        <v>897</v>
      </c>
      <c r="J78" s="5" t="s">
        <v>898</v>
      </c>
      <c r="K78" s="5" t="s">
        <v>899</v>
      </c>
      <c r="L78" s="5" t="s">
        <v>900</v>
      </c>
      <c r="M78" s="5" t="s">
        <v>901</v>
      </c>
      <c r="N78" s="5" t="s">
        <v>902</v>
      </c>
      <c r="O78" s="5" t="s">
        <v>99</v>
      </c>
      <c r="P78" s="5" t="s">
        <v>903</v>
      </c>
      <c r="Q78" s="5"/>
      <c r="R78" s="5" t="s">
        <v>45</v>
      </c>
      <c r="S78" s="5" t="s">
        <v>810</v>
      </c>
      <c r="T78" s="5" t="s">
        <v>53</v>
      </c>
      <c r="U78" s="5" t="s">
        <v>811</v>
      </c>
      <c r="V78" s="5" t="s">
        <v>350</v>
      </c>
      <c r="W78" s="5"/>
      <c r="X78" s="5" t="s">
        <v>49</v>
      </c>
      <c r="Y78" s="5" t="s">
        <v>904</v>
      </c>
      <c r="Z78" s="15" t="s">
        <v>51</v>
      </c>
      <c r="AA78" s="15"/>
      <c r="AB78" s="15" t="s">
        <v>905</v>
      </c>
      <c r="AC78" s="15" t="s">
        <v>247</v>
      </c>
    </row>
    <row r="79" spans="1:29">
      <c r="A79" s="5" t="s">
        <v>906</v>
      </c>
      <c r="B79" s="11" t="s">
        <v>133</v>
      </c>
      <c r="C79" s="5" t="s">
        <v>191</v>
      </c>
      <c r="D79" s="5" t="s">
        <v>279</v>
      </c>
      <c r="E79" s="5" t="s">
        <v>280</v>
      </c>
      <c r="F79" s="5" t="s">
        <v>340</v>
      </c>
      <c r="G79" s="5"/>
      <c r="H79" s="5" t="s">
        <v>907</v>
      </c>
      <c r="I79" s="5" t="s">
        <v>908</v>
      </c>
      <c r="J79" s="5" t="s">
        <v>909</v>
      </c>
      <c r="K79" s="5" t="s">
        <v>910</v>
      </c>
      <c r="L79" s="5" t="s">
        <v>911</v>
      </c>
      <c r="M79" s="5" t="s">
        <v>912</v>
      </c>
      <c r="N79" s="5" t="s">
        <v>902</v>
      </c>
      <c r="O79" s="5" t="s">
        <v>99</v>
      </c>
      <c r="P79" s="5" t="s">
        <v>913</v>
      </c>
      <c r="Q79" s="5"/>
      <c r="R79" s="5" t="s">
        <v>45</v>
      </c>
      <c r="S79" s="5" t="s">
        <v>810</v>
      </c>
      <c r="T79" s="5" t="s">
        <v>53</v>
      </c>
      <c r="U79" s="5" t="s">
        <v>811</v>
      </c>
      <c r="V79" s="5" t="s">
        <v>350</v>
      </c>
      <c r="W79" s="5"/>
      <c r="X79" s="5" t="s">
        <v>49</v>
      </c>
      <c r="Y79" s="5" t="s">
        <v>914</v>
      </c>
      <c r="Z79" s="15" t="s">
        <v>51</v>
      </c>
      <c r="AA79" s="15"/>
      <c r="AB79" s="15" t="s">
        <v>915</v>
      </c>
      <c r="AC79" s="15" t="s">
        <v>247</v>
      </c>
    </row>
    <row r="80" spans="1:29">
      <c r="A80" s="5" t="s">
        <v>916</v>
      </c>
      <c r="B80" s="11" t="s">
        <v>133</v>
      </c>
      <c r="C80" s="5" t="s">
        <v>31</v>
      </c>
      <c r="D80" s="5" t="s">
        <v>279</v>
      </c>
      <c r="E80" s="5" t="s">
        <v>280</v>
      </c>
      <c r="F80" s="5" t="s">
        <v>340</v>
      </c>
      <c r="G80" s="5"/>
      <c r="H80" s="5" t="s">
        <v>917</v>
      </c>
      <c r="I80" s="5" t="s">
        <v>918</v>
      </c>
      <c r="J80" s="5" t="s">
        <v>919</v>
      </c>
      <c r="K80" s="5" t="s">
        <v>920</v>
      </c>
      <c r="L80" s="5" t="s">
        <v>921</v>
      </c>
      <c r="M80" s="5" t="s">
        <v>922</v>
      </c>
      <c r="N80" s="5" t="s">
        <v>348</v>
      </c>
      <c r="O80" s="5" t="s">
        <v>99</v>
      </c>
      <c r="P80" s="5" t="s">
        <v>209</v>
      </c>
      <c r="Q80" s="5"/>
      <c r="R80" s="5" t="s">
        <v>45</v>
      </c>
      <c r="S80" s="5" t="s">
        <v>810</v>
      </c>
      <c r="T80" s="5" t="s">
        <v>53</v>
      </c>
      <c r="U80" s="5" t="s">
        <v>811</v>
      </c>
      <c r="V80" s="5" t="s">
        <v>350</v>
      </c>
      <c r="W80" s="5" t="s">
        <v>923</v>
      </c>
      <c r="X80" s="5" t="s">
        <v>49</v>
      </c>
      <c r="Y80" s="5" t="s">
        <v>924</v>
      </c>
      <c r="Z80" s="15" t="s">
        <v>51</v>
      </c>
      <c r="AA80" s="15"/>
      <c r="AB80" s="15" t="s">
        <v>925</v>
      </c>
      <c r="AC80" s="15" t="s">
        <v>247</v>
      </c>
    </row>
    <row r="81" spans="1:29">
      <c r="A81" s="5" t="s">
        <v>926</v>
      </c>
      <c r="B81" s="10" t="s">
        <v>68</v>
      </c>
      <c r="C81" s="5" t="s">
        <v>531</v>
      </c>
      <c r="D81" s="5" t="s">
        <v>279</v>
      </c>
      <c r="E81" s="5" t="s">
        <v>473</v>
      </c>
      <c r="F81" s="5" t="s">
        <v>474</v>
      </c>
      <c r="G81" s="5" t="s">
        <v>927</v>
      </c>
      <c r="H81" s="5" t="s">
        <v>928</v>
      </c>
      <c r="I81" s="5" t="s">
        <v>929</v>
      </c>
      <c r="J81" s="5" t="s">
        <v>930</v>
      </c>
      <c r="K81" s="5" t="s">
        <v>931</v>
      </c>
      <c r="L81" s="5" t="s">
        <v>932</v>
      </c>
      <c r="M81" s="5" t="s">
        <v>933</v>
      </c>
      <c r="N81" s="5" t="s">
        <v>482</v>
      </c>
      <c r="O81" s="5" t="s">
        <v>934</v>
      </c>
      <c r="P81" s="5" t="s">
        <v>935</v>
      </c>
      <c r="Q81" s="5"/>
      <c r="R81" s="5" t="s">
        <v>45</v>
      </c>
      <c r="S81" s="5" t="s">
        <v>810</v>
      </c>
      <c r="T81" s="5" t="s">
        <v>53</v>
      </c>
      <c r="U81" s="5" t="s">
        <v>811</v>
      </c>
      <c r="V81" s="5" t="s">
        <v>484</v>
      </c>
      <c r="W81" s="5" t="s">
        <v>936</v>
      </c>
      <c r="X81" s="5" t="s">
        <v>49</v>
      </c>
      <c r="Y81" s="5" t="s">
        <v>937</v>
      </c>
      <c r="Z81" s="15" t="s">
        <v>51</v>
      </c>
      <c r="AA81" s="15"/>
      <c r="AB81" s="15" t="s">
        <v>938</v>
      </c>
      <c r="AC81" s="15" t="s">
        <v>247</v>
      </c>
    </row>
    <row r="82" spans="1:29">
      <c r="A82" s="5" t="s">
        <v>939</v>
      </c>
      <c r="B82" s="11" t="s">
        <v>133</v>
      </c>
      <c r="C82" s="5" t="s">
        <v>143</v>
      </c>
      <c r="D82" s="5" t="s">
        <v>279</v>
      </c>
      <c r="E82" s="5" t="s">
        <v>473</v>
      </c>
      <c r="F82" s="5" t="s">
        <v>474</v>
      </c>
      <c r="G82" s="5" t="s">
        <v>497</v>
      </c>
      <c r="H82" s="5" t="s">
        <v>940</v>
      </c>
      <c r="I82" s="5" t="s">
        <v>941</v>
      </c>
      <c r="J82" s="5" t="s">
        <v>942</v>
      </c>
      <c r="K82" s="5" t="s">
        <v>943</v>
      </c>
      <c r="L82" s="5" t="s">
        <v>944</v>
      </c>
      <c r="M82" s="5" t="s">
        <v>945</v>
      </c>
      <c r="N82" s="5" t="s">
        <v>482</v>
      </c>
      <c r="O82" s="5" t="s">
        <v>99</v>
      </c>
      <c r="P82" s="5" t="s">
        <v>946</v>
      </c>
      <c r="Q82" s="5"/>
      <c r="R82" s="5" t="s">
        <v>45</v>
      </c>
      <c r="S82" s="5" t="s">
        <v>810</v>
      </c>
      <c r="T82" s="5" t="s">
        <v>53</v>
      </c>
      <c r="U82" s="5" t="s">
        <v>811</v>
      </c>
      <c r="V82" s="5" t="s">
        <v>484</v>
      </c>
      <c r="W82" s="5"/>
      <c r="X82" s="5" t="s">
        <v>49</v>
      </c>
      <c r="Y82" s="5" t="s">
        <v>947</v>
      </c>
      <c r="Z82" s="15" t="s">
        <v>51</v>
      </c>
      <c r="AA82" s="15"/>
      <c r="AB82" s="15" t="s">
        <v>948</v>
      </c>
      <c r="AC82" s="15" t="s">
        <v>247</v>
      </c>
    </row>
    <row r="83" spans="1:29">
      <c r="A83" s="5" t="s">
        <v>949</v>
      </c>
      <c r="B83" s="10" t="s">
        <v>68</v>
      </c>
      <c r="C83" s="5" t="s">
        <v>31</v>
      </c>
      <c r="D83" s="5" t="s">
        <v>279</v>
      </c>
      <c r="E83" s="5" t="s">
        <v>517</v>
      </c>
      <c r="F83" s="5" t="s">
        <v>518</v>
      </c>
      <c r="G83" s="5" t="s">
        <v>532</v>
      </c>
      <c r="H83" s="5" t="s">
        <v>950</v>
      </c>
      <c r="I83" s="5" t="s">
        <v>951</v>
      </c>
      <c r="J83" s="5" t="s">
        <v>952</v>
      </c>
      <c r="K83" s="5" t="s">
        <v>953</v>
      </c>
      <c r="L83" s="5" t="s">
        <v>954</v>
      </c>
      <c r="M83" s="5" t="s">
        <v>955</v>
      </c>
      <c r="N83" s="5" t="s">
        <v>526</v>
      </c>
      <c r="O83" s="5" t="s">
        <v>99</v>
      </c>
      <c r="P83" s="5" t="s">
        <v>956</v>
      </c>
      <c r="Q83" s="5"/>
      <c r="R83" s="5" t="s">
        <v>45</v>
      </c>
      <c r="S83" s="5" t="s">
        <v>810</v>
      </c>
      <c r="T83" s="5" t="s">
        <v>53</v>
      </c>
      <c r="U83" s="5" t="s">
        <v>811</v>
      </c>
      <c r="V83" s="5" t="s">
        <v>528</v>
      </c>
      <c r="W83" s="5"/>
      <c r="X83" s="5" t="s">
        <v>49</v>
      </c>
      <c r="Y83" s="5" t="s">
        <v>957</v>
      </c>
      <c r="Z83" s="15" t="s">
        <v>51</v>
      </c>
      <c r="AA83" s="15"/>
      <c r="AB83" s="15" t="s">
        <v>958</v>
      </c>
      <c r="AC83" s="15" t="s">
        <v>247</v>
      </c>
    </row>
    <row r="84" spans="1:29">
      <c r="A84" s="5" t="s">
        <v>959</v>
      </c>
      <c r="B84" s="10" t="s">
        <v>68</v>
      </c>
      <c r="C84" s="5" t="s">
        <v>31</v>
      </c>
      <c r="D84" s="5" t="s">
        <v>279</v>
      </c>
      <c r="E84" s="5" t="s">
        <v>517</v>
      </c>
      <c r="F84" s="5" t="s">
        <v>518</v>
      </c>
      <c r="G84" s="5" t="s">
        <v>532</v>
      </c>
      <c r="H84" s="5" t="s">
        <v>960</v>
      </c>
      <c r="I84" s="5" t="s">
        <v>961</v>
      </c>
      <c r="J84" s="5" t="s">
        <v>962</v>
      </c>
      <c r="K84" s="5" t="s">
        <v>963</v>
      </c>
      <c r="L84" s="5" t="s">
        <v>964</v>
      </c>
      <c r="M84" s="5" t="s">
        <v>965</v>
      </c>
      <c r="N84" s="5" t="s">
        <v>526</v>
      </c>
      <c r="O84" s="5" t="s">
        <v>99</v>
      </c>
      <c r="P84" s="5" t="s">
        <v>209</v>
      </c>
      <c r="Q84" s="5"/>
      <c r="R84" s="5" t="s">
        <v>45</v>
      </c>
      <c r="S84" s="5" t="s">
        <v>810</v>
      </c>
      <c r="T84" s="5" t="s">
        <v>53</v>
      </c>
      <c r="U84" s="5" t="s">
        <v>811</v>
      </c>
      <c r="V84" s="5" t="s">
        <v>528</v>
      </c>
      <c r="W84" s="5"/>
      <c r="X84" s="5" t="s">
        <v>49</v>
      </c>
      <c r="Y84" s="5" t="s">
        <v>966</v>
      </c>
      <c r="Z84" s="15" t="s">
        <v>66</v>
      </c>
      <c r="AA84" s="15"/>
      <c r="AB84" s="15"/>
      <c r="AC84" s="15"/>
    </row>
    <row r="85" spans="1:29">
      <c r="A85" s="5" t="s">
        <v>967</v>
      </c>
      <c r="B85" s="10" t="s">
        <v>68</v>
      </c>
      <c r="C85" s="5" t="s">
        <v>597</v>
      </c>
      <c r="D85" s="5" t="s">
        <v>279</v>
      </c>
      <c r="E85" s="5" t="s">
        <v>554</v>
      </c>
      <c r="F85" s="5" t="s">
        <v>555</v>
      </c>
      <c r="G85" s="5" t="s">
        <v>567</v>
      </c>
      <c r="H85" s="5" t="s">
        <v>968</v>
      </c>
      <c r="I85" s="5" t="s">
        <v>969</v>
      </c>
      <c r="J85" s="5" t="s">
        <v>970</v>
      </c>
      <c r="K85" s="5" t="s">
        <v>971</v>
      </c>
      <c r="L85" s="5" t="s">
        <v>972</v>
      </c>
      <c r="M85" s="5" t="s">
        <v>973</v>
      </c>
      <c r="N85" s="5" t="s">
        <v>563</v>
      </c>
      <c r="O85" s="5" t="s">
        <v>99</v>
      </c>
      <c r="P85" s="5" t="s">
        <v>974</v>
      </c>
      <c r="Q85" s="5"/>
      <c r="R85" s="5" t="s">
        <v>45</v>
      </c>
      <c r="S85" s="5" t="s">
        <v>810</v>
      </c>
      <c r="T85" s="5" t="s">
        <v>53</v>
      </c>
      <c r="U85" s="5" t="s">
        <v>811</v>
      </c>
      <c r="V85" s="5" t="s">
        <v>564</v>
      </c>
      <c r="W85" s="5"/>
      <c r="X85" s="5" t="s">
        <v>49</v>
      </c>
      <c r="Y85" s="5" t="s">
        <v>975</v>
      </c>
      <c r="Z85" s="15" t="s">
        <v>66</v>
      </c>
      <c r="AA85" s="15"/>
      <c r="AB85" s="15"/>
      <c r="AC85" s="15"/>
    </row>
    <row r="86" spans="1:29">
      <c r="A86" s="5" t="s">
        <v>976</v>
      </c>
      <c r="B86" s="11" t="s">
        <v>133</v>
      </c>
      <c r="C86" s="5" t="s">
        <v>55</v>
      </c>
      <c r="D86" s="5" t="s">
        <v>279</v>
      </c>
      <c r="E86" s="5" t="s">
        <v>554</v>
      </c>
      <c r="F86" s="5" t="s">
        <v>555</v>
      </c>
      <c r="G86" s="5" t="s">
        <v>609</v>
      </c>
      <c r="H86" s="5" t="s">
        <v>977</v>
      </c>
      <c r="I86" s="5" t="s">
        <v>978</v>
      </c>
      <c r="J86" s="5" t="s">
        <v>979</v>
      </c>
      <c r="K86" s="5" t="s">
        <v>980</v>
      </c>
      <c r="L86" s="5" t="s">
        <v>981</v>
      </c>
      <c r="M86" s="5" t="s">
        <v>982</v>
      </c>
      <c r="N86" s="5" t="s">
        <v>563</v>
      </c>
      <c r="O86" s="5" t="s">
        <v>99</v>
      </c>
      <c r="P86" s="5" t="s">
        <v>983</v>
      </c>
      <c r="Q86" s="5"/>
      <c r="R86" s="5" t="s">
        <v>45</v>
      </c>
      <c r="S86" s="5" t="s">
        <v>810</v>
      </c>
      <c r="T86" s="5" t="s">
        <v>53</v>
      </c>
      <c r="U86" s="5" t="s">
        <v>811</v>
      </c>
      <c r="V86" s="5" t="s">
        <v>564</v>
      </c>
      <c r="W86" s="5"/>
      <c r="X86" s="5" t="s">
        <v>49</v>
      </c>
      <c r="Y86" s="5" t="s">
        <v>984</v>
      </c>
      <c r="Z86" s="15" t="s">
        <v>51</v>
      </c>
      <c r="AA86" s="15"/>
      <c r="AB86" s="15" t="s">
        <v>985</v>
      </c>
      <c r="AC86" s="15" t="s">
        <v>247</v>
      </c>
    </row>
    <row r="87" spans="1:29">
      <c r="A87" s="5" t="s">
        <v>986</v>
      </c>
      <c r="B87" s="9" t="s">
        <v>30</v>
      </c>
      <c r="C87" s="5" t="s">
        <v>597</v>
      </c>
      <c r="D87" s="5" t="s">
        <v>279</v>
      </c>
      <c r="E87" s="5" t="s">
        <v>631</v>
      </c>
      <c r="F87" s="5" t="s">
        <v>632</v>
      </c>
      <c r="G87" s="5" t="s">
        <v>987</v>
      </c>
      <c r="H87" s="5" t="s">
        <v>988</v>
      </c>
      <c r="I87" s="5" t="s">
        <v>989</v>
      </c>
      <c r="J87" s="5" t="s">
        <v>990</v>
      </c>
      <c r="K87" s="5" t="s">
        <v>991</v>
      </c>
      <c r="L87" s="5" t="s">
        <v>992</v>
      </c>
      <c r="M87" s="5" t="s">
        <v>993</v>
      </c>
      <c r="N87" s="5" t="s">
        <v>639</v>
      </c>
      <c r="O87" s="5" t="s">
        <v>99</v>
      </c>
      <c r="P87" s="5" t="s">
        <v>994</v>
      </c>
      <c r="Q87" s="5"/>
      <c r="R87" s="5" t="s">
        <v>45</v>
      </c>
      <c r="S87" s="5" t="s">
        <v>810</v>
      </c>
      <c r="T87" s="5" t="s">
        <v>53</v>
      </c>
      <c r="U87" s="5" t="s">
        <v>811</v>
      </c>
      <c r="V87" s="5" t="s">
        <v>642</v>
      </c>
      <c r="W87" s="5" t="s">
        <v>995</v>
      </c>
      <c r="X87" s="5" t="s">
        <v>49</v>
      </c>
      <c r="Y87" s="5" t="s">
        <v>996</v>
      </c>
      <c r="Z87" s="15" t="s">
        <v>51</v>
      </c>
      <c r="AA87" s="15"/>
      <c r="AB87" s="15" t="s">
        <v>997</v>
      </c>
      <c r="AC87" s="15" t="s">
        <v>247</v>
      </c>
    </row>
    <row r="88" spans="1:29">
      <c r="A88" s="5" t="s">
        <v>998</v>
      </c>
      <c r="B88" s="11" t="s">
        <v>133</v>
      </c>
      <c r="C88" s="5" t="s">
        <v>191</v>
      </c>
      <c r="D88" s="5" t="s">
        <v>279</v>
      </c>
      <c r="E88" s="5" t="s">
        <v>631</v>
      </c>
      <c r="F88" s="5" t="s">
        <v>632</v>
      </c>
      <c r="G88" s="5" t="s">
        <v>999</v>
      </c>
      <c r="H88" s="5" t="s">
        <v>1000</v>
      </c>
      <c r="I88" s="5" t="s">
        <v>1001</v>
      </c>
      <c r="J88" s="5" t="s">
        <v>1002</v>
      </c>
      <c r="K88" s="5" t="s">
        <v>1003</v>
      </c>
      <c r="L88" s="5" t="s">
        <v>1004</v>
      </c>
      <c r="M88" s="5" t="s">
        <v>1005</v>
      </c>
      <c r="N88" s="5" t="s">
        <v>639</v>
      </c>
      <c r="O88" s="5" t="s">
        <v>99</v>
      </c>
      <c r="P88" s="5" t="s">
        <v>1006</v>
      </c>
      <c r="Q88" s="5"/>
      <c r="R88" s="5" t="s">
        <v>45</v>
      </c>
      <c r="S88" s="5" t="s">
        <v>810</v>
      </c>
      <c r="T88" s="5" t="s">
        <v>53</v>
      </c>
      <c r="U88" s="5" t="s">
        <v>811</v>
      </c>
      <c r="V88" s="5" t="s">
        <v>642</v>
      </c>
      <c r="W88" s="5" t="s">
        <v>1007</v>
      </c>
      <c r="X88" s="5" t="s">
        <v>49</v>
      </c>
      <c r="Y88" s="5" t="s">
        <v>1008</v>
      </c>
      <c r="Z88" s="15" t="s">
        <v>51</v>
      </c>
      <c r="AA88" s="15"/>
      <c r="AB88" s="15" t="s">
        <v>1009</v>
      </c>
      <c r="AC88" s="15" t="s">
        <v>247</v>
      </c>
    </row>
    <row r="89" spans="1:29">
      <c r="A89" s="5" t="s">
        <v>1010</v>
      </c>
      <c r="B89" s="11" t="s">
        <v>133</v>
      </c>
      <c r="C89" s="5" t="s">
        <v>531</v>
      </c>
      <c r="D89" s="5" t="s">
        <v>279</v>
      </c>
      <c r="E89" s="5" t="s">
        <v>631</v>
      </c>
      <c r="F89" s="5" t="s">
        <v>632</v>
      </c>
      <c r="G89" s="5" t="s">
        <v>1011</v>
      </c>
      <c r="H89" s="5" t="s">
        <v>1012</v>
      </c>
      <c r="I89" s="5" t="s">
        <v>1013</v>
      </c>
      <c r="J89" s="5" t="s">
        <v>1014</v>
      </c>
      <c r="K89" s="5" t="s">
        <v>1015</v>
      </c>
      <c r="L89" s="5" t="s">
        <v>1016</v>
      </c>
      <c r="M89" s="5" t="s">
        <v>1017</v>
      </c>
      <c r="N89" s="5" t="s">
        <v>639</v>
      </c>
      <c r="O89" s="5" t="s">
        <v>99</v>
      </c>
      <c r="P89" s="5" t="s">
        <v>1018</v>
      </c>
      <c r="Q89" s="5"/>
      <c r="R89" s="5" t="s">
        <v>45</v>
      </c>
      <c r="S89" s="5" t="s">
        <v>810</v>
      </c>
      <c r="T89" s="5" t="s">
        <v>53</v>
      </c>
      <c r="U89" s="5" t="s">
        <v>811</v>
      </c>
      <c r="V89" s="5" t="s">
        <v>642</v>
      </c>
      <c r="W89" s="5"/>
      <c r="X89" s="5" t="s">
        <v>128</v>
      </c>
      <c r="Y89" s="5" t="s">
        <v>1019</v>
      </c>
      <c r="Z89" s="15" t="s">
        <v>130</v>
      </c>
      <c r="AA89" s="15"/>
      <c r="AB89" s="15" t="s">
        <v>1020</v>
      </c>
      <c r="AC89" s="15"/>
    </row>
    <row r="90" spans="1:29">
      <c r="A90" s="5" t="s">
        <v>1021</v>
      </c>
      <c r="B90" s="5"/>
      <c r="C90" s="5" t="s">
        <v>223</v>
      </c>
      <c r="D90" s="5" t="s">
        <v>279</v>
      </c>
      <c r="E90" s="5" t="s">
        <v>631</v>
      </c>
      <c r="F90" s="5" t="s">
        <v>1022</v>
      </c>
      <c r="G90" s="5" t="s">
        <v>1023</v>
      </c>
      <c r="H90" s="5" t="s">
        <v>1024</v>
      </c>
      <c r="I90" s="5" t="s">
        <v>1025</v>
      </c>
      <c r="J90" s="5" t="s">
        <v>1026</v>
      </c>
      <c r="K90" s="5" t="s">
        <v>1027</v>
      </c>
      <c r="L90" s="5" t="s">
        <v>1028</v>
      </c>
      <c r="M90" s="5" t="s">
        <v>1029</v>
      </c>
      <c r="N90" s="5" t="s">
        <v>1030</v>
      </c>
      <c r="O90" s="5" t="s">
        <v>99</v>
      </c>
      <c r="P90" s="5" t="s">
        <v>1031</v>
      </c>
      <c r="Q90" s="5"/>
      <c r="R90" s="5" t="s">
        <v>45</v>
      </c>
      <c r="S90" s="5" t="s">
        <v>810</v>
      </c>
      <c r="T90" s="5" t="s">
        <v>53</v>
      </c>
      <c r="U90" s="5" t="s">
        <v>811</v>
      </c>
      <c r="V90" s="5" t="s">
        <v>1032</v>
      </c>
      <c r="W90" s="5"/>
      <c r="X90" s="5" t="s">
        <v>49</v>
      </c>
      <c r="Y90" s="5" t="s">
        <v>1033</v>
      </c>
      <c r="Z90" s="15" t="s">
        <v>51</v>
      </c>
      <c r="AA90" s="15"/>
      <c r="AB90" s="15" t="s">
        <v>1034</v>
      </c>
      <c r="AC90" s="15" t="s">
        <v>247</v>
      </c>
    </row>
    <row r="91" spans="1:29">
      <c r="A91" s="5" t="s">
        <v>1035</v>
      </c>
      <c r="B91" s="11" t="s">
        <v>133</v>
      </c>
      <c r="C91" s="5" t="s">
        <v>55</v>
      </c>
      <c r="D91" s="5" t="s">
        <v>279</v>
      </c>
      <c r="E91" s="5" t="s">
        <v>631</v>
      </c>
      <c r="F91" s="5" t="s">
        <v>1022</v>
      </c>
      <c r="G91" s="5" t="s">
        <v>1036</v>
      </c>
      <c r="H91" s="5" t="s">
        <v>1037</v>
      </c>
      <c r="I91" s="5" t="s">
        <v>1038</v>
      </c>
      <c r="J91" s="5" t="s">
        <v>1039</v>
      </c>
      <c r="K91" s="5" t="s">
        <v>1040</v>
      </c>
      <c r="L91" s="5" t="s">
        <v>1041</v>
      </c>
      <c r="M91" s="5" t="s">
        <v>1042</v>
      </c>
      <c r="N91" s="5" t="s">
        <v>1030</v>
      </c>
      <c r="O91" s="5" t="s">
        <v>99</v>
      </c>
      <c r="P91" s="5" t="s">
        <v>1043</v>
      </c>
      <c r="Q91" s="5"/>
      <c r="R91" s="5" t="s">
        <v>45</v>
      </c>
      <c r="S91" s="5" t="s">
        <v>810</v>
      </c>
      <c r="T91" s="5" t="s">
        <v>53</v>
      </c>
      <c r="U91" s="5" t="s">
        <v>811</v>
      </c>
      <c r="V91" s="5" t="s">
        <v>1032</v>
      </c>
      <c r="W91" s="5"/>
      <c r="X91" s="5" t="s">
        <v>49</v>
      </c>
      <c r="Y91" s="5" t="s">
        <v>1044</v>
      </c>
      <c r="Z91" s="15" t="s">
        <v>51</v>
      </c>
      <c r="AA91" s="15"/>
      <c r="AB91" s="15" t="s">
        <v>1045</v>
      </c>
      <c r="AC91" s="15" t="s">
        <v>247</v>
      </c>
    </row>
    <row r="92" spans="1:29">
      <c r="A92" s="5" t="s">
        <v>1046</v>
      </c>
      <c r="B92" s="5"/>
      <c r="C92" s="5" t="s">
        <v>223</v>
      </c>
      <c r="D92" s="5" t="s">
        <v>279</v>
      </c>
      <c r="E92" s="5" t="s">
        <v>631</v>
      </c>
      <c r="F92" s="5" t="s">
        <v>1022</v>
      </c>
      <c r="G92" s="5" t="s">
        <v>1047</v>
      </c>
      <c r="H92" s="5" t="s">
        <v>1048</v>
      </c>
      <c r="I92" s="5" t="s">
        <v>1049</v>
      </c>
      <c r="J92" s="5" t="s">
        <v>1050</v>
      </c>
      <c r="K92" s="5" t="s">
        <v>1051</v>
      </c>
      <c r="L92" s="5" t="s">
        <v>1052</v>
      </c>
      <c r="M92" s="5" t="s">
        <v>1053</v>
      </c>
      <c r="N92" s="5" t="s">
        <v>1030</v>
      </c>
      <c r="O92" s="5" t="s">
        <v>99</v>
      </c>
      <c r="P92" s="5" t="s">
        <v>209</v>
      </c>
      <c r="Q92" s="5"/>
      <c r="R92" s="5" t="s">
        <v>45</v>
      </c>
      <c r="S92" s="5" t="s">
        <v>810</v>
      </c>
      <c r="T92" s="5" t="s">
        <v>53</v>
      </c>
      <c r="U92" s="5" t="s">
        <v>811</v>
      </c>
      <c r="V92" s="5" t="s">
        <v>1032</v>
      </c>
      <c r="W92" s="5"/>
      <c r="X92" s="5" t="s">
        <v>49</v>
      </c>
      <c r="Y92" s="5" t="s">
        <v>1054</v>
      </c>
      <c r="Z92" s="15" t="s">
        <v>66</v>
      </c>
      <c r="AA92" s="15"/>
      <c r="AB92" s="15"/>
      <c r="AC92" s="15"/>
    </row>
    <row r="93" spans="1:29">
      <c r="A93" s="5" t="s">
        <v>1055</v>
      </c>
      <c r="B93" s="11" t="s">
        <v>133</v>
      </c>
      <c r="C93" s="5" t="s">
        <v>31</v>
      </c>
      <c r="D93" s="5" t="s">
        <v>279</v>
      </c>
      <c r="E93" s="5" t="s">
        <v>631</v>
      </c>
      <c r="F93" s="5" t="s">
        <v>1022</v>
      </c>
      <c r="G93" s="5" t="s">
        <v>1056</v>
      </c>
      <c r="H93" s="5" t="s">
        <v>1057</v>
      </c>
      <c r="I93" s="5" t="s">
        <v>1058</v>
      </c>
      <c r="J93" s="5" t="s">
        <v>1059</v>
      </c>
      <c r="K93" s="5" t="s">
        <v>1060</v>
      </c>
      <c r="L93" s="5" t="s">
        <v>1061</v>
      </c>
      <c r="M93" s="5" t="s">
        <v>1062</v>
      </c>
      <c r="N93" s="5" t="s">
        <v>1030</v>
      </c>
      <c r="O93" s="5" t="s">
        <v>99</v>
      </c>
      <c r="P93" s="5" t="s">
        <v>1063</v>
      </c>
      <c r="Q93" s="5"/>
      <c r="R93" s="5" t="s">
        <v>45</v>
      </c>
      <c r="S93" s="5" t="s">
        <v>810</v>
      </c>
      <c r="T93" s="5" t="s">
        <v>53</v>
      </c>
      <c r="U93" s="5" t="s">
        <v>811</v>
      </c>
      <c r="V93" s="5" t="s">
        <v>1032</v>
      </c>
      <c r="W93" s="5"/>
      <c r="X93" s="5" t="s">
        <v>49</v>
      </c>
      <c r="Y93" s="5" t="s">
        <v>1064</v>
      </c>
      <c r="Z93" s="15" t="s">
        <v>51</v>
      </c>
      <c r="AA93" s="15"/>
      <c r="AB93" s="15" t="s">
        <v>1065</v>
      </c>
      <c r="AC93" s="15" t="s">
        <v>247</v>
      </c>
    </row>
    <row r="94" spans="1:29">
      <c r="A94" s="5" t="s">
        <v>1066</v>
      </c>
      <c r="B94" s="11" t="s">
        <v>133</v>
      </c>
      <c r="C94" s="5" t="s">
        <v>531</v>
      </c>
      <c r="D94" s="5" t="s">
        <v>279</v>
      </c>
      <c r="E94" s="5" t="s">
        <v>631</v>
      </c>
      <c r="F94" s="5" t="s">
        <v>658</v>
      </c>
      <c r="G94" s="5" t="s">
        <v>1067</v>
      </c>
      <c r="H94" s="5" t="s">
        <v>1068</v>
      </c>
      <c r="I94" s="5" t="s">
        <v>1069</v>
      </c>
      <c r="J94" s="5" t="s">
        <v>1070</v>
      </c>
      <c r="K94" s="5" t="s">
        <v>1071</v>
      </c>
      <c r="L94" s="5" t="s">
        <v>1072</v>
      </c>
      <c r="M94" s="5" t="s">
        <v>1073</v>
      </c>
      <c r="N94" s="5" t="s">
        <v>665</v>
      </c>
      <c r="O94" s="5" t="s">
        <v>99</v>
      </c>
      <c r="P94" s="5" t="s">
        <v>1074</v>
      </c>
      <c r="Q94" s="5"/>
      <c r="R94" s="5" t="s">
        <v>45</v>
      </c>
      <c r="S94" s="5" t="s">
        <v>810</v>
      </c>
      <c r="T94" s="5" t="s">
        <v>53</v>
      </c>
      <c r="U94" s="5" t="s">
        <v>811</v>
      </c>
      <c r="V94" s="5" t="s">
        <v>666</v>
      </c>
      <c r="W94" s="5"/>
      <c r="X94" s="5" t="s">
        <v>49</v>
      </c>
      <c r="Y94" s="5" t="s">
        <v>1075</v>
      </c>
      <c r="Z94" s="15" t="s">
        <v>51</v>
      </c>
      <c r="AA94" s="15"/>
      <c r="AB94" s="15" t="s">
        <v>1076</v>
      </c>
      <c r="AC94" s="15" t="s">
        <v>247</v>
      </c>
    </row>
    <row r="95" spans="1:29">
      <c r="A95" s="5" t="s">
        <v>1077</v>
      </c>
      <c r="B95" s="11" t="s">
        <v>133</v>
      </c>
      <c r="C95" s="5" t="s">
        <v>143</v>
      </c>
      <c r="D95" s="5" t="s">
        <v>279</v>
      </c>
      <c r="E95" s="5" t="s">
        <v>631</v>
      </c>
      <c r="F95" s="5" t="s">
        <v>658</v>
      </c>
      <c r="G95" s="5" t="s">
        <v>1067</v>
      </c>
      <c r="H95" s="5" t="s">
        <v>1078</v>
      </c>
      <c r="I95" s="5" t="s">
        <v>1079</v>
      </c>
      <c r="J95" s="5" t="s">
        <v>1080</v>
      </c>
      <c r="K95" s="5" t="s">
        <v>1081</v>
      </c>
      <c r="L95" s="5" t="s">
        <v>1082</v>
      </c>
      <c r="M95" s="5" t="s">
        <v>1083</v>
      </c>
      <c r="N95" s="5" t="s">
        <v>665</v>
      </c>
      <c r="O95" s="5" t="s">
        <v>99</v>
      </c>
      <c r="P95" s="5" t="s">
        <v>1084</v>
      </c>
      <c r="Q95" s="5"/>
      <c r="R95" s="5" t="s">
        <v>45</v>
      </c>
      <c r="S95" s="5" t="s">
        <v>810</v>
      </c>
      <c r="T95" s="5" t="s">
        <v>53</v>
      </c>
      <c r="U95" s="5" t="s">
        <v>811</v>
      </c>
      <c r="V95" s="5" t="s">
        <v>666</v>
      </c>
      <c r="W95" s="5"/>
      <c r="X95" s="5" t="s">
        <v>49</v>
      </c>
      <c r="Y95" s="5" t="s">
        <v>1085</v>
      </c>
      <c r="Z95" s="15" t="s">
        <v>51</v>
      </c>
      <c r="AA95" s="15"/>
      <c r="AB95" s="15" t="s">
        <v>1086</v>
      </c>
      <c r="AC95" s="15" t="s">
        <v>247</v>
      </c>
    </row>
    <row r="96" spans="1:29">
      <c r="A96" s="5" t="s">
        <v>1087</v>
      </c>
      <c r="B96" s="11" t="s">
        <v>133</v>
      </c>
      <c r="C96" s="5" t="s">
        <v>31</v>
      </c>
      <c r="D96" s="5" t="s">
        <v>279</v>
      </c>
      <c r="E96" s="5" t="s">
        <v>631</v>
      </c>
      <c r="F96" s="5" t="s">
        <v>1088</v>
      </c>
      <c r="G96" s="5" t="s">
        <v>1089</v>
      </c>
      <c r="H96" s="5" t="s">
        <v>1090</v>
      </c>
      <c r="I96" s="5" t="s">
        <v>1091</v>
      </c>
      <c r="J96" s="5" t="s">
        <v>1092</v>
      </c>
      <c r="K96" s="5" t="s">
        <v>1093</v>
      </c>
      <c r="L96" s="5" t="s">
        <v>1094</v>
      </c>
      <c r="M96" s="5" t="s">
        <v>1095</v>
      </c>
      <c r="N96" s="5" t="s">
        <v>1096</v>
      </c>
      <c r="O96" s="5" t="s">
        <v>99</v>
      </c>
      <c r="P96" s="5" t="s">
        <v>1097</v>
      </c>
      <c r="Q96" s="5"/>
      <c r="R96" s="5" t="s">
        <v>45</v>
      </c>
      <c r="S96" s="5" t="s">
        <v>810</v>
      </c>
      <c r="T96" s="5" t="s">
        <v>53</v>
      </c>
      <c r="U96" s="5" t="s">
        <v>811</v>
      </c>
      <c r="V96" s="5" t="s">
        <v>1098</v>
      </c>
      <c r="W96" s="5"/>
      <c r="X96" s="5" t="s">
        <v>49</v>
      </c>
      <c r="Y96" s="5" t="s">
        <v>1099</v>
      </c>
      <c r="Z96" s="15" t="s">
        <v>51</v>
      </c>
      <c r="AA96" s="15"/>
      <c r="AB96" s="15" t="s">
        <v>1100</v>
      </c>
      <c r="AC96" s="15" t="s">
        <v>247</v>
      </c>
    </row>
    <row r="97" spans="1:29">
      <c r="A97" s="5" t="s">
        <v>1101</v>
      </c>
      <c r="B97" s="11" t="s">
        <v>133</v>
      </c>
      <c r="C97" s="5" t="s">
        <v>531</v>
      </c>
      <c r="D97" s="5" t="s">
        <v>279</v>
      </c>
      <c r="E97" s="5" t="s">
        <v>631</v>
      </c>
      <c r="F97" s="5" t="s">
        <v>1088</v>
      </c>
      <c r="G97" s="5" t="s">
        <v>1089</v>
      </c>
      <c r="H97" s="5" t="s">
        <v>1102</v>
      </c>
      <c r="I97" s="5" t="s">
        <v>1103</v>
      </c>
      <c r="J97" s="5" t="s">
        <v>1104</v>
      </c>
      <c r="K97" s="5" t="s">
        <v>1105</v>
      </c>
      <c r="L97" s="5" t="s">
        <v>1106</v>
      </c>
      <c r="M97" s="5" t="s">
        <v>1107</v>
      </c>
      <c r="N97" s="5" t="s">
        <v>1096</v>
      </c>
      <c r="O97" s="5" t="s">
        <v>99</v>
      </c>
      <c r="P97" s="5" t="s">
        <v>1108</v>
      </c>
      <c r="Q97" s="5"/>
      <c r="R97" s="5" t="s">
        <v>45</v>
      </c>
      <c r="S97" s="5" t="s">
        <v>810</v>
      </c>
      <c r="T97" s="5" t="s">
        <v>53</v>
      </c>
      <c r="U97" s="5" t="s">
        <v>811</v>
      </c>
      <c r="V97" s="5" t="s">
        <v>1098</v>
      </c>
      <c r="W97" s="5"/>
      <c r="X97" s="5" t="s">
        <v>49</v>
      </c>
      <c r="Y97" s="5" t="s">
        <v>1109</v>
      </c>
      <c r="Z97" s="15" t="s">
        <v>51</v>
      </c>
      <c r="AA97" s="15"/>
      <c r="AB97" s="15" t="s">
        <v>1110</v>
      </c>
      <c r="AC97" s="15" t="s">
        <v>247</v>
      </c>
    </row>
    <row r="98" spans="1:29">
      <c r="A98" s="5" t="s">
        <v>1111</v>
      </c>
      <c r="B98" s="5"/>
      <c r="C98" s="5" t="s">
        <v>223</v>
      </c>
      <c r="D98" s="5" t="s">
        <v>279</v>
      </c>
      <c r="E98" s="5" t="s">
        <v>631</v>
      </c>
      <c r="F98" s="5" t="s">
        <v>1088</v>
      </c>
      <c r="G98" s="5" t="s">
        <v>1112</v>
      </c>
      <c r="H98" s="5" t="s">
        <v>1113</v>
      </c>
      <c r="I98" s="5" t="s">
        <v>1114</v>
      </c>
      <c r="J98" s="5" t="s">
        <v>1115</v>
      </c>
      <c r="K98" s="5" t="s">
        <v>1116</v>
      </c>
      <c r="L98" s="5" t="s">
        <v>1117</v>
      </c>
      <c r="M98" s="5" t="s">
        <v>1118</v>
      </c>
      <c r="N98" s="5" t="s">
        <v>1096</v>
      </c>
      <c r="O98" s="5" t="s">
        <v>99</v>
      </c>
      <c r="P98" s="5" t="s">
        <v>209</v>
      </c>
      <c r="Q98" s="5"/>
      <c r="R98" s="5" t="s">
        <v>45</v>
      </c>
      <c r="S98" s="5" t="s">
        <v>810</v>
      </c>
      <c r="T98" s="5" t="s">
        <v>53</v>
      </c>
      <c r="U98" s="5" t="s">
        <v>811</v>
      </c>
      <c r="V98" s="5" t="s">
        <v>1098</v>
      </c>
      <c r="W98" s="5" t="s">
        <v>1119</v>
      </c>
      <c r="X98" s="5" t="s">
        <v>128</v>
      </c>
      <c r="Y98" s="5" t="s">
        <v>1120</v>
      </c>
      <c r="Z98" s="15" t="s">
        <v>130</v>
      </c>
      <c r="AA98" s="15"/>
      <c r="AB98" s="15" t="s">
        <v>1121</v>
      </c>
      <c r="AC98" s="15"/>
    </row>
    <row r="99" spans="1:29">
      <c r="A99" s="5" t="s">
        <v>1122</v>
      </c>
      <c r="B99" s="10" t="s">
        <v>68</v>
      </c>
      <c r="C99" s="5" t="s">
        <v>31</v>
      </c>
      <c r="D99" s="5" t="s">
        <v>279</v>
      </c>
      <c r="E99" s="5" t="s">
        <v>631</v>
      </c>
      <c r="F99" s="5" t="s">
        <v>684</v>
      </c>
      <c r="G99" s="5" t="s">
        <v>1123</v>
      </c>
      <c r="H99" s="5" t="s">
        <v>1124</v>
      </c>
      <c r="I99" s="5" t="s">
        <v>1125</v>
      </c>
      <c r="J99" s="5" t="s">
        <v>1126</v>
      </c>
      <c r="K99" s="5" t="s">
        <v>1127</v>
      </c>
      <c r="L99" s="5" t="s">
        <v>1128</v>
      </c>
      <c r="M99" s="5" t="s">
        <v>1129</v>
      </c>
      <c r="N99" s="5" t="s">
        <v>691</v>
      </c>
      <c r="O99" s="5" t="s">
        <v>99</v>
      </c>
      <c r="P99" s="5" t="s">
        <v>1130</v>
      </c>
      <c r="Q99" s="5"/>
      <c r="R99" s="5" t="s">
        <v>45</v>
      </c>
      <c r="S99" s="5" t="s">
        <v>810</v>
      </c>
      <c r="T99" s="5" t="s">
        <v>53</v>
      </c>
      <c r="U99" s="5" t="s">
        <v>811</v>
      </c>
      <c r="V99" s="5" t="s">
        <v>692</v>
      </c>
      <c r="W99" s="5" t="s">
        <v>1131</v>
      </c>
      <c r="X99" s="5" t="s">
        <v>49</v>
      </c>
      <c r="Y99" s="5" t="s">
        <v>1132</v>
      </c>
      <c r="Z99" s="15" t="s">
        <v>51</v>
      </c>
      <c r="AA99" s="15"/>
      <c r="AB99" s="15" t="s">
        <v>1133</v>
      </c>
      <c r="AC99" s="15" t="s">
        <v>247</v>
      </c>
    </row>
    <row r="100" spans="1:29">
      <c r="A100" s="5" t="s">
        <v>1134</v>
      </c>
      <c r="B100" s="10" t="s">
        <v>68</v>
      </c>
      <c r="C100" s="5" t="s">
        <v>31</v>
      </c>
      <c r="D100" s="5" t="s">
        <v>279</v>
      </c>
      <c r="E100" s="5" t="s">
        <v>631</v>
      </c>
      <c r="F100" s="5" t="s">
        <v>684</v>
      </c>
      <c r="G100" s="5" t="s">
        <v>1135</v>
      </c>
      <c r="H100" s="5" t="s">
        <v>1136</v>
      </c>
      <c r="I100" s="5" t="s">
        <v>1137</v>
      </c>
      <c r="J100" s="5" t="s">
        <v>1138</v>
      </c>
      <c r="K100" s="5" t="s">
        <v>1139</v>
      </c>
      <c r="L100" s="5" t="s">
        <v>1140</v>
      </c>
      <c r="M100" s="5" t="s">
        <v>1141</v>
      </c>
      <c r="N100" s="5" t="s">
        <v>691</v>
      </c>
      <c r="O100" s="5" t="s">
        <v>99</v>
      </c>
      <c r="P100" s="5" t="s">
        <v>1142</v>
      </c>
      <c r="Q100" s="5"/>
      <c r="R100" s="5" t="s">
        <v>45</v>
      </c>
      <c r="S100" s="5" t="s">
        <v>810</v>
      </c>
      <c r="T100" s="5" t="s">
        <v>53</v>
      </c>
      <c r="U100" s="5" t="s">
        <v>811</v>
      </c>
      <c r="V100" s="5" t="s">
        <v>692</v>
      </c>
      <c r="W100" s="5"/>
      <c r="X100" s="5" t="s">
        <v>49</v>
      </c>
      <c r="Y100" s="5" t="s">
        <v>1143</v>
      </c>
      <c r="Z100" s="15" t="s">
        <v>51</v>
      </c>
      <c r="AA100" s="15"/>
      <c r="AB100" s="15" t="s">
        <v>1144</v>
      </c>
      <c r="AC100" s="15" t="s">
        <v>247</v>
      </c>
    </row>
    <row r="101" spans="1:29">
      <c r="A101" s="5" t="s">
        <v>1145</v>
      </c>
      <c r="B101" s="10" t="s">
        <v>68</v>
      </c>
      <c r="C101" s="5" t="s">
        <v>31</v>
      </c>
      <c r="D101" s="5" t="s">
        <v>279</v>
      </c>
      <c r="E101" s="5" t="s">
        <v>631</v>
      </c>
      <c r="F101" s="5" t="s">
        <v>684</v>
      </c>
      <c r="G101" s="5" t="s">
        <v>1135</v>
      </c>
      <c r="H101" s="5" t="s">
        <v>1146</v>
      </c>
      <c r="I101" s="5" t="s">
        <v>1147</v>
      </c>
      <c r="J101" s="5" t="s">
        <v>1148</v>
      </c>
      <c r="K101" s="5" t="s">
        <v>1149</v>
      </c>
      <c r="L101" s="5" t="s">
        <v>1150</v>
      </c>
      <c r="M101" s="5" t="s">
        <v>1151</v>
      </c>
      <c r="N101" s="5" t="s">
        <v>691</v>
      </c>
      <c r="O101" s="5" t="s">
        <v>99</v>
      </c>
      <c r="P101" s="5" t="s">
        <v>209</v>
      </c>
      <c r="Q101" s="5"/>
      <c r="R101" s="5" t="s">
        <v>45</v>
      </c>
      <c r="S101" s="5" t="s">
        <v>810</v>
      </c>
      <c r="T101" s="5" t="s">
        <v>53</v>
      </c>
      <c r="U101" s="5" t="s">
        <v>811</v>
      </c>
      <c r="V101" s="5" t="s">
        <v>692</v>
      </c>
      <c r="W101" s="5"/>
      <c r="X101" s="5" t="s">
        <v>49</v>
      </c>
      <c r="Y101" s="5" t="s">
        <v>1152</v>
      </c>
      <c r="Z101" s="15" t="s">
        <v>66</v>
      </c>
      <c r="AA101" s="15"/>
      <c r="AB101" s="15"/>
      <c r="AC101" s="15"/>
    </row>
    <row r="102" spans="1:29">
      <c r="A102" s="5" t="s">
        <v>1153</v>
      </c>
      <c r="B102" s="11" t="s">
        <v>133</v>
      </c>
      <c r="C102" s="5" t="s">
        <v>91</v>
      </c>
      <c r="D102" s="5" t="s">
        <v>279</v>
      </c>
      <c r="E102" s="5" t="s">
        <v>631</v>
      </c>
      <c r="F102" s="5" t="s">
        <v>684</v>
      </c>
      <c r="G102" s="5" t="s">
        <v>1154</v>
      </c>
      <c r="H102" s="5" t="s">
        <v>1155</v>
      </c>
      <c r="I102" s="5" t="s">
        <v>1156</v>
      </c>
      <c r="J102" s="5" t="s">
        <v>1157</v>
      </c>
      <c r="K102" s="5" t="s">
        <v>1158</v>
      </c>
      <c r="L102" s="5" t="s">
        <v>1159</v>
      </c>
      <c r="M102" s="5" t="s">
        <v>1160</v>
      </c>
      <c r="N102" s="5" t="s">
        <v>691</v>
      </c>
      <c r="O102" s="5" t="s">
        <v>99</v>
      </c>
      <c r="P102" s="5" t="s">
        <v>1161</v>
      </c>
      <c r="Q102" s="5"/>
      <c r="R102" s="5" t="s">
        <v>45</v>
      </c>
      <c r="S102" s="5" t="s">
        <v>810</v>
      </c>
      <c r="T102" s="5" t="s">
        <v>53</v>
      </c>
      <c r="U102" s="5" t="s">
        <v>811</v>
      </c>
      <c r="V102" s="5" t="s">
        <v>692</v>
      </c>
      <c r="W102" s="5"/>
      <c r="X102" s="5" t="s">
        <v>49</v>
      </c>
      <c r="Y102" s="5" t="s">
        <v>1162</v>
      </c>
      <c r="Z102" s="15" t="s">
        <v>51</v>
      </c>
      <c r="AA102" s="15"/>
      <c r="AB102" s="15" t="s">
        <v>1163</v>
      </c>
      <c r="AC102" s="15" t="s">
        <v>247</v>
      </c>
    </row>
    <row r="103" spans="1:29">
      <c r="A103" s="5" t="s">
        <v>1164</v>
      </c>
      <c r="B103" s="5"/>
      <c r="C103" s="5" t="s">
        <v>223</v>
      </c>
      <c r="D103" s="5" t="s">
        <v>279</v>
      </c>
      <c r="E103" s="5" t="s">
        <v>631</v>
      </c>
      <c r="F103" s="5" t="s">
        <v>684</v>
      </c>
      <c r="G103" s="5" t="s">
        <v>1165</v>
      </c>
      <c r="H103" s="5" t="s">
        <v>1166</v>
      </c>
      <c r="I103" s="5" t="s">
        <v>1167</v>
      </c>
      <c r="J103" s="5" t="s">
        <v>1168</v>
      </c>
      <c r="K103" s="5" t="s">
        <v>1169</v>
      </c>
      <c r="L103" s="5" t="s">
        <v>1170</v>
      </c>
      <c r="M103" s="5" t="s">
        <v>1171</v>
      </c>
      <c r="N103" s="5" t="s">
        <v>691</v>
      </c>
      <c r="O103" s="5" t="s">
        <v>99</v>
      </c>
      <c r="P103" s="5" t="s">
        <v>209</v>
      </c>
      <c r="Q103" s="5"/>
      <c r="R103" s="5" t="s">
        <v>45</v>
      </c>
      <c r="S103" s="5" t="s">
        <v>810</v>
      </c>
      <c r="T103" s="5" t="s">
        <v>53</v>
      </c>
      <c r="U103" s="5" t="s">
        <v>811</v>
      </c>
      <c r="V103" s="5" t="s">
        <v>692</v>
      </c>
      <c r="W103" s="5"/>
      <c r="X103" s="5" t="s">
        <v>49</v>
      </c>
      <c r="Y103" s="5" t="s">
        <v>1172</v>
      </c>
      <c r="Z103" s="15" t="s">
        <v>51</v>
      </c>
      <c r="AA103" s="15"/>
      <c r="AB103" s="15" t="s">
        <v>1173</v>
      </c>
      <c r="AC103" s="15" t="s">
        <v>247</v>
      </c>
    </row>
    <row r="104" spans="1:29">
      <c r="A104" s="5" t="s">
        <v>1174</v>
      </c>
      <c r="B104" s="11" t="s">
        <v>133</v>
      </c>
      <c r="C104" s="5" t="s">
        <v>31</v>
      </c>
      <c r="D104" s="5" t="s">
        <v>279</v>
      </c>
      <c r="E104" s="5" t="s">
        <v>631</v>
      </c>
      <c r="F104" s="5" t="s">
        <v>696</v>
      </c>
      <c r="G104" s="5" t="s">
        <v>1175</v>
      </c>
      <c r="H104" s="5" t="s">
        <v>1176</v>
      </c>
      <c r="I104" s="5" t="s">
        <v>1177</v>
      </c>
      <c r="J104" s="5" t="s">
        <v>1178</v>
      </c>
      <c r="K104" s="5" t="s">
        <v>1179</v>
      </c>
      <c r="L104" s="5" t="s">
        <v>1180</v>
      </c>
      <c r="M104" s="5" t="s">
        <v>1181</v>
      </c>
      <c r="N104" s="5" t="s">
        <v>703</v>
      </c>
      <c r="O104" s="5" t="s">
        <v>99</v>
      </c>
      <c r="P104" s="5" t="s">
        <v>1182</v>
      </c>
      <c r="Q104" s="5"/>
      <c r="R104" s="5" t="s">
        <v>45</v>
      </c>
      <c r="S104" s="5" t="s">
        <v>810</v>
      </c>
      <c r="T104" s="5" t="s">
        <v>53</v>
      </c>
      <c r="U104" s="5" t="s">
        <v>811</v>
      </c>
      <c r="V104" s="5" t="s">
        <v>704</v>
      </c>
      <c r="W104" s="5"/>
      <c r="X104" s="5" t="s">
        <v>49</v>
      </c>
      <c r="Y104" s="5" t="s">
        <v>1183</v>
      </c>
      <c r="Z104" s="15" t="s">
        <v>51</v>
      </c>
      <c r="AA104" s="15"/>
      <c r="AB104" s="15" t="s">
        <v>1184</v>
      </c>
      <c r="AC104" s="15" t="s">
        <v>247</v>
      </c>
    </row>
    <row r="105" spans="1:29">
      <c r="A105" s="5" t="s">
        <v>1185</v>
      </c>
      <c r="B105" s="11" t="s">
        <v>133</v>
      </c>
      <c r="C105" s="5" t="s">
        <v>31</v>
      </c>
      <c r="D105" s="5" t="s">
        <v>279</v>
      </c>
      <c r="E105" s="5" t="s">
        <v>708</v>
      </c>
      <c r="F105" s="5" t="s">
        <v>1186</v>
      </c>
      <c r="G105" s="5" t="s">
        <v>1187</v>
      </c>
      <c r="H105" s="5" t="s">
        <v>1188</v>
      </c>
      <c r="I105" s="5" t="s">
        <v>1189</v>
      </c>
      <c r="J105" s="5" t="s">
        <v>1190</v>
      </c>
      <c r="K105" s="5" t="s">
        <v>1191</v>
      </c>
      <c r="L105" s="5" t="s">
        <v>1192</v>
      </c>
      <c r="M105" s="5" t="s">
        <v>1193</v>
      </c>
      <c r="N105" s="5" t="s">
        <v>1194</v>
      </c>
      <c r="O105" s="5" t="s">
        <v>99</v>
      </c>
      <c r="P105" s="5" t="s">
        <v>1195</v>
      </c>
      <c r="Q105" s="5"/>
      <c r="R105" s="5" t="s">
        <v>45</v>
      </c>
      <c r="S105" s="5" t="s">
        <v>810</v>
      </c>
      <c r="T105" s="5" t="s">
        <v>53</v>
      </c>
      <c r="U105" s="5" t="s">
        <v>811</v>
      </c>
      <c r="V105" s="5" t="s">
        <v>1196</v>
      </c>
      <c r="W105" s="5"/>
      <c r="X105" s="5" t="s">
        <v>128</v>
      </c>
      <c r="Y105" s="5" t="s">
        <v>1197</v>
      </c>
      <c r="Z105" s="15" t="s">
        <v>51</v>
      </c>
      <c r="AA105" s="15"/>
      <c r="AB105" s="15" t="s">
        <v>1198</v>
      </c>
      <c r="AC105" s="15" t="s">
        <v>247</v>
      </c>
    </row>
    <row r="106" spans="1:29">
      <c r="A106" s="5" t="s">
        <v>1199</v>
      </c>
      <c r="B106" s="11" t="s">
        <v>133</v>
      </c>
      <c r="C106" s="5" t="s">
        <v>55</v>
      </c>
      <c r="D106" s="5" t="s">
        <v>279</v>
      </c>
      <c r="E106" s="5" t="s">
        <v>708</v>
      </c>
      <c r="F106" s="5" t="s">
        <v>1186</v>
      </c>
      <c r="G106" s="5" t="s">
        <v>1200</v>
      </c>
      <c r="H106" s="5" t="s">
        <v>1201</v>
      </c>
      <c r="I106" s="5" t="s">
        <v>1202</v>
      </c>
      <c r="J106" s="5" t="s">
        <v>1203</v>
      </c>
      <c r="K106" s="5" t="s">
        <v>1204</v>
      </c>
      <c r="L106" s="5" t="s">
        <v>1205</v>
      </c>
      <c r="M106" s="5" t="s">
        <v>1206</v>
      </c>
      <c r="N106" s="5" t="s">
        <v>1194</v>
      </c>
      <c r="O106" s="5" t="s">
        <v>99</v>
      </c>
      <c r="P106" s="5" t="s">
        <v>209</v>
      </c>
      <c r="Q106" s="5"/>
      <c r="R106" s="5" t="s">
        <v>45</v>
      </c>
      <c r="S106" s="5" t="s">
        <v>810</v>
      </c>
      <c r="T106" s="5" t="s">
        <v>53</v>
      </c>
      <c r="U106" s="5" t="s">
        <v>811</v>
      </c>
      <c r="V106" s="5" t="s">
        <v>1196</v>
      </c>
      <c r="W106" s="5"/>
      <c r="X106" s="5" t="s">
        <v>49</v>
      </c>
      <c r="Y106" s="5" t="s">
        <v>1207</v>
      </c>
      <c r="Z106" s="15" t="s">
        <v>51</v>
      </c>
      <c r="AA106" s="15"/>
      <c r="AB106" s="15" t="s">
        <v>1208</v>
      </c>
      <c r="AC106" s="15" t="s">
        <v>247</v>
      </c>
    </row>
    <row r="107" spans="1:29">
      <c r="A107" s="5" t="s">
        <v>1209</v>
      </c>
      <c r="B107" s="11" t="s">
        <v>133</v>
      </c>
      <c r="C107" s="5" t="s">
        <v>143</v>
      </c>
      <c r="D107" s="5" t="s">
        <v>279</v>
      </c>
      <c r="E107" s="5" t="s">
        <v>708</v>
      </c>
      <c r="F107" s="5" t="s">
        <v>1186</v>
      </c>
      <c r="G107" s="5" t="s">
        <v>1187</v>
      </c>
      <c r="H107" s="5" t="s">
        <v>1210</v>
      </c>
      <c r="I107" s="5" t="s">
        <v>1211</v>
      </c>
      <c r="J107" s="5" t="s">
        <v>1212</v>
      </c>
      <c r="K107" s="5" t="s">
        <v>1213</v>
      </c>
      <c r="L107" s="5" t="s">
        <v>1214</v>
      </c>
      <c r="M107" s="5" t="s">
        <v>1215</v>
      </c>
      <c r="N107" s="5" t="s">
        <v>1194</v>
      </c>
      <c r="O107" s="5" t="s">
        <v>99</v>
      </c>
      <c r="P107" s="5" t="s">
        <v>1216</v>
      </c>
      <c r="Q107" s="5"/>
      <c r="R107" s="5" t="s">
        <v>45</v>
      </c>
      <c r="S107" s="5" t="s">
        <v>810</v>
      </c>
      <c r="T107" s="5" t="s">
        <v>53</v>
      </c>
      <c r="U107" s="5" t="s">
        <v>811</v>
      </c>
      <c r="V107" s="5" t="s">
        <v>1196</v>
      </c>
      <c r="W107" s="5" t="s">
        <v>1217</v>
      </c>
      <c r="X107" s="5" t="s">
        <v>49</v>
      </c>
      <c r="Y107" s="5" t="s">
        <v>1218</v>
      </c>
      <c r="Z107" s="15" t="s">
        <v>51</v>
      </c>
      <c r="AA107" s="15"/>
      <c r="AB107" s="15" t="s">
        <v>1219</v>
      </c>
      <c r="AC107" s="15" t="s">
        <v>247</v>
      </c>
    </row>
    <row r="108" spans="1:29">
      <c r="A108" s="5" t="s">
        <v>1220</v>
      </c>
      <c r="B108" s="10" t="s">
        <v>68</v>
      </c>
      <c r="C108" s="5" t="s">
        <v>597</v>
      </c>
      <c r="D108" s="5" t="s">
        <v>279</v>
      </c>
      <c r="E108" s="5" t="s">
        <v>1221</v>
      </c>
      <c r="F108" s="5" t="s">
        <v>1222</v>
      </c>
      <c r="G108" s="5" t="s">
        <v>1223</v>
      </c>
      <c r="H108" s="5" t="s">
        <v>1224</v>
      </c>
      <c r="I108" s="5" t="s">
        <v>1225</v>
      </c>
      <c r="J108" s="5" t="s">
        <v>1226</v>
      </c>
      <c r="K108" s="5" t="s">
        <v>1227</v>
      </c>
      <c r="L108" s="5" t="s">
        <v>1228</v>
      </c>
      <c r="M108" s="5" t="s">
        <v>1229</v>
      </c>
      <c r="N108" s="5" t="s">
        <v>1230</v>
      </c>
      <c r="O108" s="5" t="s">
        <v>99</v>
      </c>
      <c r="P108" s="5" t="s">
        <v>1231</v>
      </c>
      <c r="Q108" s="5"/>
      <c r="R108" s="5" t="s">
        <v>45</v>
      </c>
      <c r="S108" s="5" t="s">
        <v>810</v>
      </c>
      <c r="T108" s="5" t="s">
        <v>53</v>
      </c>
      <c r="U108" s="5" t="s">
        <v>811</v>
      </c>
      <c r="V108" s="5" t="s">
        <v>1232</v>
      </c>
      <c r="W108" s="5"/>
      <c r="X108" s="5" t="s">
        <v>128</v>
      </c>
      <c r="Y108" s="5" t="s">
        <v>1233</v>
      </c>
      <c r="Z108" s="15" t="s">
        <v>51</v>
      </c>
      <c r="AA108" s="15"/>
      <c r="AB108" s="15" t="s">
        <v>1234</v>
      </c>
      <c r="AC108" s="15" t="s">
        <v>247</v>
      </c>
    </row>
    <row r="109" spans="1:29">
      <c r="A109" s="5" t="s">
        <v>1235</v>
      </c>
      <c r="B109" s="11" t="s">
        <v>133</v>
      </c>
      <c r="C109" s="5" t="s">
        <v>31</v>
      </c>
      <c r="D109" s="5" t="s">
        <v>279</v>
      </c>
      <c r="E109" s="5" t="s">
        <v>1221</v>
      </c>
      <c r="F109" s="5" t="s">
        <v>1222</v>
      </c>
      <c r="G109" s="5" t="s">
        <v>1236</v>
      </c>
      <c r="H109" s="5" t="s">
        <v>1237</v>
      </c>
      <c r="I109" s="5" t="s">
        <v>1238</v>
      </c>
      <c r="J109" s="5" t="s">
        <v>1239</v>
      </c>
      <c r="K109" s="5" t="s">
        <v>1240</v>
      </c>
      <c r="L109" s="5" t="s">
        <v>1241</v>
      </c>
      <c r="M109" s="5" t="s">
        <v>1242</v>
      </c>
      <c r="N109" s="5" t="s">
        <v>1230</v>
      </c>
      <c r="O109" s="5" t="s">
        <v>99</v>
      </c>
      <c r="P109" s="5" t="s">
        <v>1243</v>
      </c>
      <c r="Q109" s="5"/>
      <c r="R109" s="5" t="s">
        <v>45</v>
      </c>
      <c r="S109" s="5" t="s">
        <v>810</v>
      </c>
      <c r="T109" s="5" t="s">
        <v>53</v>
      </c>
      <c r="U109" s="5" t="s">
        <v>811</v>
      </c>
      <c r="V109" s="5" t="s">
        <v>1232</v>
      </c>
      <c r="W109" s="5"/>
      <c r="X109" s="5" t="s">
        <v>49</v>
      </c>
      <c r="Y109" s="5" t="s">
        <v>1244</v>
      </c>
      <c r="Z109" s="15" t="s">
        <v>66</v>
      </c>
      <c r="AA109" s="15"/>
      <c r="AB109" s="15"/>
      <c r="AC109" s="15"/>
    </row>
    <row r="110" spans="1:29">
      <c r="A110" s="5" t="s">
        <v>1245</v>
      </c>
      <c r="B110" s="11" t="s">
        <v>133</v>
      </c>
      <c r="C110" s="5" t="s">
        <v>55</v>
      </c>
      <c r="D110" s="5" t="s">
        <v>279</v>
      </c>
      <c r="E110" s="5" t="s">
        <v>1221</v>
      </c>
      <c r="F110" s="5" t="s">
        <v>1222</v>
      </c>
      <c r="G110" s="5" t="s">
        <v>1246</v>
      </c>
      <c r="H110" s="5" t="s">
        <v>1247</v>
      </c>
      <c r="I110" s="5" t="s">
        <v>1248</v>
      </c>
      <c r="J110" s="5" t="s">
        <v>1249</v>
      </c>
      <c r="K110" s="5" t="s">
        <v>1250</v>
      </c>
      <c r="L110" s="5" t="s">
        <v>1251</v>
      </c>
      <c r="M110" s="5" t="s">
        <v>1252</v>
      </c>
      <c r="N110" s="5" t="s">
        <v>1230</v>
      </c>
      <c r="O110" s="5" t="s">
        <v>99</v>
      </c>
      <c r="P110" s="5" t="s">
        <v>1253</v>
      </c>
      <c r="Q110" s="5"/>
      <c r="R110" s="5" t="s">
        <v>45</v>
      </c>
      <c r="S110" s="5" t="s">
        <v>810</v>
      </c>
      <c r="T110" s="5" t="s">
        <v>53</v>
      </c>
      <c r="U110" s="5" t="s">
        <v>811</v>
      </c>
      <c r="V110" s="5" t="s">
        <v>1232</v>
      </c>
      <c r="W110" s="5"/>
      <c r="X110" s="5" t="s">
        <v>49</v>
      </c>
      <c r="Y110" s="5" t="s">
        <v>1254</v>
      </c>
      <c r="Z110" s="15" t="s">
        <v>51</v>
      </c>
      <c r="AA110" s="15"/>
      <c r="AB110" s="15" t="s">
        <v>1255</v>
      </c>
      <c r="AC110" s="15" t="s">
        <v>247</v>
      </c>
    </row>
    <row r="111" spans="1:29">
      <c r="A111" s="5" t="s">
        <v>1256</v>
      </c>
      <c r="B111" s="11" t="s">
        <v>133</v>
      </c>
      <c r="C111" s="5" t="s">
        <v>143</v>
      </c>
      <c r="D111" s="5" t="s">
        <v>279</v>
      </c>
      <c r="E111" s="5" t="s">
        <v>1221</v>
      </c>
      <c r="F111" s="5" t="s">
        <v>1222</v>
      </c>
      <c r="G111" s="5" t="s">
        <v>1257</v>
      </c>
      <c r="H111" s="5" t="s">
        <v>1258</v>
      </c>
      <c r="I111" s="5" t="s">
        <v>1259</v>
      </c>
      <c r="J111" s="5" t="s">
        <v>1260</v>
      </c>
      <c r="K111" s="5" t="s">
        <v>1261</v>
      </c>
      <c r="L111" s="5" t="s">
        <v>1262</v>
      </c>
      <c r="M111" s="5" t="s">
        <v>1263</v>
      </c>
      <c r="N111" s="5" t="s">
        <v>1230</v>
      </c>
      <c r="O111" s="5" t="s">
        <v>99</v>
      </c>
      <c r="P111" s="5" t="s">
        <v>1264</v>
      </c>
      <c r="Q111" s="5"/>
      <c r="R111" s="5" t="s">
        <v>45</v>
      </c>
      <c r="S111" s="5" t="s">
        <v>810</v>
      </c>
      <c r="T111" s="5" t="s">
        <v>53</v>
      </c>
      <c r="U111" s="5" t="s">
        <v>811</v>
      </c>
      <c r="V111" s="5" t="s">
        <v>1232</v>
      </c>
      <c r="W111" s="5" t="s">
        <v>1265</v>
      </c>
      <c r="X111" s="5" t="s">
        <v>128</v>
      </c>
      <c r="Y111" s="5" t="s">
        <v>1266</v>
      </c>
      <c r="Z111" s="15" t="s">
        <v>51</v>
      </c>
      <c r="AA111" s="15"/>
      <c r="AB111" s="15" t="s">
        <v>1267</v>
      </c>
      <c r="AC111" s="15" t="s">
        <v>247</v>
      </c>
    </row>
    <row r="112" spans="1:29">
      <c r="A112" s="5" t="s">
        <v>1268</v>
      </c>
      <c r="B112" s="10" t="s">
        <v>68</v>
      </c>
      <c r="C112" s="5" t="s">
        <v>55</v>
      </c>
      <c r="D112" s="5" t="s">
        <v>279</v>
      </c>
      <c r="E112" s="5" t="s">
        <v>1221</v>
      </c>
      <c r="F112" s="5" t="s">
        <v>1269</v>
      </c>
      <c r="G112" s="5" t="s">
        <v>1270</v>
      </c>
      <c r="H112" s="5" t="s">
        <v>1271</v>
      </c>
      <c r="I112" s="5" t="s">
        <v>1272</v>
      </c>
      <c r="J112" s="5" t="s">
        <v>1273</v>
      </c>
      <c r="K112" s="5" t="s">
        <v>1274</v>
      </c>
      <c r="L112" s="5" t="s">
        <v>1275</v>
      </c>
      <c r="M112" s="5" t="s">
        <v>1276</v>
      </c>
      <c r="N112" s="5" t="s">
        <v>1277</v>
      </c>
      <c r="O112" s="5" t="s">
        <v>99</v>
      </c>
      <c r="P112" s="5" t="s">
        <v>1278</v>
      </c>
      <c r="Q112" s="5"/>
      <c r="R112" s="5" t="s">
        <v>45</v>
      </c>
      <c r="S112" s="5" t="s">
        <v>810</v>
      </c>
      <c r="T112" s="5" t="s">
        <v>53</v>
      </c>
      <c r="U112" s="5" t="s">
        <v>811</v>
      </c>
      <c r="V112" s="5" t="s">
        <v>1279</v>
      </c>
      <c r="W112" s="5"/>
      <c r="X112" s="5" t="s">
        <v>128</v>
      </c>
      <c r="Y112" s="5" t="s">
        <v>1280</v>
      </c>
      <c r="Z112" s="15" t="s">
        <v>51</v>
      </c>
      <c r="AA112" s="15"/>
      <c r="AB112" s="15" t="s">
        <v>1281</v>
      </c>
      <c r="AC112" s="15" t="s">
        <v>247</v>
      </c>
    </row>
    <row r="113" spans="1:29">
      <c r="A113" s="5" t="s">
        <v>1282</v>
      </c>
      <c r="B113" s="11" t="s">
        <v>133</v>
      </c>
      <c r="C113" s="5" t="s">
        <v>31</v>
      </c>
      <c r="D113" s="5" t="s">
        <v>279</v>
      </c>
      <c r="E113" s="5" t="s">
        <v>1221</v>
      </c>
      <c r="F113" s="5" t="s">
        <v>1269</v>
      </c>
      <c r="G113" s="5" t="s">
        <v>1283</v>
      </c>
      <c r="H113" s="5" t="s">
        <v>1284</v>
      </c>
      <c r="I113" s="5" t="s">
        <v>1285</v>
      </c>
      <c r="J113" s="5" t="s">
        <v>1286</v>
      </c>
      <c r="K113" s="5" t="s">
        <v>1287</v>
      </c>
      <c r="L113" s="5" t="s">
        <v>1288</v>
      </c>
      <c r="M113" s="5" t="s">
        <v>1289</v>
      </c>
      <c r="N113" s="5" t="s">
        <v>1277</v>
      </c>
      <c r="O113" s="5" t="s">
        <v>99</v>
      </c>
      <c r="P113" s="5" t="s">
        <v>1290</v>
      </c>
      <c r="Q113" s="5"/>
      <c r="R113" s="5" t="s">
        <v>45</v>
      </c>
      <c r="S113" s="5" t="s">
        <v>810</v>
      </c>
      <c r="T113" s="5" t="s">
        <v>53</v>
      </c>
      <c r="U113" s="5" t="s">
        <v>811</v>
      </c>
      <c r="V113" s="5" t="s">
        <v>1279</v>
      </c>
      <c r="W113" s="5"/>
      <c r="X113" s="5" t="s">
        <v>128</v>
      </c>
      <c r="Y113" s="5" t="s">
        <v>1291</v>
      </c>
      <c r="Z113" s="15" t="s">
        <v>51</v>
      </c>
      <c r="AA113" s="15"/>
      <c r="AB113" s="15" t="s">
        <v>1292</v>
      </c>
      <c r="AC113" s="15" t="s">
        <v>247</v>
      </c>
    </row>
    <row r="114" spans="1:29">
      <c r="A114" s="5" t="s">
        <v>1293</v>
      </c>
      <c r="B114" s="10" t="s">
        <v>68</v>
      </c>
      <c r="C114" s="5" t="s">
        <v>31</v>
      </c>
      <c r="D114" s="5" t="s">
        <v>279</v>
      </c>
      <c r="E114" s="5" t="s">
        <v>1221</v>
      </c>
      <c r="F114" s="5" t="s">
        <v>1269</v>
      </c>
      <c r="G114" s="5" t="s">
        <v>1294</v>
      </c>
      <c r="H114" s="5" t="s">
        <v>1295</v>
      </c>
      <c r="I114" s="5" t="s">
        <v>1296</v>
      </c>
      <c r="J114" s="5" t="s">
        <v>1297</v>
      </c>
      <c r="K114" s="5" t="s">
        <v>1298</v>
      </c>
      <c r="L114" s="5" t="s">
        <v>1299</v>
      </c>
      <c r="M114" s="5" t="s">
        <v>1300</v>
      </c>
      <c r="N114" s="5" t="s">
        <v>1277</v>
      </c>
      <c r="O114" s="5" t="s">
        <v>99</v>
      </c>
      <c r="P114" s="5" t="s">
        <v>1301</v>
      </c>
      <c r="Q114" s="5"/>
      <c r="R114" s="5" t="s">
        <v>45</v>
      </c>
      <c r="S114" s="5" t="s">
        <v>810</v>
      </c>
      <c r="T114" s="5" t="s">
        <v>53</v>
      </c>
      <c r="U114" s="5" t="s">
        <v>811</v>
      </c>
      <c r="V114" s="5" t="s">
        <v>1279</v>
      </c>
      <c r="W114" s="5"/>
      <c r="X114" s="5" t="s">
        <v>49</v>
      </c>
      <c r="Y114" s="5" t="s">
        <v>1302</v>
      </c>
      <c r="Z114" s="15" t="s">
        <v>66</v>
      </c>
      <c r="AA114" s="15"/>
      <c r="AB114" s="15"/>
      <c r="AC114" s="15"/>
    </row>
    <row r="115" spans="1:29">
      <c r="A115" s="5" t="s">
        <v>1303</v>
      </c>
      <c r="B115" s="11" t="s">
        <v>133</v>
      </c>
      <c r="C115" s="5" t="s">
        <v>191</v>
      </c>
      <c r="D115" s="5" t="s">
        <v>279</v>
      </c>
      <c r="E115" s="5" t="s">
        <v>1221</v>
      </c>
      <c r="F115" s="5" t="s">
        <v>1304</v>
      </c>
      <c r="G115" s="5" t="s">
        <v>1305</v>
      </c>
      <c r="H115" s="5" t="s">
        <v>1306</v>
      </c>
      <c r="I115" s="5" t="s">
        <v>1307</v>
      </c>
      <c r="J115" s="5" t="s">
        <v>1308</v>
      </c>
      <c r="K115" s="5" t="s">
        <v>1309</v>
      </c>
      <c r="L115" s="5" t="s">
        <v>1310</v>
      </c>
      <c r="M115" s="5" t="s">
        <v>1311</v>
      </c>
      <c r="N115" s="5" t="s">
        <v>1312</v>
      </c>
      <c r="O115" s="5" t="s">
        <v>99</v>
      </c>
      <c r="P115" s="5" t="s">
        <v>1313</v>
      </c>
      <c r="Q115" s="5"/>
      <c r="R115" s="5" t="s">
        <v>45</v>
      </c>
      <c r="S115" s="5" t="s">
        <v>810</v>
      </c>
      <c r="T115" s="5" t="s">
        <v>53</v>
      </c>
      <c r="U115" s="5" t="s">
        <v>811</v>
      </c>
      <c r="V115" s="5" t="s">
        <v>1314</v>
      </c>
      <c r="W115" s="5"/>
      <c r="X115" s="5" t="s">
        <v>49</v>
      </c>
      <c r="Y115" s="5" t="s">
        <v>1315</v>
      </c>
      <c r="Z115" s="15" t="s">
        <v>51</v>
      </c>
      <c r="AA115" s="15"/>
      <c r="AB115" s="15" t="s">
        <v>1316</v>
      </c>
      <c r="AC115" s="15" t="s">
        <v>247</v>
      </c>
    </row>
    <row r="116" spans="1:29">
      <c r="A116" s="5" t="s">
        <v>1317</v>
      </c>
      <c r="B116" s="11" t="s">
        <v>133</v>
      </c>
      <c r="C116" s="5" t="s">
        <v>55</v>
      </c>
      <c r="D116" s="5" t="s">
        <v>279</v>
      </c>
      <c r="E116" s="5" t="s">
        <v>1221</v>
      </c>
      <c r="F116" s="5" t="s">
        <v>1304</v>
      </c>
      <c r="G116" s="5" t="s">
        <v>1318</v>
      </c>
      <c r="H116" s="5" t="s">
        <v>1319</v>
      </c>
      <c r="I116" s="5" t="s">
        <v>1320</v>
      </c>
      <c r="J116" s="5" t="s">
        <v>1321</v>
      </c>
      <c r="K116" s="5" t="s">
        <v>1322</v>
      </c>
      <c r="L116" s="5" t="s">
        <v>1323</v>
      </c>
      <c r="M116" s="5" t="s">
        <v>1324</v>
      </c>
      <c r="N116" s="5" t="s">
        <v>1312</v>
      </c>
      <c r="O116" s="5" t="s">
        <v>99</v>
      </c>
      <c r="P116" s="5" t="s">
        <v>1325</v>
      </c>
      <c r="Q116" s="5"/>
      <c r="R116" s="5" t="s">
        <v>45</v>
      </c>
      <c r="S116" s="5" t="s">
        <v>810</v>
      </c>
      <c r="T116" s="5" t="s">
        <v>53</v>
      </c>
      <c r="U116" s="5" t="s">
        <v>811</v>
      </c>
      <c r="V116" s="5" t="s">
        <v>1314</v>
      </c>
      <c r="W116" s="5"/>
      <c r="X116" s="5" t="s">
        <v>49</v>
      </c>
      <c r="Y116" s="5" t="s">
        <v>1326</v>
      </c>
      <c r="Z116" s="15" t="s">
        <v>51</v>
      </c>
      <c r="AA116" s="15"/>
      <c r="AB116" s="15" t="s">
        <v>1327</v>
      </c>
      <c r="AC116" s="15" t="s">
        <v>247</v>
      </c>
    </row>
    <row r="117" spans="1:29">
      <c r="A117" s="5" t="s">
        <v>1328</v>
      </c>
      <c r="B117" s="11" t="s">
        <v>133</v>
      </c>
      <c r="C117" s="5" t="s">
        <v>191</v>
      </c>
      <c r="D117" s="5" t="s">
        <v>279</v>
      </c>
      <c r="E117" s="5" t="s">
        <v>1221</v>
      </c>
      <c r="F117" s="5" t="s">
        <v>1304</v>
      </c>
      <c r="G117" s="5" t="s">
        <v>1329</v>
      </c>
      <c r="H117" s="5" t="s">
        <v>1330</v>
      </c>
      <c r="I117" s="5" t="s">
        <v>1331</v>
      </c>
      <c r="J117" s="5" t="s">
        <v>1332</v>
      </c>
      <c r="K117" s="5" t="s">
        <v>1333</v>
      </c>
      <c r="L117" s="5" t="s">
        <v>1334</v>
      </c>
      <c r="M117" s="5" t="s">
        <v>1335</v>
      </c>
      <c r="N117" s="5" t="s">
        <v>1312</v>
      </c>
      <c r="O117" s="5" t="s">
        <v>99</v>
      </c>
      <c r="P117" s="5" t="s">
        <v>1336</v>
      </c>
      <c r="Q117" s="5"/>
      <c r="R117" s="5" t="s">
        <v>45</v>
      </c>
      <c r="S117" s="5" t="s">
        <v>810</v>
      </c>
      <c r="T117" s="5" t="s">
        <v>53</v>
      </c>
      <c r="U117" s="5" t="s">
        <v>811</v>
      </c>
      <c r="V117" s="5" t="s">
        <v>1314</v>
      </c>
      <c r="W117" s="5"/>
      <c r="X117" s="5" t="s">
        <v>49</v>
      </c>
      <c r="Y117" s="5" t="s">
        <v>1337</v>
      </c>
      <c r="Z117" s="15" t="s">
        <v>51</v>
      </c>
      <c r="AA117" s="15"/>
      <c r="AB117" s="15" t="s">
        <v>1338</v>
      </c>
      <c r="AC117" s="15" t="s">
        <v>247</v>
      </c>
    </row>
    <row r="118" spans="1:29">
      <c r="A118" s="5" t="s">
        <v>1339</v>
      </c>
      <c r="B118" s="11" t="s">
        <v>133</v>
      </c>
      <c r="C118" s="5" t="s">
        <v>31</v>
      </c>
      <c r="D118" s="5" t="s">
        <v>279</v>
      </c>
      <c r="E118" s="5" t="s">
        <v>1221</v>
      </c>
      <c r="F118" s="5" t="s">
        <v>1304</v>
      </c>
      <c r="G118" s="5" t="s">
        <v>1340</v>
      </c>
      <c r="H118" s="5" t="s">
        <v>1341</v>
      </c>
      <c r="I118" s="5" t="s">
        <v>1342</v>
      </c>
      <c r="J118" s="5" t="s">
        <v>1343</v>
      </c>
      <c r="K118" s="5" t="s">
        <v>1344</v>
      </c>
      <c r="L118" s="5" t="s">
        <v>1345</v>
      </c>
      <c r="M118" s="5" t="s">
        <v>1346</v>
      </c>
      <c r="N118" s="5" t="s">
        <v>1312</v>
      </c>
      <c r="O118" s="5" t="s">
        <v>99</v>
      </c>
      <c r="P118" s="5" t="s">
        <v>1347</v>
      </c>
      <c r="Q118" s="5"/>
      <c r="R118" s="5" t="s">
        <v>45</v>
      </c>
      <c r="S118" s="5" t="s">
        <v>810</v>
      </c>
      <c r="T118" s="5" t="s">
        <v>53</v>
      </c>
      <c r="U118" s="5" t="s">
        <v>811</v>
      </c>
      <c r="V118" s="5" t="s">
        <v>1314</v>
      </c>
      <c r="W118" s="5"/>
      <c r="X118" s="5" t="s">
        <v>49</v>
      </c>
      <c r="Y118" s="5" t="s">
        <v>1348</v>
      </c>
      <c r="Z118" s="15" t="s">
        <v>51</v>
      </c>
      <c r="AA118" s="15"/>
      <c r="AB118" s="15" t="s">
        <v>1349</v>
      </c>
      <c r="AC118" s="15" t="s">
        <v>247</v>
      </c>
    </row>
    <row r="119" spans="1:29">
      <c r="A119" s="5" t="s">
        <v>1350</v>
      </c>
      <c r="B119" s="10" t="s">
        <v>68</v>
      </c>
      <c r="C119" s="5" t="s">
        <v>55</v>
      </c>
      <c r="D119" s="5" t="s">
        <v>279</v>
      </c>
      <c r="E119" s="5" t="s">
        <v>1221</v>
      </c>
      <c r="F119" s="5" t="s">
        <v>1351</v>
      </c>
      <c r="G119" s="5" t="s">
        <v>1352</v>
      </c>
      <c r="H119" s="5" t="s">
        <v>1353</v>
      </c>
      <c r="I119" s="5" t="s">
        <v>1354</v>
      </c>
      <c r="J119" s="5" t="s">
        <v>1355</v>
      </c>
      <c r="K119" s="5" t="s">
        <v>1356</v>
      </c>
      <c r="L119" s="5" t="s">
        <v>1357</v>
      </c>
      <c r="M119" s="5" t="s">
        <v>1358</v>
      </c>
      <c r="N119" s="5" t="s">
        <v>1359</v>
      </c>
      <c r="O119" s="5" t="s">
        <v>99</v>
      </c>
      <c r="P119" s="5" t="s">
        <v>1360</v>
      </c>
      <c r="Q119" s="5"/>
      <c r="R119" s="5" t="s">
        <v>45</v>
      </c>
      <c r="S119" s="5" t="s">
        <v>810</v>
      </c>
      <c r="T119" s="5" t="s">
        <v>53</v>
      </c>
      <c r="U119" s="5" t="s">
        <v>811</v>
      </c>
      <c r="V119" s="5" t="s">
        <v>1361</v>
      </c>
      <c r="W119" s="5"/>
      <c r="X119" s="5" t="s">
        <v>49</v>
      </c>
      <c r="Y119" s="5" t="s">
        <v>1362</v>
      </c>
      <c r="Z119" s="15" t="s">
        <v>51</v>
      </c>
      <c r="AA119" s="15"/>
      <c r="AB119" s="15" t="s">
        <v>1363</v>
      </c>
      <c r="AC119" s="15" t="s">
        <v>247</v>
      </c>
    </row>
    <row r="120" spans="1:29">
      <c r="A120" s="5" t="s">
        <v>1364</v>
      </c>
      <c r="B120" s="11" t="s">
        <v>133</v>
      </c>
      <c r="C120" s="5" t="s">
        <v>55</v>
      </c>
      <c r="D120" s="5" t="s">
        <v>279</v>
      </c>
      <c r="E120" s="5" t="s">
        <v>1365</v>
      </c>
      <c r="F120" s="5" t="s">
        <v>1366</v>
      </c>
      <c r="G120" s="5" t="s">
        <v>1367</v>
      </c>
      <c r="H120" s="5" t="s">
        <v>1368</v>
      </c>
      <c r="I120" s="5" t="s">
        <v>1369</v>
      </c>
      <c r="J120" s="5" t="s">
        <v>1370</v>
      </c>
      <c r="K120" s="5" t="s">
        <v>1371</v>
      </c>
      <c r="L120" s="5" t="s">
        <v>1372</v>
      </c>
      <c r="M120" s="5" t="s">
        <v>1373</v>
      </c>
      <c r="N120" s="5" t="s">
        <v>1374</v>
      </c>
      <c r="O120" s="5" t="s">
        <v>99</v>
      </c>
      <c r="P120" s="5" t="s">
        <v>1375</v>
      </c>
      <c r="Q120" s="5"/>
      <c r="R120" s="5" t="s">
        <v>45</v>
      </c>
      <c r="S120" s="5" t="s">
        <v>810</v>
      </c>
      <c r="T120" s="5" t="s">
        <v>53</v>
      </c>
      <c r="U120" s="5" t="s">
        <v>811</v>
      </c>
      <c r="V120" s="5" t="s">
        <v>1376</v>
      </c>
      <c r="W120" s="5" t="s">
        <v>1377</v>
      </c>
      <c r="X120" s="5" t="s">
        <v>49</v>
      </c>
      <c r="Y120" s="5" t="s">
        <v>1378</v>
      </c>
      <c r="Z120" s="15" t="s">
        <v>51</v>
      </c>
      <c r="AA120" s="15"/>
      <c r="AB120" s="15" t="s">
        <v>1379</v>
      </c>
      <c r="AC120" s="15" t="s">
        <v>247</v>
      </c>
    </row>
    <row r="121" spans="1:29">
      <c r="A121" s="5" t="s">
        <v>1380</v>
      </c>
      <c r="B121" s="10" t="s">
        <v>68</v>
      </c>
      <c r="C121" s="5" t="s">
        <v>597</v>
      </c>
      <c r="D121" s="5" t="s">
        <v>279</v>
      </c>
      <c r="E121" s="5" t="s">
        <v>1381</v>
      </c>
      <c r="F121" s="5" t="s">
        <v>1382</v>
      </c>
      <c r="G121" s="5" t="s">
        <v>1383</v>
      </c>
      <c r="H121" s="5" t="s">
        <v>1384</v>
      </c>
      <c r="I121" s="5" t="s">
        <v>1385</v>
      </c>
      <c r="J121" s="5" t="s">
        <v>1386</v>
      </c>
      <c r="K121" s="5" t="s">
        <v>1387</v>
      </c>
      <c r="L121" s="5" t="s">
        <v>1388</v>
      </c>
      <c r="M121" s="5" t="s">
        <v>1389</v>
      </c>
      <c r="N121" s="5" t="s">
        <v>1390</v>
      </c>
      <c r="O121" s="5" t="s">
        <v>99</v>
      </c>
      <c r="P121" s="5" t="s">
        <v>1391</v>
      </c>
      <c r="Q121" s="5"/>
      <c r="R121" s="5" t="s">
        <v>45</v>
      </c>
      <c r="S121" s="5" t="s">
        <v>810</v>
      </c>
      <c r="T121" s="5" t="s">
        <v>1392</v>
      </c>
      <c r="U121" s="5" t="s">
        <v>811</v>
      </c>
      <c r="V121" s="5" t="s">
        <v>1393</v>
      </c>
      <c r="W121" s="5"/>
      <c r="X121" s="5" t="s">
        <v>1394</v>
      </c>
      <c r="Y121" s="5" t="s">
        <v>1395</v>
      </c>
      <c r="Z121" s="15" t="s">
        <v>51</v>
      </c>
      <c r="AA121" s="15"/>
      <c r="AB121" s="15" t="s">
        <v>1396</v>
      </c>
      <c r="AC121" s="15" t="s">
        <v>247</v>
      </c>
    </row>
    <row r="122" spans="1:29">
      <c r="A122" s="5" t="s">
        <v>1397</v>
      </c>
      <c r="B122" s="11" t="s">
        <v>133</v>
      </c>
      <c r="C122" s="5" t="s">
        <v>531</v>
      </c>
      <c r="D122" s="5" t="s">
        <v>279</v>
      </c>
      <c r="E122" s="5" t="s">
        <v>1381</v>
      </c>
      <c r="F122" s="5" t="s">
        <v>1382</v>
      </c>
      <c r="G122" s="5" t="s">
        <v>1398</v>
      </c>
      <c r="H122" s="5" t="s">
        <v>1399</v>
      </c>
      <c r="I122" s="5" t="s">
        <v>1400</v>
      </c>
      <c r="J122" s="5" t="s">
        <v>1401</v>
      </c>
      <c r="K122" s="5" t="s">
        <v>1402</v>
      </c>
      <c r="L122" s="5" t="s">
        <v>1403</v>
      </c>
      <c r="M122" s="5" t="s">
        <v>1404</v>
      </c>
      <c r="N122" s="5" t="s">
        <v>1390</v>
      </c>
      <c r="O122" s="5" t="s">
        <v>99</v>
      </c>
      <c r="P122" s="5" t="s">
        <v>1405</v>
      </c>
      <c r="Q122" s="5"/>
      <c r="R122" s="5" t="s">
        <v>45</v>
      </c>
      <c r="S122" s="5" t="s">
        <v>810</v>
      </c>
      <c r="T122" s="5" t="s">
        <v>1392</v>
      </c>
      <c r="U122" s="5" t="s">
        <v>811</v>
      </c>
      <c r="V122" s="5" t="s">
        <v>1393</v>
      </c>
      <c r="W122" s="5"/>
      <c r="X122" s="5" t="s">
        <v>49</v>
      </c>
      <c r="Y122" s="5" t="s">
        <v>1406</v>
      </c>
      <c r="Z122" s="15" t="s">
        <v>51</v>
      </c>
      <c r="AA122" s="15"/>
      <c r="AB122" s="15" t="s">
        <v>1407</v>
      </c>
      <c r="AC122" s="15" t="s">
        <v>247</v>
      </c>
    </row>
    <row r="123" spans="1:29">
      <c r="A123" s="5" t="s">
        <v>1408</v>
      </c>
      <c r="B123" s="10" t="s">
        <v>68</v>
      </c>
      <c r="C123" s="5" t="s">
        <v>91</v>
      </c>
      <c r="D123" s="5" t="s">
        <v>279</v>
      </c>
      <c r="E123" s="5" t="s">
        <v>1381</v>
      </c>
      <c r="F123" s="5" t="s">
        <v>1382</v>
      </c>
      <c r="G123" s="5" t="s">
        <v>1409</v>
      </c>
      <c r="H123" s="5" t="s">
        <v>1410</v>
      </c>
      <c r="I123" s="5" t="s">
        <v>1411</v>
      </c>
      <c r="J123" s="5" t="s">
        <v>1412</v>
      </c>
      <c r="K123" s="5" t="s">
        <v>1413</v>
      </c>
      <c r="L123" s="5" t="s">
        <v>1414</v>
      </c>
      <c r="M123" s="5" t="s">
        <v>1415</v>
      </c>
      <c r="N123" s="5" t="s">
        <v>1390</v>
      </c>
      <c r="O123" s="5" t="s">
        <v>99</v>
      </c>
      <c r="P123" s="5" t="s">
        <v>1416</v>
      </c>
      <c r="Q123" s="5"/>
      <c r="R123" s="5" t="s">
        <v>45</v>
      </c>
      <c r="S123" s="5" t="s">
        <v>810</v>
      </c>
      <c r="T123" s="5" t="s">
        <v>1392</v>
      </c>
      <c r="U123" s="5" t="s">
        <v>811</v>
      </c>
      <c r="V123" s="5" t="s">
        <v>1393</v>
      </c>
      <c r="W123" s="5"/>
      <c r="X123" s="5" t="s">
        <v>49</v>
      </c>
      <c r="Y123" s="5" t="s">
        <v>1417</v>
      </c>
      <c r="Z123" s="15" t="s">
        <v>66</v>
      </c>
      <c r="AA123" s="15"/>
      <c r="AB123" s="15"/>
      <c r="AC123" s="15"/>
    </row>
    <row r="124" spans="1:29">
      <c r="A124" s="5" t="s">
        <v>1418</v>
      </c>
      <c r="B124" s="5"/>
      <c r="C124" s="5" t="s">
        <v>258</v>
      </c>
      <c r="D124" s="5" t="s">
        <v>279</v>
      </c>
      <c r="E124" s="5" t="s">
        <v>554</v>
      </c>
      <c r="F124" s="5" t="s">
        <v>555</v>
      </c>
      <c r="G124" s="5" t="s">
        <v>567</v>
      </c>
      <c r="H124" s="5" t="s">
        <v>1419</v>
      </c>
      <c r="I124" s="5" t="s">
        <v>1420</v>
      </c>
      <c r="J124" s="5" t="s">
        <v>1421</v>
      </c>
      <c r="K124" s="5" t="s">
        <v>1422</v>
      </c>
      <c r="L124" s="5" t="s">
        <v>1423</v>
      </c>
      <c r="M124" s="5" t="s">
        <v>1424</v>
      </c>
      <c r="N124" s="5" t="s">
        <v>563</v>
      </c>
      <c r="O124" s="5" t="s">
        <v>99</v>
      </c>
      <c r="P124" s="5" t="s">
        <v>1425</v>
      </c>
      <c r="Q124" s="5"/>
      <c r="R124" s="5" t="s">
        <v>45</v>
      </c>
      <c r="S124" s="5" t="s">
        <v>810</v>
      </c>
      <c r="T124" s="5" t="s">
        <v>1392</v>
      </c>
      <c r="U124" s="5" t="s">
        <v>811</v>
      </c>
      <c r="V124" s="5" t="s">
        <v>564</v>
      </c>
      <c r="W124" s="5" t="s">
        <v>1426</v>
      </c>
      <c r="X124" s="5" t="s">
        <v>128</v>
      </c>
      <c r="Y124" s="5" t="s">
        <v>1427</v>
      </c>
      <c r="Z124" s="15" t="s">
        <v>130</v>
      </c>
      <c r="AA124" s="15"/>
      <c r="AB124" s="15" t="s">
        <v>1428</v>
      </c>
      <c r="AC124" s="15" t="s">
        <v>247</v>
      </c>
    </row>
    <row r="125" spans="1:29">
      <c r="A125" s="5" t="s">
        <v>1429</v>
      </c>
      <c r="B125" s="5"/>
      <c r="C125" s="5" t="s">
        <v>223</v>
      </c>
      <c r="D125" s="5" t="s">
        <v>279</v>
      </c>
      <c r="E125" s="5" t="s">
        <v>1381</v>
      </c>
      <c r="F125" s="5" t="s">
        <v>1430</v>
      </c>
      <c r="G125" s="5" t="s">
        <v>1431</v>
      </c>
      <c r="H125" s="5" t="s">
        <v>1432</v>
      </c>
      <c r="I125" s="5" t="s">
        <v>1433</v>
      </c>
      <c r="J125" s="5" t="s">
        <v>1434</v>
      </c>
      <c r="K125" s="5" t="s">
        <v>1435</v>
      </c>
      <c r="L125" s="5" t="s">
        <v>1436</v>
      </c>
      <c r="M125" s="5" t="s">
        <v>1437</v>
      </c>
      <c r="N125" s="5" t="s">
        <v>1438</v>
      </c>
      <c r="O125" s="5" t="s">
        <v>99</v>
      </c>
      <c r="P125" s="5" t="s">
        <v>1439</v>
      </c>
      <c r="Q125" s="5"/>
      <c r="R125" s="5" t="s">
        <v>45</v>
      </c>
      <c r="S125" s="5" t="s">
        <v>810</v>
      </c>
      <c r="T125" s="5" t="s">
        <v>1392</v>
      </c>
      <c r="U125" s="5" t="s">
        <v>811</v>
      </c>
      <c r="V125" s="5" t="s">
        <v>1440</v>
      </c>
      <c r="W125" s="5"/>
      <c r="X125" s="5" t="s">
        <v>49</v>
      </c>
      <c r="Y125" s="5" t="s">
        <v>1441</v>
      </c>
      <c r="Z125" s="15" t="s">
        <v>51</v>
      </c>
      <c r="AA125" s="15"/>
      <c r="AB125" s="15" t="s">
        <v>1442</v>
      </c>
      <c r="AC125" s="15" t="s">
        <v>247</v>
      </c>
    </row>
    <row r="126" spans="1:29">
      <c r="A126" s="5" t="s">
        <v>1443</v>
      </c>
      <c r="B126" s="5"/>
      <c r="C126" s="5" t="s">
        <v>223</v>
      </c>
      <c r="D126" s="5" t="s">
        <v>279</v>
      </c>
      <c r="E126" s="5" t="s">
        <v>708</v>
      </c>
      <c r="F126" s="5" t="s">
        <v>1444</v>
      </c>
      <c r="G126" s="5" t="s">
        <v>577</v>
      </c>
      <c r="H126" s="5" t="s">
        <v>1445</v>
      </c>
      <c r="I126" s="5" t="s">
        <v>1446</v>
      </c>
      <c r="J126" s="5" t="s">
        <v>1434</v>
      </c>
      <c r="K126" s="5" t="s">
        <v>1447</v>
      </c>
      <c r="L126" s="5" t="s">
        <v>1448</v>
      </c>
      <c r="M126" s="5" t="s">
        <v>1449</v>
      </c>
      <c r="N126" s="5" t="s">
        <v>1450</v>
      </c>
      <c r="O126" s="5" t="s">
        <v>99</v>
      </c>
      <c r="P126" s="5" t="s">
        <v>1451</v>
      </c>
      <c r="Q126" s="5"/>
      <c r="R126" s="5" t="s">
        <v>45</v>
      </c>
      <c r="S126" s="5" t="s">
        <v>810</v>
      </c>
      <c r="T126" s="5" t="s">
        <v>1392</v>
      </c>
      <c r="U126" s="5" t="s">
        <v>811</v>
      </c>
      <c r="V126" s="5" t="s">
        <v>1452</v>
      </c>
      <c r="W126" s="5" t="s">
        <v>1453</v>
      </c>
      <c r="X126" s="5" t="s">
        <v>49</v>
      </c>
      <c r="Y126" s="5" t="s">
        <v>1454</v>
      </c>
      <c r="Z126" s="15" t="s">
        <v>51</v>
      </c>
      <c r="AA126" s="15"/>
      <c r="AB126" s="15" t="s">
        <v>1455</v>
      </c>
      <c r="AC126" s="15" t="s">
        <v>247</v>
      </c>
    </row>
    <row r="127" spans="1:29">
      <c r="A127" s="5" t="s">
        <v>1456</v>
      </c>
      <c r="B127" s="11" t="s">
        <v>133</v>
      </c>
      <c r="C127" s="5" t="s">
        <v>143</v>
      </c>
      <c r="D127" s="5" t="s">
        <v>279</v>
      </c>
      <c r="E127" s="5" t="s">
        <v>1457</v>
      </c>
      <c r="F127" s="5" t="s">
        <v>1458</v>
      </c>
      <c r="G127" s="5" t="s">
        <v>1459</v>
      </c>
      <c r="H127" s="5" t="s">
        <v>1460</v>
      </c>
      <c r="I127" s="5" t="s">
        <v>1461</v>
      </c>
      <c r="J127" s="5" t="s">
        <v>1434</v>
      </c>
      <c r="K127" s="5" t="s">
        <v>1462</v>
      </c>
      <c r="L127" s="5" t="s">
        <v>1463</v>
      </c>
      <c r="M127" s="5" t="s">
        <v>1464</v>
      </c>
      <c r="N127" s="5" t="s">
        <v>1465</v>
      </c>
      <c r="O127" s="5" t="s">
        <v>99</v>
      </c>
      <c r="P127" s="5" t="s">
        <v>1466</v>
      </c>
      <c r="Q127" s="5"/>
      <c r="R127" s="5" t="s">
        <v>45</v>
      </c>
      <c r="S127" s="5" t="s">
        <v>810</v>
      </c>
      <c r="T127" s="5" t="s">
        <v>1392</v>
      </c>
      <c r="U127" s="5" t="s">
        <v>811</v>
      </c>
      <c r="V127" s="5" t="s">
        <v>1467</v>
      </c>
      <c r="W127" s="5"/>
      <c r="X127" s="5" t="s">
        <v>49</v>
      </c>
      <c r="Y127" s="5" t="s">
        <v>1468</v>
      </c>
      <c r="Z127" s="15" t="s">
        <v>66</v>
      </c>
      <c r="AA127" s="15"/>
      <c r="AB127" s="15"/>
      <c r="AC127" s="15"/>
    </row>
    <row r="128" spans="1:29">
      <c r="A128" s="5" t="s">
        <v>1469</v>
      </c>
      <c r="B128" s="11" t="s">
        <v>133</v>
      </c>
      <c r="C128" s="5" t="s">
        <v>55</v>
      </c>
      <c r="D128" s="5" t="s">
        <v>279</v>
      </c>
      <c r="E128" s="5" t="s">
        <v>763</v>
      </c>
      <c r="F128" s="5" t="s">
        <v>1470</v>
      </c>
      <c r="G128" s="5" t="s">
        <v>1471</v>
      </c>
      <c r="H128" s="5" t="s">
        <v>1472</v>
      </c>
      <c r="I128" s="5" t="s">
        <v>1473</v>
      </c>
      <c r="J128" s="5" t="s">
        <v>1474</v>
      </c>
      <c r="K128" s="5" t="s">
        <v>1475</v>
      </c>
      <c r="L128" s="5" t="s">
        <v>1476</v>
      </c>
      <c r="M128" s="5" t="s">
        <v>1477</v>
      </c>
      <c r="N128" s="5" t="s">
        <v>1478</v>
      </c>
      <c r="O128" s="5" t="s">
        <v>99</v>
      </c>
      <c r="P128" s="5" t="s">
        <v>1479</v>
      </c>
      <c r="Q128" s="5"/>
      <c r="R128" s="5" t="s">
        <v>45</v>
      </c>
      <c r="S128" s="5" t="s">
        <v>810</v>
      </c>
      <c r="T128" s="5" t="s">
        <v>1392</v>
      </c>
      <c r="U128" s="5" t="s">
        <v>811</v>
      </c>
      <c r="V128" s="5" t="s">
        <v>1480</v>
      </c>
      <c r="W128" s="5"/>
      <c r="X128" s="5" t="s">
        <v>49</v>
      </c>
      <c r="Y128" s="5" t="s">
        <v>1481</v>
      </c>
      <c r="Z128" s="15" t="s">
        <v>51</v>
      </c>
      <c r="AA128" s="15"/>
      <c r="AB128" s="15" t="s">
        <v>1482</v>
      </c>
      <c r="AC128" s="15" t="s">
        <v>247</v>
      </c>
    </row>
    <row r="129" spans="1:29">
      <c r="A129" s="5" t="s">
        <v>1483</v>
      </c>
      <c r="B129" s="10" t="s">
        <v>68</v>
      </c>
      <c r="C129" s="5" t="s">
        <v>597</v>
      </c>
      <c r="D129" s="5" t="s">
        <v>279</v>
      </c>
      <c r="E129" s="5" t="s">
        <v>763</v>
      </c>
      <c r="F129" s="5" t="s">
        <v>1470</v>
      </c>
      <c r="G129" s="5" t="s">
        <v>1484</v>
      </c>
      <c r="H129" s="5" t="s">
        <v>1485</v>
      </c>
      <c r="I129" s="5" t="s">
        <v>1486</v>
      </c>
      <c r="J129" s="5" t="s">
        <v>1487</v>
      </c>
      <c r="K129" s="5" t="s">
        <v>1488</v>
      </c>
      <c r="L129" s="5" t="s">
        <v>1489</v>
      </c>
      <c r="M129" s="5" t="s">
        <v>1490</v>
      </c>
      <c r="N129" s="5" t="s">
        <v>1478</v>
      </c>
      <c r="O129" s="5" t="s">
        <v>99</v>
      </c>
      <c r="P129" s="5" t="s">
        <v>1491</v>
      </c>
      <c r="Q129" s="5"/>
      <c r="R129" s="5" t="s">
        <v>45</v>
      </c>
      <c r="S129" s="5" t="s">
        <v>810</v>
      </c>
      <c r="T129" s="5" t="s">
        <v>1392</v>
      </c>
      <c r="U129" s="5" t="s">
        <v>811</v>
      </c>
      <c r="V129" s="5" t="s">
        <v>1480</v>
      </c>
      <c r="W129" s="5" t="s">
        <v>1492</v>
      </c>
      <c r="X129" s="5" t="s">
        <v>128</v>
      </c>
      <c r="Y129" s="5" t="s">
        <v>1493</v>
      </c>
      <c r="Z129" s="15" t="s">
        <v>51</v>
      </c>
      <c r="AA129" s="15"/>
      <c r="AB129" s="15" t="s">
        <v>1494</v>
      </c>
      <c r="AC129" s="15" t="s">
        <v>247</v>
      </c>
    </row>
    <row r="130" spans="1:29">
      <c r="A130" s="5" t="s">
        <v>1495</v>
      </c>
      <c r="B130" s="11" t="s">
        <v>133</v>
      </c>
      <c r="C130" s="5" t="s">
        <v>55</v>
      </c>
      <c r="D130" s="5" t="s">
        <v>279</v>
      </c>
      <c r="E130" s="5" t="s">
        <v>763</v>
      </c>
      <c r="F130" s="5" t="s">
        <v>1470</v>
      </c>
      <c r="G130" s="5" t="s">
        <v>1496</v>
      </c>
      <c r="H130" s="5" t="s">
        <v>1497</v>
      </c>
      <c r="I130" s="5" t="s">
        <v>1498</v>
      </c>
      <c r="J130" s="5" t="s">
        <v>1434</v>
      </c>
      <c r="K130" s="5" t="s">
        <v>1499</v>
      </c>
      <c r="L130" s="5" t="s">
        <v>1500</v>
      </c>
      <c r="M130" s="5" t="s">
        <v>1501</v>
      </c>
      <c r="N130" s="5" t="s">
        <v>1478</v>
      </c>
      <c r="O130" s="5" t="s">
        <v>99</v>
      </c>
      <c r="P130" s="5" t="s">
        <v>1502</v>
      </c>
      <c r="Q130" s="5"/>
      <c r="R130" s="5" t="s">
        <v>45</v>
      </c>
      <c r="S130" s="5" t="s">
        <v>810</v>
      </c>
      <c r="T130" s="5" t="s">
        <v>1392</v>
      </c>
      <c r="U130" s="5" t="s">
        <v>811</v>
      </c>
      <c r="V130" s="5" t="s">
        <v>1480</v>
      </c>
      <c r="W130" s="5"/>
      <c r="X130" s="5" t="s">
        <v>128</v>
      </c>
      <c r="Y130" s="5" t="s">
        <v>1503</v>
      </c>
      <c r="Z130" s="15" t="s">
        <v>51</v>
      </c>
      <c r="AA130" s="15"/>
      <c r="AB130" s="15" t="s">
        <v>1504</v>
      </c>
      <c r="AC130" s="15" t="s">
        <v>247</v>
      </c>
    </row>
    <row r="131" spans="1:29">
      <c r="A131" s="5" t="s">
        <v>1505</v>
      </c>
      <c r="B131" s="11" t="s">
        <v>133</v>
      </c>
      <c r="C131" s="5" t="s">
        <v>597</v>
      </c>
      <c r="D131" s="5" t="s">
        <v>279</v>
      </c>
      <c r="E131" s="5" t="s">
        <v>763</v>
      </c>
      <c r="F131" s="5" t="s">
        <v>764</v>
      </c>
      <c r="G131" s="5" t="s">
        <v>1506</v>
      </c>
      <c r="H131" s="5" t="s">
        <v>1507</v>
      </c>
      <c r="I131" s="5" t="s">
        <v>1508</v>
      </c>
      <c r="J131" s="5" t="s">
        <v>1434</v>
      </c>
      <c r="K131" s="5" t="s">
        <v>1509</v>
      </c>
      <c r="L131" s="5" t="s">
        <v>1510</v>
      </c>
      <c r="M131" s="5" t="s">
        <v>1511</v>
      </c>
      <c r="N131" s="5" t="s">
        <v>771</v>
      </c>
      <c r="O131" s="5" t="s">
        <v>99</v>
      </c>
      <c r="P131" s="5" t="s">
        <v>209</v>
      </c>
      <c r="Q131" s="5"/>
      <c r="R131" s="5" t="s">
        <v>45</v>
      </c>
      <c r="S131" s="5" t="s">
        <v>810</v>
      </c>
      <c r="T131" s="5" t="s">
        <v>1392</v>
      </c>
      <c r="U131" s="5" t="s">
        <v>811</v>
      </c>
      <c r="V131" s="5" t="s">
        <v>772</v>
      </c>
      <c r="W131" s="5"/>
      <c r="X131" s="5" t="s">
        <v>49</v>
      </c>
      <c r="Y131" s="5" t="s">
        <v>1512</v>
      </c>
      <c r="Z131" s="15" t="s">
        <v>51</v>
      </c>
      <c r="AA131" s="15"/>
      <c r="AB131" s="15" t="s">
        <v>1513</v>
      </c>
      <c r="AC131" s="15" t="s">
        <v>247</v>
      </c>
    </row>
    <row r="132" spans="1:29">
      <c r="A132" s="5" t="s">
        <v>1514</v>
      </c>
      <c r="B132" s="11" t="s">
        <v>133</v>
      </c>
      <c r="C132" s="5" t="s">
        <v>55</v>
      </c>
      <c r="D132" s="5" t="s">
        <v>279</v>
      </c>
      <c r="E132" s="5" t="s">
        <v>763</v>
      </c>
      <c r="F132" s="5" t="s">
        <v>764</v>
      </c>
      <c r="G132" s="5" t="s">
        <v>1515</v>
      </c>
      <c r="H132" s="5" t="s">
        <v>1516</v>
      </c>
      <c r="I132" s="5" t="s">
        <v>1517</v>
      </c>
      <c r="J132" s="5" t="s">
        <v>1518</v>
      </c>
      <c r="K132" s="5" t="s">
        <v>1519</v>
      </c>
      <c r="L132" s="5" t="s">
        <v>1520</v>
      </c>
      <c r="M132" s="5" t="s">
        <v>1521</v>
      </c>
      <c r="N132" s="5" t="s">
        <v>771</v>
      </c>
      <c r="O132" s="5" t="s">
        <v>99</v>
      </c>
      <c r="P132" s="5" t="s">
        <v>1522</v>
      </c>
      <c r="Q132" s="5"/>
      <c r="R132" s="5" t="s">
        <v>45</v>
      </c>
      <c r="S132" s="5" t="s">
        <v>810</v>
      </c>
      <c r="T132" s="5" t="s">
        <v>1392</v>
      </c>
      <c r="U132" s="5" t="s">
        <v>811</v>
      </c>
      <c r="V132" s="5" t="s">
        <v>772</v>
      </c>
      <c r="W132" s="5"/>
      <c r="X132" s="5" t="s">
        <v>49</v>
      </c>
      <c r="Y132" s="5" t="s">
        <v>1523</v>
      </c>
      <c r="Z132" s="15" t="s">
        <v>130</v>
      </c>
      <c r="AA132" s="15"/>
      <c r="AB132" s="15" t="s">
        <v>1524</v>
      </c>
      <c r="AC132" s="15"/>
    </row>
    <row r="133" spans="1:29">
      <c r="A133" s="5" t="s">
        <v>1525</v>
      </c>
      <c r="B133" s="10" t="s">
        <v>68</v>
      </c>
      <c r="C133" s="5" t="s">
        <v>55</v>
      </c>
      <c r="D133" s="5" t="s">
        <v>279</v>
      </c>
      <c r="E133" s="5" t="s">
        <v>763</v>
      </c>
      <c r="F133" s="5" t="s">
        <v>1526</v>
      </c>
      <c r="G133" s="5" t="s">
        <v>1527</v>
      </c>
      <c r="H133" s="5" t="s">
        <v>1528</v>
      </c>
      <c r="I133" s="5" t="s">
        <v>1529</v>
      </c>
      <c r="J133" s="5" t="s">
        <v>1530</v>
      </c>
      <c r="K133" s="5" t="s">
        <v>1531</v>
      </c>
      <c r="L133" s="5" t="s">
        <v>1532</v>
      </c>
      <c r="M133" s="5" t="s">
        <v>1533</v>
      </c>
      <c r="N133" s="5" t="s">
        <v>1534</v>
      </c>
      <c r="O133" s="5" t="s">
        <v>99</v>
      </c>
      <c r="P133" s="5" t="s">
        <v>1535</v>
      </c>
      <c r="Q133" s="5"/>
      <c r="R133" s="5" t="s">
        <v>45</v>
      </c>
      <c r="S133" s="5" t="s">
        <v>810</v>
      </c>
      <c r="T133" s="5" t="s">
        <v>1392</v>
      </c>
      <c r="U133" s="5" t="s">
        <v>811</v>
      </c>
      <c r="V133" s="5" t="s">
        <v>1536</v>
      </c>
      <c r="W133" s="5"/>
      <c r="X133" s="5" t="s">
        <v>49</v>
      </c>
      <c r="Y133" s="5" t="s">
        <v>1537</v>
      </c>
      <c r="Z133" s="15" t="s">
        <v>66</v>
      </c>
      <c r="AA133" s="15"/>
      <c r="AB133" s="15"/>
      <c r="AC133" s="15"/>
    </row>
    <row r="134" spans="1:29">
      <c r="A134" s="5" t="s">
        <v>1538</v>
      </c>
      <c r="B134" s="10" t="s">
        <v>68</v>
      </c>
      <c r="C134" s="5" t="s">
        <v>597</v>
      </c>
      <c r="D134" s="5" t="s">
        <v>279</v>
      </c>
      <c r="E134" s="5" t="s">
        <v>763</v>
      </c>
      <c r="F134" s="5" t="s">
        <v>1526</v>
      </c>
      <c r="G134" s="5" t="s">
        <v>1539</v>
      </c>
      <c r="H134" s="5" t="s">
        <v>1540</v>
      </c>
      <c r="I134" s="5" t="s">
        <v>1541</v>
      </c>
      <c r="J134" s="5" t="s">
        <v>1542</v>
      </c>
      <c r="K134" s="5" t="s">
        <v>1543</v>
      </c>
      <c r="L134" s="5" t="s">
        <v>1544</v>
      </c>
      <c r="M134" s="5" t="s">
        <v>1545</v>
      </c>
      <c r="N134" s="5" t="s">
        <v>1534</v>
      </c>
      <c r="O134" s="5" t="s">
        <v>99</v>
      </c>
      <c r="P134" s="5" t="s">
        <v>209</v>
      </c>
      <c r="Q134" s="5"/>
      <c r="R134" s="5" t="s">
        <v>45</v>
      </c>
      <c r="S134" s="5" t="s">
        <v>810</v>
      </c>
      <c r="T134" s="5" t="s">
        <v>1392</v>
      </c>
      <c r="U134" s="5" t="s">
        <v>811</v>
      </c>
      <c r="V134" s="5" t="s">
        <v>1536</v>
      </c>
      <c r="W134" s="5"/>
      <c r="X134" s="5" t="s">
        <v>49</v>
      </c>
      <c r="Y134" s="5" t="s">
        <v>1546</v>
      </c>
      <c r="Z134" s="15" t="s">
        <v>66</v>
      </c>
      <c r="AA134" s="15"/>
      <c r="AB134" s="15"/>
      <c r="AC134" s="15"/>
    </row>
    <row r="135" spans="1:29">
      <c r="A135" s="5" t="s">
        <v>1547</v>
      </c>
      <c r="B135" s="11" t="s">
        <v>133</v>
      </c>
      <c r="C135" s="5" t="s">
        <v>55</v>
      </c>
      <c r="D135" s="5" t="s">
        <v>279</v>
      </c>
      <c r="E135" s="5" t="s">
        <v>763</v>
      </c>
      <c r="F135" s="5" t="s">
        <v>1548</v>
      </c>
      <c r="G135" s="5" t="s">
        <v>1549</v>
      </c>
      <c r="H135" s="5" t="s">
        <v>1550</v>
      </c>
      <c r="I135" s="5" t="s">
        <v>1551</v>
      </c>
      <c r="J135" s="5" t="s">
        <v>1434</v>
      </c>
      <c r="K135" s="5" t="s">
        <v>1552</v>
      </c>
      <c r="L135" s="5" t="s">
        <v>1553</v>
      </c>
      <c r="M135" s="5" t="s">
        <v>1554</v>
      </c>
      <c r="N135" s="5" t="s">
        <v>1555</v>
      </c>
      <c r="O135" s="5" t="s">
        <v>99</v>
      </c>
      <c r="P135" s="5" t="s">
        <v>1556</v>
      </c>
      <c r="Q135" s="5"/>
      <c r="R135" s="5" t="s">
        <v>45</v>
      </c>
      <c r="S135" s="5" t="s">
        <v>810</v>
      </c>
      <c r="T135" s="5" t="s">
        <v>1392</v>
      </c>
      <c r="U135" s="5" t="s">
        <v>811</v>
      </c>
      <c r="V135" s="5" t="s">
        <v>1557</v>
      </c>
      <c r="W135" s="5"/>
      <c r="X135" s="5" t="s">
        <v>49</v>
      </c>
      <c r="Y135" s="5" t="s">
        <v>1558</v>
      </c>
      <c r="Z135" s="15" t="s">
        <v>51</v>
      </c>
      <c r="AA135" s="15"/>
      <c r="AB135" s="15" t="s">
        <v>1559</v>
      </c>
      <c r="AC135" s="15" t="s">
        <v>247</v>
      </c>
    </row>
    <row r="136" spans="1:29">
      <c r="A136" s="5" t="s">
        <v>1560</v>
      </c>
      <c r="B136" s="11" t="s">
        <v>133</v>
      </c>
      <c r="C136" s="5" t="s">
        <v>55</v>
      </c>
      <c r="D136" s="5" t="s">
        <v>279</v>
      </c>
      <c r="E136" s="5" t="s">
        <v>763</v>
      </c>
      <c r="F136" s="5" t="s">
        <v>776</v>
      </c>
      <c r="G136" s="5" t="s">
        <v>1561</v>
      </c>
      <c r="H136" s="5" t="s">
        <v>1562</v>
      </c>
      <c r="I136" s="5" t="s">
        <v>1563</v>
      </c>
      <c r="J136" s="5" t="s">
        <v>1434</v>
      </c>
      <c r="K136" s="5" t="s">
        <v>1564</v>
      </c>
      <c r="L136" s="5" t="s">
        <v>1565</v>
      </c>
      <c r="M136" s="5" t="s">
        <v>1566</v>
      </c>
      <c r="N136" s="5" t="s">
        <v>783</v>
      </c>
      <c r="O136" s="5" t="s">
        <v>99</v>
      </c>
      <c r="P136" s="5" t="s">
        <v>1567</v>
      </c>
      <c r="Q136" s="5"/>
      <c r="R136" s="5" t="s">
        <v>45</v>
      </c>
      <c r="S136" s="5" t="s">
        <v>810</v>
      </c>
      <c r="T136" s="5" t="s">
        <v>1392</v>
      </c>
      <c r="U136" s="5" t="s">
        <v>811</v>
      </c>
      <c r="V136" s="5" t="s">
        <v>784</v>
      </c>
      <c r="W136" s="5"/>
      <c r="X136" s="5" t="s">
        <v>128</v>
      </c>
      <c r="Y136" s="5" t="s">
        <v>1568</v>
      </c>
      <c r="Z136" s="15" t="s">
        <v>51</v>
      </c>
      <c r="AA136" s="15"/>
      <c r="AB136" s="15" t="s">
        <v>1569</v>
      </c>
      <c r="AC136" s="15" t="s">
        <v>247</v>
      </c>
    </row>
    <row r="137" spans="1:29">
      <c r="A137" s="5" t="s">
        <v>1570</v>
      </c>
      <c r="B137" s="10" t="s">
        <v>68</v>
      </c>
      <c r="C137" s="5" t="s">
        <v>31</v>
      </c>
      <c r="D137" s="5" t="s">
        <v>32</v>
      </c>
      <c r="E137" s="5" t="s">
        <v>33</v>
      </c>
      <c r="F137" s="5" t="s">
        <v>34</v>
      </c>
      <c r="G137" s="5" t="s">
        <v>1571</v>
      </c>
      <c r="H137" s="5" t="s">
        <v>1572</v>
      </c>
      <c r="I137" s="5" t="s">
        <v>1573</v>
      </c>
      <c r="J137" s="5" t="s">
        <v>1574</v>
      </c>
      <c r="K137" s="5" t="s">
        <v>1575</v>
      </c>
      <c r="L137" s="5" t="s">
        <v>1576</v>
      </c>
      <c r="M137" s="5" t="s">
        <v>1577</v>
      </c>
      <c r="N137" s="5" t="s">
        <v>626</v>
      </c>
      <c r="O137" s="5" t="s">
        <v>99</v>
      </c>
      <c r="P137" s="5" t="s">
        <v>1578</v>
      </c>
      <c r="Q137" s="5"/>
      <c r="R137" s="5" t="s">
        <v>45</v>
      </c>
      <c r="S137" s="5" t="s">
        <v>810</v>
      </c>
      <c r="T137" s="5" t="s">
        <v>1392</v>
      </c>
      <c r="U137" s="5" t="s">
        <v>811</v>
      </c>
      <c r="V137" s="5" t="s">
        <v>48</v>
      </c>
      <c r="W137" s="5"/>
      <c r="X137" s="5" t="s">
        <v>128</v>
      </c>
      <c r="Y137" s="5" t="s">
        <v>1579</v>
      </c>
      <c r="Z137" s="15" t="s">
        <v>51</v>
      </c>
      <c r="AA137" s="15"/>
      <c r="AB137" s="15" t="s">
        <v>1580</v>
      </c>
      <c r="AC137" s="15" t="s">
        <v>247</v>
      </c>
    </row>
    <row r="138" spans="1:29">
      <c r="A138" s="5" t="s">
        <v>1581</v>
      </c>
      <c r="B138" s="11" t="s">
        <v>133</v>
      </c>
      <c r="C138" s="5" t="s">
        <v>55</v>
      </c>
      <c r="D138" s="5" t="s">
        <v>32</v>
      </c>
      <c r="E138" s="5" t="s">
        <v>114</v>
      </c>
      <c r="F138" s="5" t="s">
        <v>115</v>
      </c>
      <c r="G138" s="5" t="s">
        <v>116</v>
      </c>
      <c r="H138" s="5" t="s">
        <v>1582</v>
      </c>
      <c r="I138" s="5" t="s">
        <v>1583</v>
      </c>
      <c r="J138" s="5" t="s">
        <v>1584</v>
      </c>
      <c r="K138" s="5" t="s">
        <v>1585</v>
      </c>
      <c r="L138" s="5" t="s">
        <v>1586</v>
      </c>
      <c r="M138" s="5" t="s">
        <v>1587</v>
      </c>
      <c r="N138" s="5" t="s">
        <v>1588</v>
      </c>
      <c r="O138" s="5" t="s">
        <v>99</v>
      </c>
      <c r="P138" s="5" t="s">
        <v>1589</v>
      </c>
      <c r="Q138" s="5"/>
      <c r="R138" s="5" t="s">
        <v>45</v>
      </c>
      <c r="S138" s="5" t="s">
        <v>810</v>
      </c>
      <c r="T138" s="5" t="s">
        <v>1392</v>
      </c>
      <c r="U138" s="5" t="s">
        <v>811</v>
      </c>
      <c r="V138" s="5" t="s">
        <v>126</v>
      </c>
      <c r="W138" s="5"/>
      <c r="X138" s="5" t="s">
        <v>128</v>
      </c>
      <c r="Y138" s="5" t="s">
        <v>1590</v>
      </c>
      <c r="Z138" s="15" t="s">
        <v>51</v>
      </c>
      <c r="AA138" s="15"/>
      <c r="AB138" s="15" t="s">
        <v>1591</v>
      </c>
      <c r="AC138" s="15" t="s">
        <v>247</v>
      </c>
    </row>
    <row r="139" spans="1:29">
      <c r="A139" s="5" t="s">
        <v>1592</v>
      </c>
      <c r="B139" s="10" t="s">
        <v>68</v>
      </c>
      <c r="C139" s="5" t="s">
        <v>55</v>
      </c>
      <c r="D139" s="5" t="s">
        <v>279</v>
      </c>
      <c r="E139" s="5" t="s">
        <v>280</v>
      </c>
      <c r="F139" s="5" t="s">
        <v>340</v>
      </c>
      <c r="G139" s="5" t="s">
        <v>363</v>
      </c>
      <c r="H139" s="5" t="s">
        <v>1593</v>
      </c>
      <c r="I139" s="5" t="s">
        <v>1594</v>
      </c>
      <c r="J139" s="5" t="s">
        <v>1595</v>
      </c>
      <c r="K139" s="5" t="s">
        <v>1596</v>
      </c>
      <c r="L139" s="5" t="s">
        <v>1597</v>
      </c>
      <c r="M139" s="5" t="s">
        <v>1598</v>
      </c>
      <c r="N139" s="5" t="s">
        <v>348</v>
      </c>
      <c r="O139" s="5" t="s">
        <v>99</v>
      </c>
      <c r="P139" s="5" t="s">
        <v>1599</v>
      </c>
      <c r="Q139" s="5"/>
      <c r="R139" s="5" t="s">
        <v>45</v>
      </c>
      <c r="S139" s="5" t="s">
        <v>810</v>
      </c>
      <c r="T139" s="5" t="s">
        <v>1392</v>
      </c>
      <c r="U139" s="5" t="s">
        <v>811</v>
      </c>
      <c r="V139" s="5" t="s">
        <v>350</v>
      </c>
      <c r="W139" s="5"/>
      <c r="X139" s="5" t="s">
        <v>49</v>
      </c>
      <c r="Y139" s="5" t="s">
        <v>1600</v>
      </c>
      <c r="Z139" s="15" t="s">
        <v>51</v>
      </c>
      <c r="AA139" s="15"/>
      <c r="AB139" s="15" t="s">
        <v>1601</v>
      </c>
      <c r="AC139" s="15" t="s">
        <v>247</v>
      </c>
    </row>
    <row r="140" spans="1:29">
      <c r="A140" s="5" t="s">
        <v>1602</v>
      </c>
      <c r="B140" s="11" t="s">
        <v>133</v>
      </c>
      <c r="C140" s="5" t="s">
        <v>91</v>
      </c>
      <c r="D140" s="5" t="s">
        <v>279</v>
      </c>
      <c r="E140" s="5" t="s">
        <v>280</v>
      </c>
      <c r="F140" s="5" t="s">
        <v>340</v>
      </c>
      <c r="G140" s="5" t="s">
        <v>1603</v>
      </c>
      <c r="H140" s="5" t="s">
        <v>1604</v>
      </c>
      <c r="I140" s="5" t="s">
        <v>1605</v>
      </c>
      <c r="J140" s="5" t="s">
        <v>1606</v>
      </c>
      <c r="K140" s="5" t="s">
        <v>1607</v>
      </c>
      <c r="L140" s="5" t="s">
        <v>1608</v>
      </c>
      <c r="M140" s="5" t="s">
        <v>1609</v>
      </c>
      <c r="N140" s="5" t="s">
        <v>348</v>
      </c>
      <c r="O140" s="5" t="s">
        <v>99</v>
      </c>
      <c r="P140" s="5" t="s">
        <v>1610</v>
      </c>
      <c r="Q140" s="5"/>
      <c r="R140" s="5" t="s">
        <v>45</v>
      </c>
      <c r="S140" s="5" t="s">
        <v>810</v>
      </c>
      <c r="T140" s="5" t="s">
        <v>1392</v>
      </c>
      <c r="U140" s="5" t="s">
        <v>811</v>
      </c>
      <c r="V140" s="5" t="s">
        <v>350</v>
      </c>
      <c r="W140" s="5"/>
      <c r="X140" s="5" t="s">
        <v>49</v>
      </c>
      <c r="Y140" s="5" t="s">
        <v>1611</v>
      </c>
      <c r="Z140" s="15" t="s">
        <v>51</v>
      </c>
      <c r="AA140" s="15"/>
      <c r="AB140" s="15" t="s">
        <v>1612</v>
      </c>
      <c r="AC140" s="15" t="s">
        <v>247</v>
      </c>
    </row>
    <row r="141" spans="1:29">
      <c r="A141" s="5" t="s">
        <v>1613</v>
      </c>
      <c r="B141" s="11" t="s">
        <v>133</v>
      </c>
      <c r="C141" s="5" t="s">
        <v>531</v>
      </c>
      <c r="D141" s="5" t="s">
        <v>279</v>
      </c>
      <c r="E141" s="5" t="s">
        <v>280</v>
      </c>
      <c r="F141" s="5" t="s">
        <v>281</v>
      </c>
      <c r="G141" s="5" t="s">
        <v>1614</v>
      </c>
      <c r="H141" s="5" t="s">
        <v>1615</v>
      </c>
      <c r="I141" s="5" t="s">
        <v>1616</v>
      </c>
      <c r="J141" s="5" t="s">
        <v>1617</v>
      </c>
      <c r="K141" s="5" t="s">
        <v>1618</v>
      </c>
      <c r="L141" s="5" t="s">
        <v>1619</v>
      </c>
      <c r="M141" s="5" t="s">
        <v>1620</v>
      </c>
      <c r="N141" s="5" t="s">
        <v>1312</v>
      </c>
      <c r="O141" s="5" t="s">
        <v>99</v>
      </c>
      <c r="P141" s="5" t="s">
        <v>1621</v>
      </c>
      <c r="Q141" s="5"/>
      <c r="R141" s="5" t="s">
        <v>45</v>
      </c>
      <c r="S141" s="5" t="s">
        <v>810</v>
      </c>
      <c r="T141" s="5" t="s">
        <v>1392</v>
      </c>
      <c r="U141" s="5" t="s">
        <v>811</v>
      </c>
      <c r="V141" s="5" t="s">
        <v>292</v>
      </c>
      <c r="W141" s="5" t="s">
        <v>1622</v>
      </c>
      <c r="X141" s="5" t="s">
        <v>49</v>
      </c>
      <c r="Y141" s="5" t="s">
        <v>1623</v>
      </c>
      <c r="Z141" s="15" t="s">
        <v>51</v>
      </c>
      <c r="AA141" s="15"/>
      <c r="AB141" s="15" t="s">
        <v>1624</v>
      </c>
      <c r="AC141" s="15" t="s">
        <v>247</v>
      </c>
    </row>
    <row r="142" spans="1:29">
      <c r="A142" s="5" t="s">
        <v>1625</v>
      </c>
      <c r="B142" s="11" t="s">
        <v>133</v>
      </c>
      <c r="C142" s="5" t="s">
        <v>597</v>
      </c>
      <c r="D142" s="5" t="s">
        <v>279</v>
      </c>
      <c r="E142" s="5" t="s">
        <v>1221</v>
      </c>
      <c r="F142" s="5" t="s">
        <v>1304</v>
      </c>
      <c r="G142" s="5" t="s">
        <v>1340</v>
      </c>
      <c r="H142" s="5" t="s">
        <v>1626</v>
      </c>
      <c r="I142" s="5" t="s">
        <v>1627</v>
      </c>
      <c r="J142" s="5" t="s">
        <v>1628</v>
      </c>
      <c r="K142" s="5" t="s">
        <v>1629</v>
      </c>
      <c r="L142" s="5" t="s">
        <v>1630</v>
      </c>
      <c r="M142" s="5" t="s">
        <v>1631</v>
      </c>
      <c r="N142" s="5" t="s">
        <v>1312</v>
      </c>
      <c r="O142" s="5" t="s">
        <v>99</v>
      </c>
      <c r="P142" s="5" t="s">
        <v>209</v>
      </c>
      <c r="Q142" s="5"/>
      <c r="R142" s="5" t="s">
        <v>45</v>
      </c>
      <c r="S142" s="5" t="s">
        <v>810</v>
      </c>
      <c r="T142" s="5" t="s">
        <v>1392</v>
      </c>
      <c r="U142" s="5" t="s">
        <v>811</v>
      </c>
      <c r="V142" s="5" t="s">
        <v>1314</v>
      </c>
      <c r="W142" s="5"/>
      <c r="X142" s="5" t="s">
        <v>49</v>
      </c>
      <c r="Y142" s="5" t="s">
        <v>1632</v>
      </c>
      <c r="Z142" s="15" t="s">
        <v>66</v>
      </c>
      <c r="AA142" s="15"/>
      <c r="AB142" s="15"/>
      <c r="AC142" s="15"/>
    </row>
    <row r="143" spans="1:29">
      <c r="A143" s="5" t="s">
        <v>1633</v>
      </c>
      <c r="B143" s="11" t="s">
        <v>133</v>
      </c>
      <c r="C143" s="5" t="s">
        <v>143</v>
      </c>
      <c r="D143" s="5" t="s">
        <v>32</v>
      </c>
      <c r="E143" s="5" t="s">
        <v>114</v>
      </c>
      <c r="F143" s="5" t="s">
        <v>115</v>
      </c>
      <c r="G143" s="5" t="s">
        <v>1634</v>
      </c>
      <c r="H143" s="5" t="s">
        <v>1635</v>
      </c>
      <c r="I143" s="5" t="s">
        <v>1636</v>
      </c>
      <c r="J143" s="5" t="s">
        <v>1637</v>
      </c>
      <c r="K143" s="5" t="s">
        <v>1638</v>
      </c>
      <c r="L143" s="5" t="s">
        <v>1639</v>
      </c>
      <c r="M143" s="5" t="s">
        <v>1640</v>
      </c>
      <c r="N143" s="5" t="s">
        <v>1641</v>
      </c>
      <c r="O143" s="5" t="s">
        <v>99</v>
      </c>
      <c r="P143" s="5" t="s">
        <v>1642</v>
      </c>
      <c r="Q143" s="5"/>
      <c r="R143" s="5" t="s">
        <v>45</v>
      </c>
      <c r="S143" s="5" t="s">
        <v>810</v>
      </c>
      <c r="T143" s="5" t="s">
        <v>1392</v>
      </c>
      <c r="U143" s="5" t="s">
        <v>811</v>
      </c>
      <c r="V143" s="5" t="s">
        <v>126</v>
      </c>
      <c r="W143" s="5"/>
      <c r="X143" s="5" t="s">
        <v>49</v>
      </c>
      <c r="Y143" s="5" t="s">
        <v>1643</v>
      </c>
      <c r="Z143" s="15" t="s">
        <v>66</v>
      </c>
      <c r="AA143" s="15"/>
      <c r="AB143" s="15"/>
      <c r="AC143" s="15"/>
    </row>
    <row r="144" spans="1:29">
      <c r="A144" s="5" t="s">
        <v>1644</v>
      </c>
      <c r="B144" s="10" t="s">
        <v>68</v>
      </c>
      <c r="C144" s="5" t="s">
        <v>55</v>
      </c>
      <c r="D144" s="5" t="s">
        <v>32</v>
      </c>
      <c r="E144" s="5" t="s">
        <v>33</v>
      </c>
      <c r="F144" s="5" t="s">
        <v>34</v>
      </c>
      <c r="G144" s="5" t="s">
        <v>1645</v>
      </c>
      <c r="H144" s="5" t="s">
        <v>1646</v>
      </c>
      <c r="I144" s="5" t="s">
        <v>1647</v>
      </c>
      <c r="J144" s="5" t="s">
        <v>1648</v>
      </c>
      <c r="K144" s="5" t="s">
        <v>1649</v>
      </c>
      <c r="L144" s="5" t="s">
        <v>1650</v>
      </c>
      <c r="M144" s="5" t="s">
        <v>1651</v>
      </c>
      <c r="N144" s="5" t="s">
        <v>626</v>
      </c>
      <c r="O144" s="5" t="s">
        <v>99</v>
      </c>
      <c r="P144" s="5" t="s">
        <v>1652</v>
      </c>
      <c r="Q144" s="5"/>
      <c r="R144" s="5" t="s">
        <v>45</v>
      </c>
      <c r="S144" s="5" t="s">
        <v>1653</v>
      </c>
      <c r="T144" s="5" t="s">
        <v>1392</v>
      </c>
      <c r="U144" s="5" t="s">
        <v>1654</v>
      </c>
      <c r="V144" s="5" t="s">
        <v>48</v>
      </c>
      <c r="W144" s="5"/>
      <c r="X144" s="5" t="s">
        <v>49</v>
      </c>
      <c r="Y144" s="5" t="s">
        <v>1655</v>
      </c>
      <c r="Z144" s="15" t="s">
        <v>51</v>
      </c>
      <c r="AA144" s="15"/>
      <c r="AB144" s="15" t="s">
        <v>1656</v>
      </c>
      <c r="AC144" s="15" t="s">
        <v>247</v>
      </c>
    </row>
    <row r="145" spans="1:29">
      <c r="A145" s="5" t="s">
        <v>1657</v>
      </c>
      <c r="B145" s="11" t="s">
        <v>133</v>
      </c>
      <c r="C145" s="5" t="s">
        <v>91</v>
      </c>
      <c r="D145" s="5" t="s">
        <v>32</v>
      </c>
      <c r="E145" s="5" t="s">
        <v>33</v>
      </c>
      <c r="F145" s="5" t="s">
        <v>34</v>
      </c>
      <c r="G145" s="5" t="s">
        <v>162</v>
      </c>
      <c r="H145" s="5" t="s">
        <v>1658</v>
      </c>
      <c r="I145" s="5" t="s">
        <v>1659</v>
      </c>
      <c r="J145" s="5" t="s">
        <v>1660</v>
      </c>
      <c r="K145" s="5" t="s">
        <v>1661</v>
      </c>
      <c r="L145" s="5" t="s">
        <v>1662</v>
      </c>
      <c r="M145" s="5" t="s">
        <v>1663</v>
      </c>
      <c r="N145" s="5" t="s">
        <v>626</v>
      </c>
      <c r="O145" s="5" t="s">
        <v>99</v>
      </c>
      <c r="P145" s="5" t="s">
        <v>1664</v>
      </c>
      <c r="Q145" s="5"/>
      <c r="R145" s="5" t="s">
        <v>45</v>
      </c>
      <c r="S145" s="5" t="s">
        <v>1653</v>
      </c>
      <c r="T145" s="5" t="s">
        <v>1392</v>
      </c>
      <c r="U145" s="5" t="s">
        <v>1654</v>
      </c>
      <c r="V145" s="5" t="s">
        <v>48</v>
      </c>
      <c r="W145" s="5"/>
      <c r="X145" s="5" t="s">
        <v>49</v>
      </c>
      <c r="Y145" s="5" t="s">
        <v>1665</v>
      </c>
      <c r="Z145" s="15" t="s">
        <v>51</v>
      </c>
      <c r="AA145" s="15"/>
      <c r="AB145" s="15" t="s">
        <v>1666</v>
      </c>
      <c r="AC145" s="15" t="s">
        <v>247</v>
      </c>
    </row>
    <row r="146" spans="1:29">
      <c r="A146" s="5" t="s">
        <v>1667</v>
      </c>
      <c r="B146" s="11" t="s">
        <v>133</v>
      </c>
      <c r="C146" s="5" t="s">
        <v>143</v>
      </c>
      <c r="D146" s="5" t="s">
        <v>279</v>
      </c>
      <c r="E146" s="5" t="s">
        <v>554</v>
      </c>
      <c r="F146" s="5" t="s">
        <v>555</v>
      </c>
      <c r="G146" s="5" t="s">
        <v>567</v>
      </c>
      <c r="H146" s="5" t="s">
        <v>1668</v>
      </c>
      <c r="I146" s="5" t="s">
        <v>1669</v>
      </c>
      <c r="J146" s="5" t="s">
        <v>1670</v>
      </c>
      <c r="K146" s="5" t="s">
        <v>1671</v>
      </c>
      <c r="L146" s="5" t="s">
        <v>1672</v>
      </c>
      <c r="M146" s="5" t="s">
        <v>1673</v>
      </c>
      <c r="N146" s="5" t="s">
        <v>563</v>
      </c>
      <c r="O146" s="5" t="s">
        <v>99</v>
      </c>
      <c r="P146" s="5" t="s">
        <v>1674</v>
      </c>
      <c r="Q146" s="5"/>
      <c r="R146" s="5" t="s">
        <v>45</v>
      </c>
      <c r="S146" s="5" t="s">
        <v>1653</v>
      </c>
      <c r="T146" s="5" t="s">
        <v>1392</v>
      </c>
      <c r="U146" s="5" t="s">
        <v>1654</v>
      </c>
      <c r="V146" s="5" t="s">
        <v>564</v>
      </c>
      <c r="W146" s="5"/>
      <c r="X146" s="5" t="s">
        <v>128</v>
      </c>
      <c r="Y146" s="5" t="s">
        <v>1675</v>
      </c>
      <c r="Z146" s="15" t="s">
        <v>51</v>
      </c>
      <c r="AA146" s="15"/>
      <c r="AB146" s="15" t="s">
        <v>1676</v>
      </c>
      <c r="AC146" s="15" t="s">
        <v>247</v>
      </c>
    </row>
    <row r="147" spans="1:29">
      <c r="A147" s="5" t="s">
        <v>1677</v>
      </c>
      <c r="B147" s="10" t="s">
        <v>68</v>
      </c>
      <c r="C147" s="5" t="s">
        <v>31</v>
      </c>
      <c r="D147" s="5" t="s">
        <v>279</v>
      </c>
      <c r="E147" s="5" t="s">
        <v>631</v>
      </c>
      <c r="F147" s="5" t="s">
        <v>684</v>
      </c>
      <c r="G147" s="5" t="s">
        <v>1135</v>
      </c>
      <c r="H147" s="5" t="s">
        <v>1678</v>
      </c>
      <c r="I147" s="5" t="s">
        <v>1679</v>
      </c>
      <c r="J147" s="5" t="s">
        <v>1680</v>
      </c>
      <c r="K147" s="5" t="s">
        <v>1681</v>
      </c>
      <c r="L147" s="5" t="s">
        <v>1682</v>
      </c>
      <c r="M147" s="5" t="s">
        <v>1683</v>
      </c>
      <c r="N147" s="5" t="s">
        <v>691</v>
      </c>
      <c r="O147" s="5" t="s">
        <v>99</v>
      </c>
      <c r="P147" s="5" t="s">
        <v>1684</v>
      </c>
      <c r="Q147" s="5"/>
      <c r="R147" s="5" t="s">
        <v>45</v>
      </c>
      <c r="S147" s="5" t="s">
        <v>1653</v>
      </c>
      <c r="T147" s="5" t="s">
        <v>1392</v>
      </c>
      <c r="U147" s="5" t="s">
        <v>1654</v>
      </c>
      <c r="V147" s="5" t="s">
        <v>692</v>
      </c>
      <c r="W147" s="5"/>
      <c r="X147" s="5" t="s">
        <v>128</v>
      </c>
      <c r="Y147" s="5" t="s">
        <v>1685</v>
      </c>
      <c r="Z147" s="15" t="s">
        <v>51</v>
      </c>
      <c r="AA147" s="15"/>
      <c r="AB147" s="15" t="s">
        <v>1686</v>
      </c>
      <c r="AC147" s="15" t="s">
        <v>247</v>
      </c>
    </row>
    <row r="148" spans="1:29">
      <c r="A148" s="5" t="s">
        <v>1687</v>
      </c>
      <c r="B148" s="10" t="s">
        <v>68</v>
      </c>
      <c r="C148" s="5" t="s">
        <v>531</v>
      </c>
      <c r="D148" s="5" t="s">
        <v>279</v>
      </c>
      <c r="E148" s="5" t="s">
        <v>1457</v>
      </c>
      <c r="F148" s="5" t="s">
        <v>1457</v>
      </c>
      <c r="G148" s="5" t="s">
        <v>1688</v>
      </c>
      <c r="H148" s="5" t="s">
        <v>1689</v>
      </c>
      <c r="I148" s="5" t="s">
        <v>1690</v>
      </c>
      <c r="J148" s="5" t="s">
        <v>1691</v>
      </c>
      <c r="K148" s="5" t="s">
        <v>1692</v>
      </c>
      <c r="L148" s="5" t="s">
        <v>1693</v>
      </c>
      <c r="M148" s="5" t="s">
        <v>1694</v>
      </c>
      <c r="N148" s="5" t="s">
        <v>1695</v>
      </c>
      <c r="O148" s="5" t="s">
        <v>99</v>
      </c>
      <c r="P148" s="5" t="s">
        <v>1696</v>
      </c>
      <c r="Q148" s="5"/>
      <c r="R148" s="5" t="s">
        <v>45</v>
      </c>
      <c r="S148" s="5" t="s">
        <v>1653</v>
      </c>
      <c r="T148" s="5" t="s">
        <v>1392</v>
      </c>
      <c r="U148" s="5" t="s">
        <v>1654</v>
      </c>
      <c r="V148" s="5" t="s">
        <v>1697</v>
      </c>
      <c r="W148" s="5"/>
      <c r="X148" s="5" t="s">
        <v>128</v>
      </c>
      <c r="Y148" s="5" t="s">
        <v>1698</v>
      </c>
      <c r="Z148" s="15" t="s">
        <v>51</v>
      </c>
      <c r="AA148" s="15"/>
      <c r="AB148" s="15" t="s">
        <v>1699</v>
      </c>
      <c r="AC148" s="15" t="s">
        <v>247</v>
      </c>
    </row>
    <row r="149" spans="1:29">
      <c r="A149" s="5" t="s">
        <v>1700</v>
      </c>
      <c r="B149" s="10" t="s">
        <v>68</v>
      </c>
      <c r="C149" s="5" t="s">
        <v>191</v>
      </c>
      <c r="D149" s="5" t="s">
        <v>279</v>
      </c>
      <c r="E149" s="5" t="s">
        <v>708</v>
      </c>
      <c r="F149" s="5" t="s">
        <v>1186</v>
      </c>
      <c r="G149" s="5" t="s">
        <v>1187</v>
      </c>
      <c r="H149" s="5" t="s">
        <v>1701</v>
      </c>
      <c r="I149" s="5" t="s">
        <v>1702</v>
      </c>
      <c r="J149" s="5" t="s">
        <v>1703</v>
      </c>
      <c r="K149" s="5" t="s">
        <v>1704</v>
      </c>
      <c r="L149" s="5" t="s">
        <v>1705</v>
      </c>
      <c r="M149" s="5" t="s">
        <v>1706</v>
      </c>
      <c r="N149" s="5" t="s">
        <v>1707</v>
      </c>
      <c r="O149" s="5" t="s">
        <v>99</v>
      </c>
      <c r="P149" s="5" t="s">
        <v>1708</v>
      </c>
      <c r="Q149" s="5"/>
      <c r="R149" s="5" t="s">
        <v>45</v>
      </c>
      <c r="S149" s="5" t="s">
        <v>1653</v>
      </c>
      <c r="T149" s="5" t="s">
        <v>1392</v>
      </c>
      <c r="U149" s="5" t="s">
        <v>1654</v>
      </c>
      <c r="V149" s="5" t="s">
        <v>1196</v>
      </c>
      <c r="W149" s="5"/>
      <c r="X149" s="5" t="s">
        <v>128</v>
      </c>
      <c r="Y149" s="5" t="s">
        <v>1709</v>
      </c>
      <c r="Z149" s="15" t="s">
        <v>51</v>
      </c>
      <c r="AA149" s="15"/>
      <c r="AB149" s="15" t="s">
        <v>1710</v>
      </c>
      <c r="AC149" s="15" t="s">
        <v>247</v>
      </c>
    </row>
    <row r="150" spans="1:29">
      <c r="A150" s="5" t="s">
        <v>1711</v>
      </c>
      <c r="B150" s="9" t="s">
        <v>30</v>
      </c>
      <c r="C150" s="5" t="s">
        <v>531</v>
      </c>
      <c r="D150" s="5" t="s">
        <v>32</v>
      </c>
      <c r="E150" s="5" t="s">
        <v>33</v>
      </c>
      <c r="F150" s="5" t="s">
        <v>34</v>
      </c>
      <c r="G150" s="5" t="s">
        <v>1571</v>
      </c>
      <c r="H150" s="5" t="s">
        <v>1712</v>
      </c>
      <c r="I150" s="5" t="s">
        <v>1713</v>
      </c>
      <c r="J150" s="5" t="s">
        <v>1714</v>
      </c>
      <c r="K150" s="5" t="s">
        <v>1715</v>
      </c>
      <c r="L150" s="5" t="s">
        <v>1716</v>
      </c>
      <c r="M150" s="5" t="s">
        <v>1717</v>
      </c>
      <c r="N150" s="5" t="s">
        <v>42</v>
      </c>
      <c r="O150" s="5" t="s">
        <v>110</v>
      </c>
      <c r="P150" s="5" t="s">
        <v>1718</v>
      </c>
      <c r="Q150" s="5"/>
      <c r="R150" s="5" t="s">
        <v>45</v>
      </c>
      <c r="S150" s="5" t="s">
        <v>1719</v>
      </c>
      <c r="T150" s="5" t="s">
        <v>1720</v>
      </c>
      <c r="U150" s="5" t="s">
        <v>1721</v>
      </c>
      <c r="V150" s="5" t="s">
        <v>48</v>
      </c>
      <c r="W150" s="5" t="s">
        <v>1722</v>
      </c>
      <c r="X150" s="5" t="s">
        <v>1394</v>
      </c>
      <c r="Y150" s="5"/>
      <c r="Z150" s="15" t="s">
        <v>66</v>
      </c>
      <c r="AA150" s="15"/>
      <c r="AB150" s="15"/>
      <c r="AC150" s="15"/>
    </row>
    <row r="151" spans="1:29">
      <c r="A151" s="5" t="s">
        <v>1723</v>
      </c>
      <c r="B151" s="11" t="s">
        <v>133</v>
      </c>
      <c r="C151" s="5" t="s">
        <v>91</v>
      </c>
      <c r="D151" s="5" t="s">
        <v>32</v>
      </c>
      <c r="E151" s="5" t="s">
        <v>33</v>
      </c>
      <c r="F151" s="5" t="s">
        <v>34</v>
      </c>
      <c r="G151" s="5" t="s">
        <v>1724</v>
      </c>
      <c r="H151" s="5" t="s">
        <v>1725</v>
      </c>
      <c r="I151" s="5" t="s">
        <v>1726</v>
      </c>
      <c r="J151" s="5" t="s">
        <v>1727</v>
      </c>
      <c r="K151" s="5" t="s">
        <v>1728</v>
      </c>
      <c r="L151" s="5" t="s">
        <v>1729</v>
      </c>
      <c r="M151" s="5" t="s">
        <v>1730</v>
      </c>
      <c r="N151" s="5" t="s">
        <v>42</v>
      </c>
      <c r="O151" s="5" t="s">
        <v>110</v>
      </c>
      <c r="P151" s="5" t="s">
        <v>1731</v>
      </c>
      <c r="Q151" s="5"/>
      <c r="R151" s="5" t="s">
        <v>45</v>
      </c>
      <c r="S151" s="5" t="s">
        <v>1719</v>
      </c>
      <c r="T151" s="5" t="s">
        <v>1720</v>
      </c>
      <c r="U151" s="5" t="s">
        <v>1721</v>
      </c>
      <c r="V151" s="5" t="s">
        <v>48</v>
      </c>
      <c r="W151" s="5"/>
      <c r="X151" s="5" t="s">
        <v>1394</v>
      </c>
      <c r="Y151" s="5"/>
      <c r="Z151" s="15" t="s">
        <v>66</v>
      </c>
      <c r="AA151" s="15"/>
      <c r="AB151" s="15"/>
      <c r="AC151" s="15"/>
    </row>
    <row r="152" spans="1:29">
      <c r="A152" s="5" t="s">
        <v>1732</v>
      </c>
      <c r="B152" s="11" t="s">
        <v>133</v>
      </c>
      <c r="C152" s="5" t="s">
        <v>91</v>
      </c>
      <c r="D152" s="5" t="s">
        <v>279</v>
      </c>
      <c r="E152" s="5" t="s">
        <v>280</v>
      </c>
      <c r="F152" s="5" t="s">
        <v>340</v>
      </c>
      <c r="G152" s="5" t="s">
        <v>1733</v>
      </c>
      <c r="H152" s="5" t="s">
        <v>1734</v>
      </c>
      <c r="I152" s="5" t="s">
        <v>1735</v>
      </c>
      <c r="J152" s="5" t="s">
        <v>1736</v>
      </c>
      <c r="K152" s="5" t="s">
        <v>1737</v>
      </c>
      <c r="L152" s="5" t="s">
        <v>1738</v>
      </c>
      <c r="M152" s="5" t="s">
        <v>1739</v>
      </c>
      <c r="N152" s="5" t="s">
        <v>1740</v>
      </c>
      <c r="O152" s="5" t="s">
        <v>110</v>
      </c>
      <c r="P152" s="5" t="s">
        <v>1741</v>
      </c>
      <c r="Q152" s="5"/>
      <c r="R152" s="5" t="s">
        <v>45</v>
      </c>
      <c r="S152" s="5" t="s">
        <v>1719</v>
      </c>
      <c r="T152" s="5" t="s">
        <v>1720</v>
      </c>
      <c r="U152" s="5" t="s">
        <v>1721</v>
      </c>
      <c r="V152" s="5" t="s">
        <v>350</v>
      </c>
      <c r="W152" s="5"/>
      <c r="X152" s="5" t="s">
        <v>1394</v>
      </c>
      <c r="Y152" s="5"/>
      <c r="Z152" s="15" t="s">
        <v>66</v>
      </c>
      <c r="AA152" s="15"/>
      <c r="AB152" s="15"/>
      <c r="AC152" s="15"/>
    </row>
    <row r="153" spans="1:29">
      <c r="A153" s="5" t="s">
        <v>1742</v>
      </c>
      <c r="B153" s="11" t="s">
        <v>133</v>
      </c>
      <c r="C153" s="5" t="s">
        <v>91</v>
      </c>
      <c r="D153" s="5" t="s">
        <v>1743</v>
      </c>
      <c r="E153" s="5" t="s">
        <v>1744</v>
      </c>
      <c r="F153" s="5" t="s">
        <v>1745</v>
      </c>
      <c r="G153" s="5" t="s">
        <v>1746</v>
      </c>
      <c r="H153" s="5" t="s">
        <v>1747</v>
      </c>
      <c r="I153" s="5" t="s">
        <v>1748</v>
      </c>
      <c r="J153" s="5" t="s">
        <v>803</v>
      </c>
      <c r="K153" s="5" t="s">
        <v>1749</v>
      </c>
      <c r="L153" s="5" t="s">
        <v>1750</v>
      </c>
      <c r="M153" s="5" t="s">
        <v>1751</v>
      </c>
      <c r="N153" s="5" t="s">
        <v>1752</v>
      </c>
      <c r="O153" s="5" t="s">
        <v>1753</v>
      </c>
      <c r="P153" s="5" t="s">
        <v>1754</v>
      </c>
      <c r="Q153" s="5"/>
      <c r="R153" s="5" t="s">
        <v>45</v>
      </c>
      <c r="S153" s="5" t="s">
        <v>1719</v>
      </c>
      <c r="T153" s="5" t="s">
        <v>1720</v>
      </c>
      <c r="U153" s="5" t="s">
        <v>1721</v>
      </c>
      <c r="V153" s="5" t="s">
        <v>1755</v>
      </c>
      <c r="W153" s="5"/>
      <c r="X153" s="5" t="s">
        <v>1394</v>
      </c>
      <c r="Y153" s="5"/>
      <c r="Z153" s="15" t="s">
        <v>66</v>
      </c>
      <c r="AA153" s="15"/>
      <c r="AB153" s="15"/>
      <c r="AC153" s="15"/>
    </row>
    <row r="154" spans="1:29">
      <c r="A154" s="5" t="s">
        <v>1756</v>
      </c>
      <c r="B154" s="11" t="s">
        <v>133</v>
      </c>
      <c r="C154" s="5" t="s">
        <v>143</v>
      </c>
      <c r="D154" s="5" t="s">
        <v>279</v>
      </c>
      <c r="E154" s="5" t="s">
        <v>631</v>
      </c>
      <c r="F154" s="5" t="s">
        <v>632</v>
      </c>
      <c r="G154" s="5" t="s">
        <v>1757</v>
      </c>
      <c r="H154" s="5" t="s">
        <v>1758</v>
      </c>
      <c r="I154" s="5" t="s">
        <v>1759</v>
      </c>
      <c r="J154" s="5" t="s">
        <v>1760</v>
      </c>
      <c r="K154" s="5" t="s">
        <v>1761</v>
      </c>
      <c r="L154" s="5" t="s">
        <v>1762</v>
      </c>
      <c r="M154" s="5" t="s">
        <v>1763</v>
      </c>
      <c r="N154" s="5" t="s">
        <v>1764</v>
      </c>
      <c r="O154" s="5" t="s">
        <v>1753</v>
      </c>
      <c r="P154" s="5" t="s">
        <v>1765</v>
      </c>
      <c r="Q154" s="5"/>
      <c r="R154" s="5" t="s">
        <v>45</v>
      </c>
      <c r="S154" s="5" t="s">
        <v>1719</v>
      </c>
      <c r="T154" s="5" t="s">
        <v>1720</v>
      </c>
      <c r="U154" s="5" t="s">
        <v>1721</v>
      </c>
      <c r="V154" s="5" t="s">
        <v>642</v>
      </c>
      <c r="W154" s="5"/>
      <c r="X154" s="5" t="s">
        <v>1394</v>
      </c>
      <c r="Y154" s="5"/>
      <c r="Z154" s="15" t="s">
        <v>66</v>
      </c>
      <c r="AA154" s="15"/>
      <c r="AB154" s="15"/>
      <c r="AC154" s="15"/>
    </row>
    <row r="155" spans="1:29">
      <c r="A155" s="5" t="s">
        <v>1766</v>
      </c>
      <c r="B155" s="11" t="s">
        <v>133</v>
      </c>
      <c r="C155" s="5" t="s">
        <v>531</v>
      </c>
      <c r="D155" s="5" t="s">
        <v>279</v>
      </c>
      <c r="E155" s="5" t="s">
        <v>631</v>
      </c>
      <c r="F155" s="5" t="s">
        <v>1022</v>
      </c>
      <c r="G155" s="5" t="s">
        <v>1036</v>
      </c>
      <c r="H155" s="5" t="s">
        <v>1767</v>
      </c>
      <c r="I155" s="5" t="s">
        <v>1768</v>
      </c>
      <c r="J155" s="5" t="s">
        <v>1769</v>
      </c>
      <c r="K155" s="5" t="s">
        <v>1770</v>
      </c>
      <c r="L155" s="5" t="s">
        <v>1771</v>
      </c>
      <c r="M155" s="5" t="s">
        <v>1772</v>
      </c>
      <c r="N155" s="5" t="s">
        <v>1773</v>
      </c>
      <c r="O155" s="5" t="s">
        <v>110</v>
      </c>
      <c r="P155" s="5" t="s">
        <v>1774</v>
      </c>
      <c r="Q155" s="5"/>
      <c r="R155" s="5" t="s">
        <v>45</v>
      </c>
      <c r="S155" s="5" t="s">
        <v>1719</v>
      </c>
      <c r="T155" s="5" t="s">
        <v>1720</v>
      </c>
      <c r="U155" s="5" t="s">
        <v>1721</v>
      </c>
      <c r="V155" s="5" t="s">
        <v>1032</v>
      </c>
      <c r="W155" s="5"/>
      <c r="X155" s="5" t="s">
        <v>1394</v>
      </c>
      <c r="Y155" s="5"/>
      <c r="Z155" s="15" t="s">
        <v>66</v>
      </c>
      <c r="AA155" s="15"/>
      <c r="AB155" s="15"/>
      <c r="AC155" s="15"/>
    </row>
    <row r="156" spans="1:29">
      <c r="A156" s="5" t="s">
        <v>1775</v>
      </c>
      <c r="B156" s="11" t="s">
        <v>133</v>
      </c>
      <c r="C156" s="5" t="s">
        <v>531</v>
      </c>
      <c r="D156" s="5" t="s">
        <v>279</v>
      </c>
      <c r="E156" s="5" t="s">
        <v>631</v>
      </c>
      <c r="F156" s="5" t="s">
        <v>1088</v>
      </c>
      <c r="G156" s="5" t="s">
        <v>1776</v>
      </c>
      <c r="H156" s="5" t="s">
        <v>1777</v>
      </c>
      <c r="I156" s="5" t="s">
        <v>1778</v>
      </c>
      <c r="J156" s="5" t="s">
        <v>1779</v>
      </c>
      <c r="K156" s="5" t="s">
        <v>1780</v>
      </c>
      <c r="L156" s="5" t="s">
        <v>1781</v>
      </c>
      <c r="M156" s="5" t="s">
        <v>1782</v>
      </c>
      <c r="N156" s="5" t="s">
        <v>1096</v>
      </c>
      <c r="O156" s="5" t="s">
        <v>99</v>
      </c>
      <c r="P156" s="5" t="s">
        <v>1783</v>
      </c>
      <c r="Q156" s="5"/>
      <c r="R156" s="5" t="s">
        <v>45</v>
      </c>
      <c r="S156" s="5" t="s">
        <v>1719</v>
      </c>
      <c r="T156" s="5" t="s">
        <v>1720</v>
      </c>
      <c r="U156" s="5" t="s">
        <v>1721</v>
      </c>
      <c r="V156" s="5" t="s">
        <v>1098</v>
      </c>
      <c r="W156" s="5" t="s">
        <v>1784</v>
      </c>
      <c r="X156" s="5" t="s">
        <v>1394</v>
      </c>
      <c r="Y156" s="5"/>
      <c r="Z156" s="15" t="s">
        <v>66</v>
      </c>
      <c r="AA156" s="15"/>
      <c r="AB156" s="15"/>
      <c r="AC156" s="15"/>
    </row>
    <row r="157" spans="1:29">
      <c r="A157" s="5" t="s">
        <v>1785</v>
      </c>
      <c r="B157" s="11" t="s">
        <v>133</v>
      </c>
      <c r="C157" s="5" t="s">
        <v>143</v>
      </c>
      <c r="D157" s="5" t="s">
        <v>279</v>
      </c>
      <c r="E157" s="5" t="s">
        <v>631</v>
      </c>
      <c r="F157" s="5" t="s">
        <v>684</v>
      </c>
      <c r="G157" s="5" t="s">
        <v>1165</v>
      </c>
      <c r="H157" s="5" t="s">
        <v>1786</v>
      </c>
      <c r="I157" s="5" t="s">
        <v>1787</v>
      </c>
      <c r="J157" s="5" t="s">
        <v>1788</v>
      </c>
      <c r="K157" s="5" t="s">
        <v>1789</v>
      </c>
      <c r="L157" s="5" t="s">
        <v>1790</v>
      </c>
      <c r="M157" s="5" t="s">
        <v>1791</v>
      </c>
      <c r="N157" s="5" t="s">
        <v>691</v>
      </c>
      <c r="O157" s="5" t="s">
        <v>99</v>
      </c>
      <c r="P157" s="5" t="s">
        <v>1792</v>
      </c>
      <c r="Q157" s="5"/>
      <c r="R157" s="5" t="s">
        <v>45</v>
      </c>
      <c r="S157" s="5" t="s">
        <v>1719</v>
      </c>
      <c r="T157" s="5" t="s">
        <v>1720</v>
      </c>
      <c r="U157" s="5" t="s">
        <v>1721</v>
      </c>
      <c r="V157" s="5" t="s">
        <v>692</v>
      </c>
      <c r="W157" s="5"/>
      <c r="X157" s="5" t="s">
        <v>1394</v>
      </c>
      <c r="Y157" s="5"/>
      <c r="Z157" s="15" t="s">
        <v>66</v>
      </c>
      <c r="AA157" s="15"/>
      <c r="AB157" s="15"/>
      <c r="AC157" s="15"/>
    </row>
    <row r="158" spans="1:29">
      <c r="A158" s="5" t="s">
        <v>1793</v>
      </c>
      <c r="B158" s="11" t="s">
        <v>133</v>
      </c>
      <c r="C158" s="5" t="s">
        <v>31</v>
      </c>
      <c r="D158" s="5" t="s">
        <v>279</v>
      </c>
      <c r="E158" s="5" t="s">
        <v>631</v>
      </c>
      <c r="F158" s="5" t="s">
        <v>696</v>
      </c>
      <c r="G158" s="5" t="s">
        <v>1175</v>
      </c>
      <c r="H158" s="5" t="s">
        <v>1794</v>
      </c>
      <c r="I158" s="5" t="s">
        <v>1795</v>
      </c>
      <c r="J158" s="5" t="s">
        <v>1796</v>
      </c>
      <c r="K158" s="5" t="s">
        <v>1797</v>
      </c>
      <c r="L158" s="5" t="s">
        <v>1798</v>
      </c>
      <c r="M158" s="5" t="s">
        <v>1799</v>
      </c>
      <c r="N158" s="5" t="s">
        <v>703</v>
      </c>
      <c r="O158" s="5" t="s">
        <v>99</v>
      </c>
      <c r="P158" s="5" t="s">
        <v>1800</v>
      </c>
      <c r="Q158" s="5"/>
      <c r="R158" s="5" t="s">
        <v>45</v>
      </c>
      <c r="S158" s="5" t="s">
        <v>1719</v>
      </c>
      <c r="T158" s="5" t="s">
        <v>1720</v>
      </c>
      <c r="U158" s="5" t="s">
        <v>1721</v>
      </c>
      <c r="V158" s="5" t="s">
        <v>704</v>
      </c>
      <c r="W158" s="5"/>
      <c r="X158" s="5" t="s">
        <v>1394</v>
      </c>
      <c r="Y158" s="5"/>
      <c r="Z158" s="15" t="s">
        <v>66</v>
      </c>
      <c r="AA158" s="15"/>
      <c r="AB158" s="15"/>
      <c r="AC158" s="15"/>
    </row>
    <row r="159" spans="1:29">
      <c r="A159" s="5" t="s">
        <v>1801</v>
      </c>
      <c r="B159" s="11" t="s">
        <v>133</v>
      </c>
      <c r="C159" s="5" t="s">
        <v>91</v>
      </c>
      <c r="D159" s="5" t="s">
        <v>279</v>
      </c>
      <c r="E159" s="5" t="s">
        <v>1221</v>
      </c>
      <c r="F159" s="5" t="s">
        <v>1351</v>
      </c>
      <c r="G159" s="5" t="s">
        <v>1802</v>
      </c>
      <c r="H159" s="5" t="s">
        <v>1803</v>
      </c>
      <c r="I159" s="5" t="s">
        <v>1804</v>
      </c>
      <c r="J159" s="5" t="s">
        <v>1805</v>
      </c>
      <c r="K159" s="5" t="s">
        <v>1806</v>
      </c>
      <c r="L159" s="5" t="s">
        <v>1807</v>
      </c>
      <c r="M159" s="5" t="s">
        <v>1808</v>
      </c>
      <c r="N159" s="5" t="s">
        <v>1359</v>
      </c>
      <c r="O159" s="5" t="s">
        <v>99</v>
      </c>
      <c r="P159" s="5" t="s">
        <v>1809</v>
      </c>
      <c r="Q159" s="5"/>
      <c r="R159" s="5" t="s">
        <v>45</v>
      </c>
      <c r="S159" s="5" t="s">
        <v>1719</v>
      </c>
      <c r="T159" s="5" t="s">
        <v>1720</v>
      </c>
      <c r="U159" s="5" t="s">
        <v>1721</v>
      </c>
      <c r="V159" s="5" t="s">
        <v>1361</v>
      </c>
      <c r="W159" s="5"/>
      <c r="X159" s="5" t="s">
        <v>1394</v>
      </c>
      <c r="Y159" s="5"/>
      <c r="Z159" s="15" t="s">
        <v>66</v>
      </c>
      <c r="AA159" s="15"/>
      <c r="AB159" s="15"/>
      <c r="AC159" s="15"/>
    </row>
    <row r="160" spans="1:29">
      <c r="A160" s="5" t="s">
        <v>1810</v>
      </c>
      <c r="B160" s="10" t="s">
        <v>68</v>
      </c>
      <c r="C160" s="5" t="s">
        <v>31</v>
      </c>
      <c r="D160" s="5" t="s">
        <v>279</v>
      </c>
      <c r="E160" s="5" t="s">
        <v>1221</v>
      </c>
      <c r="F160" s="5" t="s">
        <v>1351</v>
      </c>
      <c r="G160" s="5" t="s">
        <v>1811</v>
      </c>
      <c r="H160" s="5" t="s">
        <v>1812</v>
      </c>
      <c r="I160" s="5" t="s">
        <v>1813</v>
      </c>
      <c r="J160" s="5" t="s">
        <v>1814</v>
      </c>
      <c r="K160" s="5" t="s">
        <v>1815</v>
      </c>
      <c r="L160" s="5" t="s">
        <v>1816</v>
      </c>
      <c r="M160" s="5" t="s">
        <v>1817</v>
      </c>
      <c r="N160" s="5" t="s">
        <v>1359</v>
      </c>
      <c r="O160" s="5" t="s">
        <v>99</v>
      </c>
      <c r="P160" s="5" t="s">
        <v>1818</v>
      </c>
      <c r="Q160" s="5"/>
      <c r="R160" s="5" t="s">
        <v>45</v>
      </c>
      <c r="S160" s="5" t="s">
        <v>1719</v>
      </c>
      <c r="T160" s="5" t="s">
        <v>1720</v>
      </c>
      <c r="U160" s="5" t="s">
        <v>1721</v>
      </c>
      <c r="V160" s="5" t="s">
        <v>1361</v>
      </c>
      <c r="W160" s="5"/>
      <c r="X160" s="5" t="s">
        <v>1394</v>
      </c>
      <c r="Y160" s="5"/>
      <c r="Z160" s="15" t="s">
        <v>66</v>
      </c>
      <c r="AA160" s="15"/>
      <c r="AB160" s="15"/>
      <c r="AC160" s="15"/>
    </row>
    <row r="161" spans="1:29">
      <c r="A161" s="5" t="s">
        <v>1819</v>
      </c>
      <c r="B161" s="10" t="s">
        <v>68</v>
      </c>
      <c r="C161" s="5" t="s">
        <v>55</v>
      </c>
      <c r="D161" s="5" t="s">
        <v>279</v>
      </c>
      <c r="E161" s="5" t="s">
        <v>763</v>
      </c>
      <c r="F161" s="5" t="s">
        <v>1470</v>
      </c>
      <c r="G161" s="5" t="s">
        <v>1820</v>
      </c>
      <c r="H161" s="5" t="s">
        <v>1821</v>
      </c>
      <c r="I161" s="5" t="s">
        <v>1822</v>
      </c>
      <c r="J161" s="5" t="s">
        <v>1823</v>
      </c>
      <c r="K161" s="5" t="s">
        <v>1824</v>
      </c>
      <c r="L161" s="5" t="s">
        <v>1825</v>
      </c>
      <c r="M161" s="5" t="s">
        <v>1826</v>
      </c>
      <c r="N161" s="5" t="s">
        <v>1478</v>
      </c>
      <c r="O161" s="5" t="s">
        <v>99</v>
      </c>
      <c r="P161" s="5" t="s">
        <v>1827</v>
      </c>
      <c r="Q161" s="5"/>
      <c r="R161" s="5" t="s">
        <v>45</v>
      </c>
      <c r="S161" s="5" t="s">
        <v>1719</v>
      </c>
      <c r="T161" s="5" t="s">
        <v>1720</v>
      </c>
      <c r="U161" s="5" t="s">
        <v>1721</v>
      </c>
      <c r="V161" s="5" t="s">
        <v>1480</v>
      </c>
      <c r="W161" s="5"/>
      <c r="X161" s="5" t="s">
        <v>1394</v>
      </c>
      <c r="Y161" s="5"/>
      <c r="Z161" s="15" t="s">
        <v>66</v>
      </c>
      <c r="AA161" s="15"/>
      <c r="AB161" s="15"/>
      <c r="AC161" s="15"/>
    </row>
    <row r="162" spans="1:29">
      <c r="A162" s="5" t="s">
        <v>1828</v>
      </c>
      <c r="B162" s="9" t="s">
        <v>30</v>
      </c>
      <c r="C162" s="5" t="s">
        <v>597</v>
      </c>
      <c r="D162" s="5" t="s">
        <v>279</v>
      </c>
      <c r="E162" s="5" t="s">
        <v>763</v>
      </c>
      <c r="F162" s="5" t="s">
        <v>764</v>
      </c>
      <c r="G162" s="5" t="s">
        <v>1506</v>
      </c>
      <c r="H162" s="5" t="s">
        <v>1829</v>
      </c>
      <c r="I162" s="5" t="s">
        <v>1830</v>
      </c>
      <c r="J162" s="5" t="s">
        <v>1831</v>
      </c>
      <c r="K162" s="5" t="s">
        <v>1832</v>
      </c>
      <c r="L162" s="5" t="s">
        <v>1833</v>
      </c>
      <c r="M162" s="5" t="s">
        <v>1834</v>
      </c>
      <c r="N162" s="5" t="s">
        <v>771</v>
      </c>
      <c r="O162" s="5" t="s">
        <v>99</v>
      </c>
      <c r="P162" s="5" t="s">
        <v>209</v>
      </c>
      <c r="Q162" s="5"/>
      <c r="R162" s="5" t="s">
        <v>45</v>
      </c>
      <c r="S162" s="5" t="s">
        <v>1719</v>
      </c>
      <c r="T162" s="5" t="s">
        <v>1720</v>
      </c>
      <c r="U162" s="5" t="s">
        <v>1721</v>
      </c>
      <c r="V162" s="5" t="s">
        <v>772</v>
      </c>
      <c r="W162" s="5"/>
      <c r="X162" s="5" t="s">
        <v>1394</v>
      </c>
      <c r="Y162" s="5"/>
      <c r="Z162" s="15" t="s">
        <v>66</v>
      </c>
      <c r="AA162" s="15"/>
      <c r="AB162" s="15"/>
      <c r="AC162" s="15"/>
    </row>
    <row r="163" spans="1:29">
      <c r="A163" s="5" t="s">
        <v>1835</v>
      </c>
      <c r="B163" s="11" t="s">
        <v>133</v>
      </c>
      <c r="C163" s="5" t="s">
        <v>531</v>
      </c>
      <c r="D163" s="5" t="s">
        <v>279</v>
      </c>
      <c r="E163" s="5" t="s">
        <v>763</v>
      </c>
      <c r="F163" s="5" t="s">
        <v>764</v>
      </c>
      <c r="G163" s="5" t="s">
        <v>1836</v>
      </c>
      <c r="H163" s="5" t="s">
        <v>1837</v>
      </c>
      <c r="I163" s="5" t="s">
        <v>1838</v>
      </c>
      <c r="J163" s="5" t="s">
        <v>1839</v>
      </c>
      <c r="K163" s="5" t="s">
        <v>1840</v>
      </c>
      <c r="L163" s="5" t="s">
        <v>1841</v>
      </c>
      <c r="M163" s="5" t="s">
        <v>1842</v>
      </c>
      <c r="N163" s="5" t="s">
        <v>771</v>
      </c>
      <c r="O163" s="5" t="s">
        <v>99</v>
      </c>
      <c r="P163" s="5" t="s">
        <v>1843</v>
      </c>
      <c r="Q163" s="5"/>
      <c r="R163" s="5" t="s">
        <v>45</v>
      </c>
      <c r="S163" s="5" t="s">
        <v>1719</v>
      </c>
      <c r="T163" s="5" t="s">
        <v>1720</v>
      </c>
      <c r="U163" s="5" t="s">
        <v>1721</v>
      </c>
      <c r="V163" s="5" t="s">
        <v>772</v>
      </c>
      <c r="W163" s="5"/>
      <c r="X163" s="5" t="s">
        <v>1394</v>
      </c>
      <c r="Y163" s="5"/>
      <c r="Z163" s="15" t="s">
        <v>66</v>
      </c>
      <c r="AA163" s="15"/>
      <c r="AB163" s="15"/>
      <c r="AC163" s="15"/>
    </row>
  </sheetData>
  <autoFilter ref="A1:AC163"/>
  <dataValidations count="1">
    <dataValidation type="list" allowBlank="1" showInputMessage="1" showErrorMessage="1" errorTitle="Dev status" error="Pick one of the listed statuses." sqref="Z2:Z463">
      <formula1>"New,In progress,Fixed,Not a bug,Cannot reproduce,Deferred,Duplicate"</formula1>
    </dataValidation>
  </dataValidations>
  <pageMargins left="0.7" right="0.7" top="0.75" bottom="0.75" header="0.3" footer="0.3"/>
  <pageSetup paperSize="9" fitToHeight="0" orientation="landscape"/>
</worksheet>
</file>

<file path=xl/worksheets/sheet3.xml><?xml version="1.0" encoding="utf-8"?>
<worksheet xmlns="http://schemas.openxmlformats.org/spreadsheetml/2006/main" xmlns:r="http://schemas.openxmlformats.org/officeDocument/2006/relationships">
  <sheetPr>
    <pageSetUpPr fitToPage="1"/>
  </sheetPr>
  <dimension ref="A1:N439"/>
  <sheetViews>
    <sheetView workbookViewId="0">
      <pane ySplit="1" topLeftCell="A2" activePane="bottomLeft" state="frozen"/>
      <selection pane="bottomLeft"/>
    </sheetView>
  </sheetViews>
  <sheetFormatPr defaultRowHeight="15"/>
  <cols>
    <col min="1" max="2" width="16.7109375" customWidth="1"/>
    <col min="3" max="3" width="22.7109375" customWidth="1"/>
    <col min="4" max="4" width="10.7109375" customWidth="1"/>
    <col min="5" max="5" width="11.7109375" customWidth="1"/>
    <col min="6" max="6" width="26.7109375" customWidth="1"/>
    <col min="7" max="7" width="12.7109375" customWidth="1"/>
    <col min="8" max="8" width="18.7109375" customWidth="1"/>
    <col min="9" max="9" width="15.7109375" customWidth="1"/>
    <col min="10" max="10" width="11.7109375" customWidth="1"/>
    <col min="11" max="11" width="55.7109375" customWidth="1"/>
    <col min="12" max="12" width="40.7109375" customWidth="1"/>
    <col min="13" max="13" width="16.7109375" customWidth="1"/>
    <col min="14" max="14" width="6.7109375" customWidth="1"/>
  </cols>
  <sheetData>
    <row r="1" spans="1:14">
      <c r="A1" s="12" t="s">
        <v>3</v>
      </c>
      <c r="B1" s="12" t="s">
        <v>4</v>
      </c>
      <c r="C1" s="12" t="s">
        <v>5</v>
      </c>
      <c r="D1" s="12" t="s">
        <v>21</v>
      </c>
      <c r="E1" s="12" t="s">
        <v>1844</v>
      </c>
      <c r="F1" s="12" t="s">
        <v>6</v>
      </c>
      <c r="G1" s="12" t="s">
        <v>1845</v>
      </c>
      <c r="H1" s="12" t="s">
        <v>1846</v>
      </c>
      <c r="I1" s="12" t="s">
        <v>16</v>
      </c>
      <c r="J1" s="12" t="s">
        <v>1847</v>
      </c>
      <c r="K1" s="12" t="s">
        <v>1848</v>
      </c>
      <c r="L1" s="12" t="s">
        <v>1849</v>
      </c>
      <c r="M1" s="12" t="s">
        <v>1850</v>
      </c>
      <c r="N1" s="12" t="s">
        <v>20</v>
      </c>
    </row>
    <row r="2" spans="1:14">
      <c r="A2" s="5" t="s">
        <v>32</v>
      </c>
      <c r="B2" s="5" t="s">
        <v>33</v>
      </c>
      <c r="C2" s="5" t="s">
        <v>34</v>
      </c>
      <c r="D2" s="5" t="s">
        <v>48</v>
      </c>
      <c r="E2" s="5" t="s">
        <v>1851</v>
      </c>
      <c r="F2" s="5" t="s">
        <v>619</v>
      </c>
      <c r="G2" s="5" t="s">
        <v>1852</v>
      </c>
      <c r="H2" s="5" t="s">
        <v>1853</v>
      </c>
      <c r="I2" s="5"/>
      <c r="J2" s="16" t="s">
        <v>1854</v>
      </c>
      <c r="K2" s="5" t="s">
        <v>1855</v>
      </c>
      <c r="L2" s="5" t="s">
        <v>1856</v>
      </c>
      <c r="M2" s="5" t="s">
        <v>618</v>
      </c>
      <c r="N2" s="5" t="s">
        <v>627</v>
      </c>
    </row>
    <row r="3" spans="1:14">
      <c r="A3" s="5" t="s">
        <v>32</v>
      </c>
      <c r="B3" s="5" t="s">
        <v>33</v>
      </c>
      <c r="C3" s="5" t="s">
        <v>34</v>
      </c>
      <c r="D3" s="5" t="s">
        <v>48</v>
      </c>
      <c r="E3" s="5" t="s">
        <v>1857</v>
      </c>
      <c r="F3" s="5" t="s">
        <v>1724</v>
      </c>
      <c r="G3" s="5" t="s">
        <v>1852</v>
      </c>
      <c r="H3" s="5" t="s">
        <v>1853</v>
      </c>
      <c r="I3" s="5"/>
      <c r="J3" s="17" t="s">
        <v>1858</v>
      </c>
      <c r="K3" s="5" t="s">
        <v>1859</v>
      </c>
      <c r="L3" s="5"/>
      <c r="M3" s="5" t="s">
        <v>1723</v>
      </c>
      <c r="N3" s="5" t="s">
        <v>1721</v>
      </c>
    </row>
    <row r="4" spans="1:14">
      <c r="A4" s="5" t="s">
        <v>32</v>
      </c>
      <c r="B4" s="5" t="s">
        <v>33</v>
      </c>
      <c r="C4" s="5" t="s">
        <v>34</v>
      </c>
      <c r="D4" s="5" t="s">
        <v>48</v>
      </c>
      <c r="E4" s="5" t="s">
        <v>1860</v>
      </c>
      <c r="F4" s="5" t="s">
        <v>1861</v>
      </c>
      <c r="G4" s="5" t="s">
        <v>1862</v>
      </c>
      <c r="H4" s="5" t="s">
        <v>1853</v>
      </c>
      <c r="I4" s="5"/>
      <c r="J4" s="16" t="s">
        <v>1854</v>
      </c>
      <c r="K4" s="5" t="s">
        <v>1863</v>
      </c>
      <c r="L4" s="5"/>
      <c r="M4" s="5"/>
      <c r="N4" s="5" t="s">
        <v>47</v>
      </c>
    </row>
    <row r="5" spans="1:14">
      <c r="A5" s="5" t="s">
        <v>32</v>
      </c>
      <c r="B5" s="5" t="s">
        <v>33</v>
      </c>
      <c r="C5" s="5" t="s">
        <v>34</v>
      </c>
      <c r="D5" s="5" t="s">
        <v>48</v>
      </c>
      <c r="E5" s="5" t="s">
        <v>1864</v>
      </c>
      <c r="F5" s="5" t="s">
        <v>35</v>
      </c>
      <c r="G5" s="5" t="s">
        <v>1862</v>
      </c>
      <c r="H5" s="5" t="s">
        <v>1865</v>
      </c>
      <c r="I5" s="5"/>
      <c r="J5" s="16" t="s">
        <v>1854</v>
      </c>
      <c r="K5" s="5" t="s">
        <v>1866</v>
      </c>
      <c r="L5" s="5" t="s">
        <v>1867</v>
      </c>
      <c r="M5" s="5" t="s">
        <v>29</v>
      </c>
      <c r="N5" s="5" t="s">
        <v>47</v>
      </c>
    </row>
    <row r="6" spans="1:14">
      <c r="A6" s="5" t="s">
        <v>32</v>
      </c>
      <c r="B6" s="5" t="s">
        <v>33</v>
      </c>
      <c r="C6" s="5" t="s">
        <v>34</v>
      </c>
      <c r="D6" s="5" t="s">
        <v>48</v>
      </c>
      <c r="E6" s="5" t="s">
        <v>1868</v>
      </c>
      <c r="F6" s="5" t="s">
        <v>172</v>
      </c>
      <c r="G6" s="5" t="s">
        <v>1869</v>
      </c>
      <c r="H6" s="5" t="s">
        <v>1865</v>
      </c>
      <c r="I6" s="5"/>
      <c r="J6" s="16" t="s">
        <v>1854</v>
      </c>
      <c r="K6" s="5" t="s">
        <v>1870</v>
      </c>
      <c r="L6" s="5" t="s">
        <v>1871</v>
      </c>
      <c r="M6" s="5" t="s">
        <v>171</v>
      </c>
      <c r="N6" s="5" t="s">
        <v>47</v>
      </c>
    </row>
    <row r="7" spans="1:14">
      <c r="A7" s="5" t="s">
        <v>32</v>
      </c>
      <c r="B7" s="5" t="s">
        <v>33</v>
      </c>
      <c r="C7" s="5" t="s">
        <v>34</v>
      </c>
      <c r="D7" s="5" t="s">
        <v>48</v>
      </c>
      <c r="E7" s="5" t="s">
        <v>1872</v>
      </c>
      <c r="F7" s="5" t="s">
        <v>1873</v>
      </c>
      <c r="G7" s="5" t="s">
        <v>1862</v>
      </c>
      <c r="H7" s="5" t="s">
        <v>1874</v>
      </c>
      <c r="I7" s="5"/>
      <c r="J7" s="16" t="s">
        <v>1854</v>
      </c>
      <c r="K7" s="5" t="s">
        <v>1875</v>
      </c>
      <c r="L7" s="5"/>
      <c r="M7" s="5"/>
      <c r="N7" s="5" t="s">
        <v>47</v>
      </c>
    </row>
    <row r="8" spans="1:14">
      <c r="A8" s="5" t="s">
        <v>32</v>
      </c>
      <c r="B8" s="5" t="s">
        <v>33</v>
      </c>
      <c r="C8" s="5" t="s">
        <v>34</v>
      </c>
      <c r="D8" s="5" t="s">
        <v>48</v>
      </c>
      <c r="E8" s="5" t="s">
        <v>1876</v>
      </c>
      <c r="F8" s="5" t="s">
        <v>1877</v>
      </c>
      <c r="G8" s="5" t="s">
        <v>1862</v>
      </c>
      <c r="H8" s="5" t="s">
        <v>1874</v>
      </c>
      <c r="I8" s="5"/>
      <c r="J8" s="16" t="s">
        <v>1854</v>
      </c>
      <c r="K8" s="5" t="s">
        <v>1878</v>
      </c>
      <c r="L8" s="5"/>
      <c r="M8" s="5"/>
      <c r="N8" s="5" t="s">
        <v>47</v>
      </c>
    </row>
    <row r="9" spans="1:14">
      <c r="A9" s="5" t="s">
        <v>32</v>
      </c>
      <c r="B9" s="5" t="s">
        <v>33</v>
      </c>
      <c r="C9" s="5" t="s">
        <v>34</v>
      </c>
      <c r="D9" s="5" t="s">
        <v>48</v>
      </c>
      <c r="E9" s="5" t="s">
        <v>1879</v>
      </c>
      <c r="F9" s="5" t="s">
        <v>1880</v>
      </c>
      <c r="G9" s="5" t="s">
        <v>1862</v>
      </c>
      <c r="H9" s="5" t="s">
        <v>1874</v>
      </c>
      <c r="I9" s="5"/>
      <c r="J9" s="16" t="s">
        <v>1854</v>
      </c>
      <c r="K9" s="5" t="s">
        <v>1881</v>
      </c>
      <c r="L9" s="5"/>
      <c r="M9" s="5"/>
      <c r="N9" s="5" t="s">
        <v>47</v>
      </c>
    </row>
    <row r="10" spans="1:14">
      <c r="A10" s="5" t="s">
        <v>32</v>
      </c>
      <c r="B10" s="5" t="s">
        <v>33</v>
      </c>
      <c r="C10" s="5" t="s">
        <v>34</v>
      </c>
      <c r="D10" s="5" t="s">
        <v>48</v>
      </c>
      <c r="E10" s="5" t="s">
        <v>1882</v>
      </c>
      <c r="F10" s="5" t="s">
        <v>1883</v>
      </c>
      <c r="G10" s="5" t="s">
        <v>1862</v>
      </c>
      <c r="H10" s="5" t="s">
        <v>1874</v>
      </c>
      <c r="I10" s="5"/>
      <c r="J10" s="16" t="s">
        <v>1854</v>
      </c>
      <c r="K10" s="5" t="s">
        <v>1884</v>
      </c>
      <c r="L10" s="5"/>
      <c r="M10" s="5"/>
      <c r="N10" s="5" t="s">
        <v>47</v>
      </c>
    </row>
    <row r="11" spans="1:14">
      <c r="A11" s="5" t="s">
        <v>32</v>
      </c>
      <c r="B11" s="5" t="s">
        <v>33</v>
      </c>
      <c r="C11" s="5" t="s">
        <v>34</v>
      </c>
      <c r="D11" s="5" t="s">
        <v>48</v>
      </c>
      <c r="E11" s="5" t="s">
        <v>1885</v>
      </c>
      <c r="F11" s="5" t="s">
        <v>1886</v>
      </c>
      <c r="G11" s="5" t="s">
        <v>1862</v>
      </c>
      <c r="H11" s="5" t="s">
        <v>1874</v>
      </c>
      <c r="I11" s="5"/>
      <c r="J11" s="16" t="s">
        <v>1854</v>
      </c>
      <c r="K11" s="5" t="s">
        <v>1887</v>
      </c>
      <c r="L11" s="5"/>
      <c r="M11" s="5"/>
      <c r="N11" s="5" t="s">
        <v>47</v>
      </c>
    </row>
    <row r="12" spans="1:14">
      <c r="A12" s="5" t="s">
        <v>32</v>
      </c>
      <c r="B12" s="5" t="s">
        <v>33</v>
      </c>
      <c r="C12" s="5" t="s">
        <v>34</v>
      </c>
      <c r="D12" s="5" t="s">
        <v>48</v>
      </c>
      <c r="E12" s="5" t="s">
        <v>1888</v>
      </c>
      <c r="F12" s="5" t="s">
        <v>1889</v>
      </c>
      <c r="G12" s="5" t="s">
        <v>1862</v>
      </c>
      <c r="H12" s="5" t="s">
        <v>1874</v>
      </c>
      <c r="I12" s="5"/>
      <c r="J12" s="16" t="s">
        <v>1854</v>
      </c>
      <c r="K12" s="5" t="s">
        <v>1890</v>
      </c>
      <c r="L12" s="5"/>
      <c r="M12" s="5"/>
      <c r="N12" s="5" t="s">
        <v>47</v>
      </c>
    </row>
    <row r="13" spans="1:14">
      <c r="A13" s="5" t="s">
        <v>32</v>
      </c>
      <c r="B13" s="5" t="s">
        <v>33</v>
      </c>
      <c r="C13" s="5" t="s">
        <v>34</v>
      </c>
      <c r="D13" s="5" t="s">
        <v>48</v>
      </c>
      <c r="E13" s="5" t="s">
        <v>1891</v>
      </c>
      <c r="F13" s="5" t="s">
        <v>1892</v>
      </c>
      <c r="G13" s="5" t="s">
        <v>1893</v>
      </c>
      <c r="H13" s="5" t="s">
        <v>1874</v>
      </c>
      <c r="I13" s="5"/>
      <c r="J13" s="16" t="s">
        <v>1854</v>
      </c>
      <c r="K13" s="5" t="s">
        <v>1894</v>
      </c>
      <c r="L13" s="5"/>
      <c r="M13" s="5"/>
      <c r="N13" s="5" t="s">
        <v>47</v>
      </c>
    </row>
    <row r="14" spans="1:14">
      <c r="A14" s="5" t="s">
        <v>32</v>
      </c>
      <c r="B14" s="5" t="s">
        <v>33</v>
      </c>
      <c r="C14" s="5" t="s">
        <v>34</v>
      </c>
      <c r="D14" s="5" t="s">
        <v>48</v>
      </c>
      <c r="E14" s="5" t="s">
        <v>1895</v>
      </c>
      <c r="F14" s="5" t="s">
        <v>1896</v>
      </c>
      <c r="G14" s="5" t="s">
        <v>1852</v>
      </c>
      <c r="H14" s="5" t="s">
        <v>1874</v>
      </c>
      <c r="I14" s="5"/>
      <c r="J14" s="16" t="s">
        <v>1854</v>
      </c>
      <c r="K14" s="5" t="s">
        <v>1897</v>
      </c>
      <c r="L14" s="5"/>
      <c r="M14" s="5"/>
      <c r="N14" s="5" t="s">
        <v>47</v>
      </c>
    </row>
    <row r="15" spans="1:14">
      <c r="A15" s="5" t="s">
        <v>32</v>
      </c>
      <c r="B15" s="5" t="s">
        <v>33</v>
      </c>
      <c r="C15" s="5" t="s">
        <v>34</v>
      </c>
      <c r="D15" s="5" t="s">
        <v>48</v>
      </c>
      <c r="E15" s="5" t="s">
        <v>1898</v>
      </c>
      <c r="F15" s="5" t="s">
        <v>134</v>
      </c>
      <c r="G15" s="5" t="s">
        <v>1862</v>
      </c>
      <c r="H15" s="5" t="s">
        <v>1874</v>
      </c>
      <c r="I15" s="5"/>
      <c r="J15" s="16" t="s">
        <v>1854</v>
      </c>
      <c r="K15" s="5" t="s">
        <v>1899</v>
      </c>
      <c r="L15" s="5" t="s">
        <v>1900</v>
      </c>
      <c r="M15" s="5" t="s">
        <v>132</v>
      </c>
      <c r="N15" s="5" t="s">
        <v>47</v>
      </c>
    </row>
    <row r="16" spans="1:14">
      <c r="A16" s="5" t="s">
        <v>32</v>
      </c>
      <c r="B16" s="5" t="s">
        <v>33</v>
      </c>
      <c r="C16" s="5" t="s">
        <v>34</v>
      </c>
      <c r="D16" s="5" t="s">
        <v>48</v>
      </c>
      <c r="E16" s="5" t="s">
        <v>1901</v>
      </c>
      <c r="F16" s="5" t="s">
        <v>1902</v>
      </c>
      <c r="G16" s="5" t="s">
        <v>1852</v>
      </c>
      <c r="H16" s="5" t="s">
        <v>1902</v>
      </c>
      <c r="I16" s="5"/>
      <c r="J16" s="16" t="s">
        <v>1854</v>
      </c>
      <c r="K16" s="5" t="s">
        <v>1903</v>
      </c>
      <c r="L16" s="5"/>
      <c r="M16" s="5"/>
      <c r="N16" s="5" t="s">
        <v>47</v>
      </c>
    </row>
    <row r="17" spans="1:14">
      <c r="A17" s="5" t="s">
        <v>32</v>
      </c>
      <c r="B17" s="5" t="s">
        <v>33</v>
      </c>
      <c r="C17" s="5" t="s">
        <v>34</v>
      </c>
      <c r="D17" s="5" t="s">
        <v>48</v>
      </c>
      <c r="E17" s="5" t="s">
        <v>1904</v>
      </c>
      <c r="F17" s="5" t="s">
        <v>1905</v>
      </c>
      <c r="G17" s="5" t="s">
        <v>1852</v>
      </c>
      <c r="H17" s="5" t="s">
        <v>1902</v>
      </c>
      <c r="I17" s="5"/>
      <c r="J17" s="16" t="s">
        <v>1854</v>
      </c>
      <c r="K17" s="5" t="s">
        <v>1906</v>
      </c>
      <c r="L17" s="5"/>
      <c r="M17" s="5"/>
      <c r="N17" s="5" t="s">
        <v>47</v>
      </c>
    </row>
    <row r="18" spans="1:14">
      <c r="A18" s="5" t="s">
        <v>32</v>
      </c>
      <c r="B18" s="5" t="s">
        <v>33</v>
      </c>
      <c r="C18" s="5" t="s">
        <v>34</v>
      </c>
      <c r="D18" s="5" t="s">
        <v>48</v>
      </c>
      <c r="E18" s="5" t="s">
        <v>1907</v>
      </c>
      <c r="F18" s="5" t="s">
        <v>1908</v>
      </c>
      <c r="G18" s="5" t="s">
        <v>1852</v>
      </c>
      <c r="H18" s="5" t="s">
        <v>1902</v>
      </c>
      <c r="I18" s="5"/>
      <c r="J18" s="18" t="s">
        <v>605</v>
      </c>
      <c r="K18" s="5"/>
      <c r="L18" s="5" t="s">
        <v>1909</v>
      </c>
      <c r="M18" s="5"/>
      <c r="N18" s="5" t="s">
        <v>47</v>
      </c>
    </row>
    <row r="19" spans="1:14">
      <c r="A19" s="5" t="s">
        <v>32</v>
      </c>
      <c r="B19" s="5" t="s">
        <v>33</v>
      </c>
      <c r="C19" s="5" t="s">
        <v>34</v>
      </c>
      <c r="D19" s="5" t="s">
        <v>48</v>
      </c>
      <c r="E19" s="5" t="s">
        <v>1910</v>
      </c>
      <c r="F19" s="5" t="s">
        <v>1911</v>
      </c>
      <c r="G19" s="5" t="s">
        <v>1852</v>
      </c>
      <c r="H19" s="5" t="s">
        <v>1912</v>
      </c>
      <c r="I19" s="5"/>
      <c r="J19" s="16" t="s">
        <v>1854</v>
      </c>
      <c r="K19" s="5" t="s">
        <v>1913</v>
      </c>
      <c r="L19" s="5"/>
      <c r="M19" s="5"/>
      <c r="N19" s="5" t="s">
        <v>47</v>
      </c>
    </row>
    <row r="20" spans="1:14">
      <c r="A20" s="5" t="s">
        <v>32</v>
      </c>
      <c r="B20" s="5" t="s">
        <v>33</v>
      </c>
      <c r="C20" s="5" t="s">
        <v>34</v>
      </c>
      <c r="D20" s="5" t="s">
        <v>48</v>
      </c>
      <c r="E20" s="5" t="s">
        <v>1914</v>
      </c>
      <c r="F20" s="5" t="s">
        <v>1915</v>
      </c>
      <c r="G20" s="5" t="s">
        <v>1916</v>
      </c>
      <c r="H20" s="5" t="s">
        <v>1912</v>
      </c>
      <c r="I20" s="5"/>
      <c r="J20" s="16" t="s">
        <v>1854</v>
      </c>
      <c r="K20" s="5" t="s">
        <v>1917</v>
      </c>
      <c r="L20" s="5"/>
      <c r="M20" s="5"/>
      <c r="N20" s="5" t="s">
        <v>47</v>
      </c>
    </row>
    <row r="21" spans="1:14">
      <c r="A21" s="5" t="s">
        <v>32</v>
      </c>
      <c r="B21" s="5" t="s">
        <v>33</v>
      </c>
      <c r="C21" s="5" t="s">
        <v>34</v>
      </c>
      <c r="D21" s="5" t="s">
        <v>48</v>
      </c>
      <c r="E21" s="5" t="s">
        <v>1918</v>
      </c>
      <c r="F21" s="5" t="s">
        <v>1919</v>
      </c>
      <c r="G21" s="5" t="s">
        <v>1916</v>
      </c>
      <c r="H21" s="5" t="s">
        <v>1912</v>
      </c>
      <c r="I21" s="5"/>
      <c r="J21" s="16" t="s">
        <v>1854</v>
      </c>
      <c r="K21" s="5" t="s">
        <v>1920</v>
      </c>
      <c r="L21" s="5"/>
      <c r="M21" s="5"/>
      <c r="N21" s="5" t="s">
        <v>47</v>
      </c>
    </row>
    <row r="22" spans="1:14">
      <c r="A22" s="5" t="s">
        <v>32</v>
      </c>
      <c r="B22" s="5" t="s">
        <v>33</v>
      </c>
      <c r="C22" s="5" t="s">
        <v>34</v>
      </c>
      <c r="D22" s="5" t="s">
        <v>48</v>
      </c>
      <c r="E22" s="5" t="s">
        <v>1921</v>
      </c>
      <c r="F22" s="5" t="s">
        <v>69</v>
      </c>
      <c r="G22" s="5" t="s">
        <v>1922</v>
      </c>
      <c r="H22" s="5" t="s">
        <v>1912</v>
      </c>
      <c r="I22" s="5"/>
      <c r="J22" s="16" t="s">
        <v>1854</v>
      </c>
      <c r="K22" s="5" t="s">
        <v>1923</v>
      </c>
      <c r="L22" s="5" t="s">
        <v>1924</v>
      </c>
      <c r="M22" s="5" t="s">
        <v>67</v>
      </c>
      <c r="N22" s="5" t="s">
        <v>47</v>
      </c>
    </row>
    <row r="23" spans="1:14">
      <c r="A23" s="5" t="s">
        <v>32</v>
      </c>
      <c r="B23" s="5" t="s">
        <v>33</v>
      </c>
      <c r="C23" s="5" t="s">
        <v>34</v>
      </c>
      <c r="D23" s="5" t="s">
        <v>48</v>
      </c>
      <c r="E23" s="5" t="s">
        <v>1925</v>
      </c>
      <c r="F23" s="5" t="s">
        <v>1926</v>
      </c>
      <c r="G23" s="5" t="s">
        <v>1922</v>
      </c>
      <c r="H23" s="5" t="s">
        <v>1912</v>
      </c>
      <c r="I23" s="5"/>
      <c r="J23" s="16" t="s">
        <v>1854</v>
      </c>
      <c r="K23" s="5" t="s">
        <v>1927</v>
      </c>
      <c r="L23" s="5"/>
      <c r="M23" s="5"/>
      <c r="N23" s="5" t="s">
        <v>47</v>
      </c>
    </row>
    <row r="24" spans="1:14">
      <c r="A24" s="5" t="s">
        <v>32</v>
      </c>
      <c r="B24" s="5" t="s">
        <v>33</v>
      </c>
      <c r="C24" s="5" t="s">
        <v>34</v>
      </c>
      <c r="D24" s="5" t="s">
        <v>48</v>
      </c>
      <c r="E24" s="5" t="s">
        <v>1928</v>
      </c>
      <c r="F24" s="5" t="s">
        <v>103</v>
      </c>
      <c r="G24" s="5" t="s">
        <v>1922</v>
      </c>
      <c r="H24" s="5" t="s">
        <v>1912</v>
      </c>
      <c r="I24" s="5"/>
      <c r="J24" s="16" t="s">
        <v>1854</v>
      </c>
      <c r="K24" s="5" t="s">
        <v>1929</v>
      </c>
      <c r="L24" s="5" t="s">
        <v>1930</v>
      </c>
      <c r="M24" s="5" t="s">
        <v>102</v>
      </c>
      <c r="N24" s="5" t="s">
        <v>47</v>
      </c>
    </row>
    <row r="25" spans="1:14">
      <c r="A25" s="5" t="s">
        <v>32</v>
      </c>
      <c r="B25" s="5" t="s">
        <v>33</v>
      </c>
      <c r="C25" s="5" t="s">
        <v>34</v>
      </c>
      <c r="D25" s="5" t="s">
        <v>48</v>
      </c>
      <c r="E25" s="5" t="s">
        <v>1931</v>
      </c>
      <c r="F25" s="5" t="s">
        <v>1932</v>
      </c>
      <c r="G25" s="5" t="s">
        <v>1869</v>
      </c>
      <c r="H25" s="5" t="s">
        <v>1912</v>
      </c>
      <c r="I25" s="5"/>
      <c r="J25" s="16" t="s">
        <v>1854</v>
      </c>
      <c r="K25" s="5" t="s">
        <v>1933</v>
      </c>
      <c r="L25" s="5"/>
      <c r="M25" s="5"/>
      <c r="N25" s="5" t="s">
        <v>47</v>
      </c>
    </row>
    <row r="26" spans="1:14">
      <c r="A26" s="5" t="s">
        <v>32</v>
      </c>
      <c r="B26" s="5" t="s">
        <v>33</v>
      </c>
      <c r="C26" s="5" t="s">
        <v>34</v>
      </c>
      <c r="D26" s="5" t="s">
        <v>48</v>
      </c>
      <c r="E26" s="5" t="s">
        <v>1934</v>
      </c>
      <c r="F26" s="5" t="s">
        <v>1645</v>
      </c>
      <c r="G26" s="5" t="s">
        <v>1852</v>
      </c>
      <c r="H26" s="5" t="s">
        <v>1935</v>
      </c>
      <c r="I26" s="5"/>
      <c r="J26" s="16" t="s">
        <v>1854</v>
      </c>
      <c r="K26" s="5" t="s">
        <v>1936</v>
      </c>
      <c r="L26" s="5" t="s">
        <v>1937</v>
      </c>
      <c r="M26" s="5" t="s">
        <v>1644</v>
      </c>
      <c r="N26" s="5" t="s">
        <v>1654</v>
      </c>
    </row>
    <row r="27" spans="1:14">
      <c r="A27" s="5" t="s">
        <v>32</v>
      </c>
      <c r="B27" s="5" t="s">
        <v>33</v>
      </c>
      <c r="C27" s="5" t="s">
        <v>34</v>
      </c>
      <c r="D27" s="5" t="s">
        <v>48</v>
      </c>
      <c r="E27" s="5" t="s">
        <v>1938</v>
      </c>
      <c r="F27" s="5" t="s">
        <v>92</v>
      </c>
      <c r="G27" s="5" t="s">
        <v>1852</v>
      </c>
      <c r="H27" s="5" t="s">
        <v>1935</v>
      </c>
      <c r="I27" s="5"/>
      <c r="J27" s="16" t="s">
        <v>1854</v>
      </c>
      <c r="K27" s="5" t="s">
        <v>1939</v>
      </c>
      <c r="L27" s="5" t="s">
        <v>1940</v>
      </c>
      <c r="M27" s="5" t="s">
        <v>90</v>
      </c>
      <c r="N27" s="5" t="s">
        <v>47</v>
      </c>
    </row>
    <row r="28" spans="1:14">
      <c r="A28" s="5" t="s">
        <v>32</v>
      </c>
      <c r="B28" s="5" t="s">
        <v>33</v>
      </c>
      <c r="C28" s="5" t="s">
        <v>34</v>
      </c>
      <c r="D28" s="5" t="s">
        <v>48</v>
      </c>
      <c r="E28" s="5" t="s">
        <v>1941</v>
      </c>
      <c r="F28" s="5" t="s">
        <v>1942</v>
      </c>
      <c r="G28" s="5" t="s">
        <v>1862</v>
      </c>
      <c r="H28" s="5" t="s">
        <v>1935</v>
      </c>
      <c r="I28" s="5"/>
      <c r="J28" s="18" t="s">
        <v>605</v>
      </c>
      <c r="K28" s="5"/>
      <c r="L28" s="5" t="s">
        <v>1943</v>
      </c>
      <c r="M28" s="5"/>
      <c r="N28" s="5" t="s">
        <v>47</v>
      </c>
    </row>
    <row r="29" spans="1:14">
      <c r="A29" s="5" t="s">
        <v>32</v>
      </c>
      <c r="B29" s="5" t="s">
        <v>33</v>
      </c>
      <c r="C29" s="5" t="s">
        <v>34</v>
      </c>
      <c r="D29" s="5" t="s">
        <v>48</v>
      </c>
      <c r="E29" s="5" t="s">
        <v>1944</v>
      </c>
      <c r="F29" s="5" t="s">
        <v>1945</v>
      </c>
      <c r="G29" s="5" t="s">
        <v>1862</v>
      </c>
      <c r="H29" s="5" t="s">
        <v>1935</v>
      </c>
      <c r="I29" s="5"/>
      <c r="J29" s="16" t="s">
        <v>1854</v>
      </c>
      <c r="K29" s="5" t="s">
        <v>1946</v>
      </c>
      <c r="L29" s="5"/>
      <c r="M29" s="5"/>
      <c r="N29" s="5" t="s">
        <v>47</v>
      </c>
    </row>
    <row r="30" spans="1:14">
      <c r="A30" s="5" t="s">
        <v>32</v>
      </c>
      <c r="B30" s="5" t="s">
        <v>33</v>
      </c>
      <c r="C30" s="5" t="s">
        <v>34</v>
      </c>
      <c r="D30" s="5" t="s">
        <v>48</v>
      </c>
      <c r="E30" s="5" t="s">
        <v>1947</v>
      </c>
      <c r="F30" s="5" t="s">
        <v>1948</v>
      </c>
      <c r="G30" s="5" t="s">
        <v>1852</v>
      </c>
      <c r="H30" s="5" t="s">
        <v>1935</v>
      </c>
      <c r="I30" s="5"/>
      <c r="J30" s="16" t="s">
        <v>1854</v>
      </c>
      <c r="K30" s="5" t="s">
        <v>1949</v>
      </c>
      <c r="L30" s="5" t="s">
        <v>1950</v>
      </c>
      <c r="M30" s="5"/>
      <c r="N30" s="5" t="s">
        <v>811</v>
      </c>
    </row>
    <row r="31" spans="1:14">
      <c r="A31" s="5" t="s">
        <v>32</v>
      </c>
      <c r="B31" s="5" t="s">
        <v>33</v>
      </c>
      <c r="C31" s="5" t="s">
        <v>34</v>
      </c>
      <c r="D31" s="5" t="s">
        <v>48</v>
      </c>
      <c r="E31" s="5" t="s">
        <v>1951</v>
      </c>
      <c r="F31" s="5" t="s">
        <v>1952</v>
      </c>
      <c r="G31" s="5" t="s">
        <v>1852</v>
      </c>
      <c r="H31" s="5" t="s">
        <v>1935</v>
      </c>
      <c r="I31" s="5"/>
      <c r="J31" s="16" t="s">
        <v>1854</v>
      </c>
      <c r="K31" s="5" t="s">
        <v>1953</v>
      </c>
      <c r="L31" s="5"/>
      <c r="M31" s="5"/>
      <c r="N31" s="5" t="s">
        <v>47</v>
      </c>
    </row>
    <row r="32" spans="1:14">
      <c r="A32" s="5" t="s">
        <v>32</v>
      </c>
      <c r="B32" s="5" t="s">
        <v>33</v>
      </c>
      <c r="C32" s="5" t="s">
        <v>34</v>
      </c>
      <c r="D32" s="5" t="s">
        <v>48</v>
      </c>
      <c r="E32" s="5" t="s">
        <v>1954</v>
      </c>
      <c r="F32" s="5" t="s">
        <v>259</v>
      </c>
      <c r="G32" s="5" t="s">
        <v>1852</v>
      </c>
      <c r="H32" s="5" t="s">
        <v>1935</v>
      </c>
      <c r="I32" s="5"/>
      <c r="J32" s="16" t="s">
        <v>1854</v>
      </c>
      <c r="K32" s="5" t="s">
        <v>1955</v>
      </c>
      <c r="L32" s="5"/>
      <c r="M32" s="5" t="s">
        <v>257</v>
      </c>
      <c r="N32" s="5" t="s">
        <v>47</v>
      </c>
    </row>
    <row r="33" spans="1:14">
      <c r="A33" s="5" t="s">
        <v>32</v>
      </c>
      <c r="B33" s="5" t="s">
        <v>33</v>
      </c>
      <c r="C33" s="5" t="s">
        <v>34</v>
      </c>
      <c r="D33" s="5" t="s">
        <v>48</v>
      </c>
      <c r="E33" s="5" t="s">
        <v>1956</v>
      </c>
      <c r="F33" s="5" t="s">
        <v>1957</v>
      </c>
      <c r="G33" s="5" t="s">
        <v>1852</v>
      </c>
      <c r="H33" s="5" t="s">
        <v>1935</v>
      </c>
      <c r="I33" s="5"/>
      <c r="J33" s="18" t="s">
        <v>605</v>
      </c>
      <c r="K33" s="5"/>
      <c r="L33" s="5" t="s">
        <v>1958</v>
      </c>
      <c r="M33" s="5"/>
      <c r="N33" s="5" t="s">
        <v>47</v>
      </c>
    </row>
    <row r="34" spans="1:14">
      <c r="A34" s="5" t="s">
        <v>32</v>
      </c>
      <c r="B34" s="5" t="s">
        <v>33</v>
      </c>
      <c r="C34" s="5" t="s">
        <v>34</v>
      </c>
      <c r="D34" s="5" t="s">
        <v>48</v>
      </c>
      <c r="E34" s="5" t="s">
        <v>1959</v>
      </c>
      <c r="F34" s="5" t="s">
        <v>153</v>
      </c>
      <c r="G34" s="5" t="s">
        <v>1922</v>
      </c>
      <c r="H34" s="5" t="s">
        <v>1960</v>
      </c>
      <c r="I34" s="5"/>
      <c r="J34" s="16" t="s">
        <v>1854</v>
      </c>
      <c r="K34" s="5" t="s">
        <v>1961</v>
      </c>
      <c r="L34" s="5" t="s">
        <v>1962</v>
      </c>
      <c r="M34" s="5" t="s">
        <v>152</v>
      </c>
      <c r="N34" s="5" t="s">
        <v>47</v>
      </c>
    </row>
    <row r="35" spans="1:14">
      <c r="A35" s="5" t="s">
        <v>32</v>
      </c>
      <c r="B35" s="5" t="s">
        <v>33</v>
      </c>
      <c r="C35" s="5" t="s">
        <v>34</v>
      </c>
      <c r="D35" s="5" t="s">
        <v>48</v>
      </c>
      <c r="E35" s="5" t="s">
        <v>1963</v>
      </c>
      <c r="F35" s="5" t="s">
        <v>1964</v>
      </c>
      <c r="G35" s="5" t="s">
        <v>1862</v>
      </c>
      <c r="H35" s="5" t="s">
        <v>1965</v>
      </c>
      <c r="I35" s="5"/>
      <c r="J35" s="16" t="s">
        <v>1854</v>
      </c>
      <c r="K35" s="5" t="s">
        <v>1966</v>
      </c>
      <c r="L35" s="5"/>
      <c r="M35" s="5"/>
      <c r="N35" s="5" t="s">
        <v>47</v>
      </c>
    </row>
    <row r="36" spans="1:14">
      <c r="A36" s="5" t="s">
        <v>32</v>
      </c>
      <c r="B36" s="5" t="s">
        <v>33</v>
      </c>
      <c r="C36" s="5" t="s">
        <v>34</v>
      </c>
      <c r="D36" s="5" t="s">
        <v>48</v>
      </c>
      <c r="E36" s="5" t="s">
        <v>1967</v>
      </c>
      <c r="F36" s="5" t="s">
        <v>1968</v>
      </c>
      <c r="G36" s="5" t="s">
        <v>1862</v>
      </c>
      <c r="H36" s="5" t="s">
        <v>1965</v>
      </c>
      <c r="I36" s="5"/>
      <c r="J36" s="18" t="s">
        <v>605</v>
      </c>
      <c r="K36" s="5"/>
      <c r="L36" s="5" t="s">
        <v>1969</v>
      </c>
      <c r="M36" s="5"/>
      <c r="N36" s="5" t="s">
        <v>47</v>
      </c>
    </row>
    <row r="37" spans="1:14">
      <c r="A37" s="5" t="s">
        <v>32</v>
      </c>
      <c r="B37" s="5" t="s">
        <v>33</v>
      </c>
      <c r="C37" s="5" t="s">
        <v>34</v>
      </c>
      <c r="D37" s="5" t="s">
        <v>48</v>
      </c>
      <c r="E37" s="5" t="s">
        <v>1970</v>
      </c>
      <c r="F37" s="5" t="s">
        <v>162</v>
      </c>
      <c r="G37" s="5" t="s">
        <v>1971</v>
      </c>
      <c r="H37" s="5" t="s">
        <v>1965</v>
      </c>
      <c r="I37" s="5"/>
      <c r="J37" s="16" t="s">
        <v>1854</v>
      </c>
      <c r="K37" s="5" t="s">
        <v>1972</v>
      </c>
      <c r="L37" s="5" t="s">
        <v>1973</v>
      </c>
      <c r="M37" s="5" t="s">
        <v>1974</v>
      </c>
      <c r="N37" s="5" t="s">
        <v>1654</v>
      </c>
    </row>
    <row r="38" spans="1:14">
      <c r="A38" s="5" t="s">
        <v>32</v>
      </c>
      <c r="B38" s="5" t="s">
        <v>33</v>
      </c>
      <c r="C38" s="5" t="s">
        <v>34</v>
      </c>
      <c r="D38" s="5" t="s">
        <v>48</v>
      </c>
      <c r="E38" s="5" t="s">
        <v>1975</v>
      </c>
      <c r="F38" s="5" t="s">
        <v>1976</v>
      </c>
      <c r="G38" s="5" t="s">
        <v>1862</v>
      </c>
      <c r="H38" s="5" t="s">
        <v>1965</v>
      </c>
      <c r="I38" s="5"/>
      <c r="J38" s="16" t="s">
        <v>1854</v>
      </c>
      <c r="K38" s="5" t="s">
        <v>1977</v>
      </c>
      <c r="L38" s="5"/>
      <c r="M38" s="5"/>
      <c r="N38" s="5" t="s">
        <v>47</v>
      </c>
    </row>
    <row r="39" spans="1:14">
      <c r="A39" s="5" t="s">
        <v>32</v>
      </c>
      <c r="B39" s="5" t="s">
        <v>33</v>
      </c>
      <c r="C39" s="5" t="s">
        <v>34</v>
      </c>
      <c r="D39" s="5" t="s">
        <v>48</v>
      </c>
      <c r="E39" s="5" t="s">
        <v>1978</v>
      </c>
      <c r="F39" s="5" t="s">
        <v>1979</v>
      </c>
      <c r="G39" s="5" t="s">
        <v>1916</v>
      </c>
      <c r="H39" s="5" t="s">
        <v>1965</v>
      </c>
      <c r="I39" s="5"/>
      <c r="J39" s="16" t="s">
        <v>1854</v>
      </c>
      <c r="K39" s="5" t="s">
        <v>1980</v>
      </c>
      <c r="L39" s="5"/>
      <c r="M39" s="5"/>
      <c r="N39" s="5" t="s">
        <v>47</v>
      </c>
    </row>
    <row r="40" spans="1:14">
      <c r="A40" s="5" t="s">
        <v>32</v>
      </c>
      <c r="B40" s="5" t="s">
        <v>33</v>
      </c>
      <c r="C40" s="5" t="s">
        <v>34</v>
      </c>
      <c r="D40" s="5" t="s">
        <v>48</v>
      </c>
      <c r="E40" s="5" t="s">
        <v>1981</v>
      </c>
      <c r="F40" s="5" t="s">
        <v>1982</v>
      </c>
      <c r="G40" s="5" t="s">
        <v>1916</v>
      </c>
      <c r="H40" s="5" t="s">
        <v>1965</v>
      </c>
      <c r="I40" s="5"/>
      <c r="J40" s="16" t="s">
        <v>1854</v>
      </c>
      <c r="K40" s="5" t="s">
        <v>1983</v>
      </c>
      <c r="L40" s="5"/>
      <c r="M40" s="5"/>
      <c r="N40" s="5" t="s">
        <v>47</v>
      </c>
    </row>
    <row r="41" spans="1:14">
      <c r="A41" s="5" t="s">
        <v>32</v>
      </c>
      <c r="B41" s="5" t="s">
        <v>33</v>
      </c>
      <c r="C41" s="5" t="s">
        <v>34</v>
      </c>
      <c r="D41" s="5" t="s">
        <v>48</v>
      </c>
      <c r="E41" s="5" t="s">
        <v>1984</v>
      </c>
      <c r="F41" s="5" t="s">
        <v>1985</v>
      </c>
      <c r="G41" s="5" t="s">
        <v>1916</v>
      </c>
      <c r="H41" s="5" t="s">
        <v>1965</v>
      </c>
      <c r="I41" s="5"/>
      <c r="J41" s="16" t="s">
        <v>1854</v>
      </c>
      <c r="K41" s="5" t="s">
        <v>1986</v>
      </c>
      <c r="L41" s="5"/>
      <c r="M41" s="5"/>
      <c r="N41" s="5" t="s">
        <v>47</v>
      </c>
    </row>
    <row r="42" spans="1:14">
      <c r="A42" s="5" t="s">
        <v>32</v>
      </c>
      <c r="B42" s="5" t="s">
        <v>33</v>
      </c>
      <c r="C42" s="5" t="s">
        <v>34</v>
      </c>
      <c r="D42" s="5" t="s">
        <v>48</v>
      </c>
      <c r="E42" s="5" t="s">
        <v>1987</v>
      </c>
      <c r="F42" s="5" t="s">
        <v>1988</v>
      </c>
      <c r="G42" s="5" t="s">
        <v>1869</v>
      </c>
      <c r="H42" s="5" t="s">
        <v>1965</v>
      </c>
      <c r="I42" s="5"/>
      <c r="J42" s="16" t="s">
        <v>1854</v>
      </c>
      <c r="K42" s="5" t="s">
        <v>1989</v>
      </c>
      <c r="L42" s="5"/>
      <c r="M42" s="5"/>
      <c r="N42" s="5" t="s">
        <v>47</v>
      </c>
    </row>
    <row r="43" spans="1:14">
      <c r="A43" s="5" t="s">
        <v>32</v>
      </c>
      <c r="B43" s="5" t="s">
        <v>33</v>
      </c>
      <c r="C43" s="5" t="s">
        <v>34</v>
      </c>
      <c r="D43" s="5" t="s">
        <v>48</v>
      </c>
      <c r="E43" s="5" t="s">
        <v>1990</v>
      </c>
      <c r="F43" s="5" t="s">
        <v>56</v>
      </c>
      <c r="G43" s="5" t="s">
        <v>1852</v>
      </c>
      <c r="H43" s="5" t="s">
        <v>1965</v>
      </c>
      <c r="I43" s="5"/>
      <c r="J43" s="16" t="s">
        <v>1854</v>
      </c>
      <c r="K43" s="5" t="s">
        <v>1991</v>
      </c>
      <c r="L43" s="5" t="s">
        <v>1992</v>
      </c>
      <c r="M43" s="5" t="s">
        <v>54</v>
      </c>
      <c r="N43" s="5" t="s">
        <v>47</v>
      </c>
    </row>
    <row r="44" spans="1:14">
      <c r="A44" s="5" t="s">
        <v>32</v>
      </c>
      <c r="B44" s="5" t="s">
        <v>33</v>
      </c>
      <c r="C44" s="5" t="s">
        <v>34</v>
      </c>
      <c r="D44" s="5" t="s">
        <v>48</v>
      </c>
      <c r="E44" s="5" t="s">
        <v>1993</v>
      </c>
      <c r="F44" s="5" t="s">
        <v>182</v>
      </c>
      <c r="G44" s="5" t="s">
        <v>1922</v>
      </c>
      <c r="H44" s="5" t="s">
        <v>1965</v>
      </c>
      <c r="I44" s="5"/>
      <c r="J44" s="16" t="s">
        <v>1854</v>
      </c>
      <c r="K44" s="5" t="s">
        <v>1994</v>
      </c>
      <c r="L44" s="5" t="s">
        <v>1995</v>
      </c>
      <c r="M44" s="5" t="s">
        <v>181</v>
      </c>
      <c r="N44" s="5" t="s">
        <v>47</v>
      </c>
    </row>
    <row r="45" spans="1:14">
      <c r="A45" s="5" t="s">
        <v>32</v>
      </c>
      <c r="B45" s="5" t="s">
        <v>33</v>
      </c>
      <c r="C45" s="5" t="s">
        <v>34</v>
      </c>
      <c r="D45" s="5" t="s">
        <v>48</v>
      </c>
      <c r="E45" s="5" t="s">
        <v>1996</v>
      </c>
      <c r="F45" s="5" t="s">
        <v>192</v>
      </c>
      <c r="G45" s="5" t="s">
        <v>1922</v>
      </c>
      <c r="H45" s="5" t="s">
        <v>1965</v>
      </c>
      <c r="I45" s="5"/>
      <c r="J45" s="16" t="s">
        <v>1854</v>
      </c>
      <c r="K45" s="5" t="s">
        <v>1997</v>
      </c>
      <c r="L45" s="5" t="s">
        <v>1998</v>
      </c>
      <c r="M45" s="5" t="s">
        <v>190</v>
      </c>
      <c r="N45" s="5" t="s">
        <v>47</v>
      </c>
    </row>
    <row r="46" spans="1:14">
      <c r="A46" s="5" t="s">
        <v>32</v>
      </c>
      <c r="B46" s="5" t="s">
        <v>33</v>
      </c>
      <c r="C46" s="5" t="s">
        <v>34</v>
      </c>
      <c r="D46" s="5" t="s">
        <v>48</v>
      </c>
      <c r="E46" s="5" t="s">
        <v>1999</v>
      </c>
      <c r="F46" s="5" t="s">
        <v>213</v>
      </c>
      <c r="G46" s="5" t="s">
        <v>1922</v>
      </c>
      <c r="H46" s="5" t="s">
        <v>2000</v>
      </c>
      <c r="I46" s="5"/>
      <c r="J46" s="16" t="s">
        <v>1854</v>
      </c>
      <c r="K46" s="5" t="s">
        <v>2001</v>
      </c>
      <c r="L46" s="5" t="s">
        <v>2002</v>
      </c>
      <c r="M46" s="5" t="s">
        <v>212</v>
      </c>
      <c r="N46" s="5" t="s">
        <v>47</v>
      </c>
    </row>
    <row r="47" spans="1:14">
      <c r="A47" s="5" t="s">
        <v>32</v>
      </c>
      <c r="B47" s="5" t="s">
        <v>33</v>
      </c>
      <c r="C47" s="5" t="s">
        <v>34</v>
      </c>
      <c r="D47" s="5" t="s">
        <v>48</v>
      </c>
      <c r="E47" s="5" t="s">
        <v>2003</v>
      </c>
      <c r="F47" s="5" t="s">
        <v>80</v>
      </c>
      <c r="G47" s="5" t="s">
        <v>2004</v>
      </c>
      <c r="H47" s="5" t="s">
        <v>2005</v>
      </c>
      <c r="I47" s="5"/>
      <c r="J47" s="16" t="s">
        <v>1854</v>
      </c>
      <c r="K47" s="5" t="s">
        <v>2006</v>
      </c>
      <c r="L47" s="5" t="s">
        <v>2007</v>
      </c>
      <c r="M47" s="5" t="s">
        <v>2008</v>
      </c>
      <c r="N47" s="5" t="s">
        <v>47</v>
      </c>
    </row>
    <row r="48" spans="1:14">
      <c r="A48" s="5" t="s">
        <v>32</v>
      </c>
      <c r="B48" s="5" t="s">
        <v>33</v>
      </c>
      <c r="C48" s="5" t="s">
        <v>34</v>
      </c>
      <c r="D48" s="5" t="s">
        <v>48</v>
      </c>
      <c r="E48" s="5" t="s">
        <v>2009</v>
      </c>
      <c r="F48" s="5" t="s">
        <v>2010</v>
      </c>
      <c r="G48" s="5" t="s">
        <v>1922</v>
      </c>
      <c r="H48" s="5" t="s">
        <v>2000</v>
      </c>
      <c r="I48" s="5"/>
      <c r="J48" s="16" t="s">
        <v>1854</v>
      </c>
      <c r="K48" s="5" t="s">
        <v>2011</v>
      </c>
      <c r="L48" s="5"/>
      <c r="M48" s="5"/>
      <c r="N48" s="5" t="s">
        <v>47</v>
      </c>
    </row>
    <row r="49" spans="1:14">
      <c r="A49" s="5" t="s">
        <v>32</v>
      </c>
      <c r="B49" s="5" t="s">
        <v>33</v>
      </c>
      <c r="C49" s="5" t="s">
        <v>268</v>
      </c>
      <c r="D49" s="5" t="s">
        <v>276</v>
      </c>
      <c r="E49" s="5" t="s">
        <v>2012</v>
      </c>
      <c r="F49" s="5" t="s">
        <v>269</v>
      </c>
      <c r="G49" s="5" t="s">
        <v>1852</v>
      </c>
      <c r="H49" s="5" t="s">
        <v>2013</v>
      </c>
      <c r="I49" s="5"/>
      <c r="J49" s="16" t="s">
        <v>1854</v>
      </c>
      <c r="K49" s="5" t="s">
        <v>2014</v>
      </c>
      <c r="L49" s="5"/>
      <c r="M49" s="5" t="s">
        <v>267</v>
      </c>
      <c r="N49" s="5" t="s">
        <v>47</v>
      </c>
    </row>
    <row r="50" spans="1:14">
      <c r="A50" s="5" t="s">
        <v>32</v>
      </c>
      <c r="B50" s="5" t="s">
        <v>33</v>
      </c>
      <c r="C50" s="5" t="s">
        <v>268</v>
      </c>
      <c r="D50" s="5" t="s">
        <v>276</v>
      </c>
      <c r="E50" s="5" t="s">
        <v>2015</v>
      </c>
      <c r="F50" s="5" t="s">
        <v>2016</v>
      </c>
      <c r="G50" s="5" t="s">
        <v>1862</v>
      </c>
      <c r="H50" s="5" t="s">
        <v>2013</v>
      </c>
      <c r="I50" s="5"/>
      <c r="J50" s="16" t="s">
        <v>1854</v>
      </c>
      <c r="K50" s="5" t="s">
        <v>2017</v>
      </c>
      <c r="L50" s="5"/>
      <c r="M50" s="5"/>
      <c r="N50" s="5" t="s">
        <v>47</v>
      </c>
    </row>
    <row r="51" spans="1:14">
      <c r="A51" s="5" t="s">
        <v>32</v>
      </c>
      <c r="B51" s="5" t="s">
        <v>33</v>
      </c>
      <c r="C51" s="5" t="s">
        <v>268</v>
      </c>
      <c r="D51" s="5" t="s">
        <v>276</v>
      </c>
      <c r="E51" s="5" t="s">
        <v>2018</v>
      </c>
      <c r="F51" s="5" t="s">
        <v>2019</v>
      </c>
      <c r="G51" s="5" t="s">
        <v>1862</v>
      </c>
      <c r="H51" s="5" t="s">
        <v>2013</v>
      </c>
      <c r="I51" s="5"/>
      <c r="J51" s="16" t="s">
        <v>1854</v>
      </c>
      <c r="K51" s="5" t="s">
        <v>2020</v>
      </c>
      <c r="L51" s="5"/>
      <c r="M51" s="5"/>
      <c r="N51" s="5" t="s">
        <v>47</v>
      </c>
    </row>
    <row r="52" spans="1:14">
      <c r="A52" s="5" t="s">
        <v>32</v>
      </c>
      <c r="B52" s="5" t="s">
        <v>33</v>
      </c>
      <c r="C52" s="5" t="s">
        <v>268</v>
      </c>
      <c r="D52" s="5" t="s">
        <v>276</v>
      </c>
      <c r="E52" s="5" t="s">
        <v>2021</v>
      </c>
      <c r="F52" s="5" t="s">
        <v>2022</v>
      </c>
      <c r="G52" s="5" t="s">
        <v>1862</v>
      </c>
      <c r="H52" s="5" t="s">
        <v>2013</v>
      </c>
      <c r="I52" s="5"/>
      <c r="J52" s="16" t="s">
        <v>1854</v>
      </c>
      <c r="K52" s="5" t="s">
        <v>2017</v>
      </c>
      <c r="L52" s="5"/>
      <c r="M52" s="5"/>
      <c r="N52" s="5" t="s">
        <v>47</v>
      </c>
    </row>
    <row r="53" spans="1:14">
      <c r="A53" s="5" t="s">
        <v>32</v>
      </c>
      <c r="B53" s="5" t="s">
        <v>33</v>
      </c>
      <c r="C53" s="5" t="s">
        <v>268</v>
      </c>
      <c r="D53" s="5" t="s">
        <v>276</v>
      </c>
      <c r="E53" s="5" t="s">
        <v>2023</v>
      </c>
      <c r="F53" s="5" t="s">
        <v>2024</v>
      </c>
      <c r="G53" s="5" t="s">
        <v>1862</v>
      </c>
      <c r="H53" s="5" t="s">
        <v>2013</v>
      </c>
      <c r="I53" s="5"/>
      <c r="J53" s="16" t="s">
        <v>1854</v>
      </c>
      <c r="K53" s="5" t="s">
        <v>2017</v>
      </c>
      <c r="L53" s="5"/>
      <c r="M53" s="5"/>
      <c r="N53" s="5" t="s">
        <v>47</v>
      </c>
    </row>
    <row r="54" spans="1:14">
      <c r="A54" s="5" t="s">
        <v>32</v>
      </c>
      <c r="B54" s="5" t="s">
        <v>33</v>
      </c>
      <c r="C54" s="5" t="s">
        <v>268</v>
      </c>
      <c r="D54" s="5" t="s">
        <v>276</v>
      </c>
      <c r="E54" s="5" t="s">
        <v>2025</v>
      </c>
      <c r="F54" s="5" t="s">
        <v>2026</v>
      </c>
      <c r="G54" s="5" t="s">
        <v>1862</v>
      </c>
      <c r="H54" s="5" t="s">
        <v>2013</v>
      </c>
      <c r="I54" s="5"/>
      <c r="J54" s="16" t="s">
        <v>1854</v>
      </c>
      <c r="K54" s="5" t="s">
        <v>2027</v>
      </c>
      <c r="L54" s="5"/>
      <c r="M54" s="5"/>
      <c r="N54" s="5" t="s">
        <v>47</v>
      </c>
    </row>
    <row r="55" spans="1:14">
      <c r="A55" s="5" t="s">
        <v>32</v>
      </c>
      <c r="B55" s="5" t="s">
        <v>33</v>
      </c>
      <c r="C55" s="5" t="s">
        <v>268</v>
      </c>
      <c r="D55" s="5" t="s">
        <v>276</v>
      </c>
      <c r="E55" s="5" t="s">
        <v>2028</v>
      </c>
      <c r="F55" s="5" t="s">
        <v>2029</v>
      </c>
      <c r="G55" s="5" t="s">
        <v>1862</v>
      </c>
      <c r="H55" s="5" t="s">
        <v>2013</v>
      </c>
      <c r="I55" s="5"/>
      <c r="J55" s="16" t="s">
        <v>1854</v>
      </c>
      <c r="K55" s="5" t="s">
        <v>2017</v>
      </c>
      <c r="L55" s="5"/>
      <c r="M55" s="5"/>
      <c r="N55" s="5" t="s">
        <v>47</v>
      </c>
    </row>
    <row r="56" spans="1:14">
      <c r="A56" s="5" t="s">
        <v>32</v>
      </c>
      <c r="B56" s="5" t="s">
        <v>33</v>
      </c>
      <c r="C56" s="5" t="s">
        <v>268</v>
      </c>
      <c r="D56" s="5" t="s">
        <v>276</v>
      </c>
      <c r="E56" s="5" t="s">
        <v>2030</v>
      </c>
      <c r="F56" s="5" t="s">
        <v>2031</v>
      </c>
      <c r="G56" s="5" t="s">
        <v>1869</v>
      </c>
      <c r="H56" s="5" t="s">
        <v>2013</v>
      </c>
      <c r="I56" s="5"/>
      <c r="J56" s="16" t="s">
        <v>1854</v>
      </c>
      <c r="K56" s="5" t="s">
        <v>2032</v>
      </c>
      <c r="L56" s="5"/>
      <c r="M56" s="5"/>
      <c r="N56" s="5" t="s">
        <v>47</v>
      </c>
    </row>
    <row r="57" spans="1:14">
      <c r="A57" s="5" t="s">
        <v>32</v>
      </c>
      <c r="B57" s="5" t="s">
        <v>33</v>
      </c>
      <c r="C57" s="5" t="s">
        <v>268</v>
      </c>
      <c r="D57" s="5" t="s">
        <v>276</v>
      </c>
      <c r="E57" s="5" t="s">
        <v>2033</v>
      </c>
      <c r="F57" s="5" t="s">
        <v>2034</v>
      </c>
      <c r="G57" s="5" t="s">
        <v>1862</v>
      </c>
      <c r="H57" s="5" t="s">
        <v>2013</v>
      </c>
      <c r="I57" s="5"/>
      <c r="J57" s="16" t="s">
        <v>1854</v>
      </c>
      <c r="K57" s="5" t="s">
        <v>2017</v>
      </c>
      <c r="L57" s="5"/>
      <c r="M57" s="5"/>
      <c r="N57" s="5" t="s">
        <v>47</v>
      </c>
    </row>
    <row r="58" spans="1:14">
      <c r="A58" s="5" t="s">
        <v>32</v>
      </c>
      <c r="B58" s="5" t="s">
        <v>33</v>
      </c>
      <c r="C58" s="5" t="s">
        <v>268</v>
      </c>
      <c r="D58" s="5" t="s">
        <v>276</v>
      </c>
      <c r="E58" s="5" t="s">
        <v>2035</v>
      </c>
      <c r="F58" s="5" t="s">
        <v>2036</v>
      </c>
      <c r="G58" s="5" t="s">
        <v>1862</v>
      </c>
      <c r="H58" s="5" t="s">
        <v>2013</v>
      </c>
      <c r="I58" s="5"/>
      <c r="J58" s="18" t="s">
        <v>605</v>
      </c>
      <c r="K58" s="5"/>
      <c r="L58" s="5" t="s">
        <v>1969</v>
      </c>
      <c r="M58" s="5"/>
      <c r="N58" s="5" t="s">
        <v>47</v>
      </c>
    </row>
    <row r="59" spans="1:14">
      <c r="A59" s="5" t="s">
        <v>32</v>
      </c>
      <c r="B59" s="5" t="s">
        <v>33</v>
      </c>
      <c r="C59" s="5" t="s">
        <v>268</v>
      </c>
      <c r="D59" s="5" t="s">
        <v>276</v>
      </c>
      <c r="E59" s="5" t="s">
        <v>2037</v>
      </c>
      <c r="F59" s="5" t="s">
        <v>2038</v>
      </c>
      <c r="G59" s="5" t="s">
        <v>1862</v>
      </c>
      <c r="H59" s="5" t="s">
        <v>2013</v>
      </c>
      <c r="I59" s="5"/>
      <c r="J59" s="18" t="s">
        <v>605</v>
      </c>
      <c r="K59" s="5"/>
      <c r="L59" s="5" t="s">
        <v>1969</v>
      </c>
      <c r="M59" s="5"/>
      <c r="N59" s="5" t="s">
        <v>47</v>
      </c>
    </row>
    <row r="60" spans="1:14">
      <c r="A60" s="5" t="s">
        <v>32</v>
      </c>
      <c r="B60" s="5" t="s">
        <v>33</v>
      </c>
      <c r="C60" s="5" t="s">
        <v>268</v>
      </c>
      <c r="D60" s="5" t="s">
        <v>276</v>
      </c>
      <c r="E60" s="5" t="s">
        <v>2039</v>
      </c>
      <c r="F60" s="5" t="s">
        <v>2040</v>
      </c>
      <c r="G60" s="5" t="s">
        <v>1862</v>
      </c>
      <c r="H60" s="5" t="s">
        <v>2041</v>
      </c>
      <c r="I60" s="5"/>
      <c r="J60" s="16" t="s">
        <v>1854</v>
      </c>
      <c r="K60" s="5" t="s">
        <v>2042</v>
      </c>
      <c r="L60" s="5"/>
      <c r="M60" s="5"/>
      <c r="N60" s="5" t="s">
        <v>47</v>
      </c>
    </row>
    <row r="61" spans="1:14">
      <c r="A61" s="5" t="s">
        <v>32</v>
      </c>
      <c r="B61" s="5" t="s">
        <v>33</v>
      </c>
      <c r="C61" s="5" t="s">
        <v>268</v>
      </c>
      <c r="D61" s="5" t="s">
        <v>276</v>
      </c>
      <c r="E61" s="5" t="s">
        <v>2043</v>
      </c>
      <c r="F61" s="5" t="s">
        <v>2044</v>
      </c>
      <c r="G61" s="5" t="s">
        <v>1922</v>
      </c>
      <c r="H61" s="5" t="s">
        <v>2045</v>
      </c>
      <c r="I61" s="5"/>
      <c r="J61" s="16" t="s">
        <v>1854</v>
      </c>
      <c r="K61" s="5" t="s">
        <v>2046</v>
      </c>
      <c r="L61" s="5"/>
      <c r="M61" s="5"/>
      <c r="N61" s="5" t="s">
        <v>47</v>
      </c>
    </row>
    <row r="62" spans="1:14">
      <c r="A62" s="5" t="s">
        <v>32</v>
      </c>
      <c r="B62" s="5" t="s">
        <v>114</v>
      </c>
      <c r="C62" s="5" t="s">
        <v>115</v>
      </c>
      <c r="D62" s="5" t="s">
        <v>126</v>
      </c>
      <c r="E62" s="5" t="s">
        <v>2047</v>
      </c>
      <c r="F62" s="5" t="s">
        <v>2048</v>
      </c>
      <c r="G62" s="5" t="s">
        <v>2049</v>
      </c>
      <c r="H62" s="5" t="s">
        <v>1853</v>
      </c>
      <c r="I62" s="5"/>
      <c r="J62" s="16" t="s">
        <v>1854</v>
      </c>
      <c r="K62" s="5" t="s">
        <v>2050</v>
      </c>
      <c r="L62" s="5"/>
      <c r="M62" s="5"/>
      <c r="N62" s="5" t="s">
        <v>47</v>
      </c>
    </row>
    <row r="63" spans="1:14">
      <c r="A63" s="5" t="s">
        <v>32</v>
      </c>
      <c r="B63" s="5" t="s">
        <v>114</v>
      </c>
      <c r="C63" s="5" t="s">
        <v>115</v>
      </c>
      <c r="D63" s="5" t="s">
        <v>126</v>
      </c>
      <c r="E63" s="5" t="s">
        <v>2051</v>
      </c>
      <c r="F63" s="5" t="s">
        <v>1634</v>
      </c>
      <c r="G63" s="5" t="s">
        <v>2049</v>
      </c>
      <c r="H63" s="5" t="s">
        <v>1853</v>
      </c>
      <c r="I63" s="5"/>
      <c r="J63" s="16" t="s">
        <v>1854</v>
      </c>
      <c r="K63" s="5" t="s">
        <v>2052</v>
      </c>
      <c r="L63" s="5" t="s">
        <v>2053</v>
      </c>
      <c r="M63" s="5" t="s">
        <v>1633</v>
      </c>
      <c r="N63" s="5" t="s">
        <v>811</v>
      </c>
    </row>
    <row r="64" spans="1:14">
      <c r="A64" s="5" t="s">
        <v>32</v>
      </c>
      <c r="B64" s="5" t="s">
        <v>114</v>
      </c>
      <c r="C64" s="5" t="s">
        <v>115</v>
      </c>
      <c r="D64" s="5" t="s">
        <v>126</v>
      </c>
      <c r="E64" s="5" t="s">
        <v>2054</v>
      </c>
      <c r="F64" s="5" t="s">
        <v>116</v>
      </c>
      <c r="G64" s="5" t="s">
        <v>1869</v>
      </c>
      <c r="H64" s="5" t="s">
        <v>2055</v>
      </c>
      <c r="I64" s="5"/>
      <c r="J64" s="17" t="s">
        <v>1858</v>
      </c>
      <c r="K64" s="5" t="s">
        <v>2056</v>
      </c>
      <c r="L64" s="5"/>
      <c r="M64" s="5" t="s">
        <v>2057</v>
      </c>
      <c r="N64" s="5" t="s">
        <v>811</v>
      </c>
    </row>
    <row r="65" spans="1:14">
      <c r="A65" s="5" t="s">
        <v>32</v>
      </c>
      <c r="B65" s="5" t="s">
        <v>114</v>
      </c>
      <c r="C65" s="5" t="s">
        <v>115</v>
      </c>
      <c r="D65" s="5" t="s">
        <v>126</v>
      </c>
      <c r="E65" s="5" t="s">
        <v>2058</v>
      </c>
      <c r="F65" s="5" t="s">
        <v>2059</v>
      </c>
      <c r="G65" s="5" t="s">
        <v>1922</v>
      </c>
      <c r="H65" s="5" t="s">
        <v>1853</v>
      </c>
      <c r="I65" s="5"/>
      <c r="J65" s="18" t="s">
        <v>605</v>
      </c>
      <c r="K65" s="5"/>
      <c r="L65" s="5" t="s">
        <v>2060</v>
      </c>
      <c r="M65" s="5"/>
      <c r="N65" s="5" t="s">
        <v>811</v>
      </c>
    </row>
    <row r="66" spans="1:14">
      <c r="A66" s="5" t="s">
        <v>32</v>
      </c>
      <c r="B66" s="5" t="s">
        <v>114</v>
      </c>
      <c r="C66" s="5" t="s">
        <v>115</v>
      </c>
      <c r="D66" s="5" t="s">
        <v>126</v>
      </c>
      <c r="E66" s="5" t="s">
        <v>2061</v>
      </c>
      <c r="F66" s="5" t="s">
        <v>2062</v>
      </c>
      <c r="G66" s="5" t="s">
        <v>1922</v>
      </c>
      <c r="H66" s="5" t="s">
        <v>1853</v>
      </c>
      <c r="I66" s="5"/>
      <c r="J66" s="18" t="s">
        <v>605</v>
      </c>
      <c r="K66" s="5"/>
      <c r="L66" s="5" t="s">
        <v>2060</v>
      </c>
      <c r="M66" s="5"/>
      <c r="N66" s="5" t="s">
        <v>811</v>
      </c>
    </row>
    <row r="67" spans="1:14">
      <c r="A67" s="5" t="s">
        <v>32</v>
      </c>
      <c r="B67" s="5" t="s">
        <v>114</v>
      </c>
      <c r="C67" s="5" t="s">
        <v>115</v>
      </c>
      <c r="D67" s="5" t="s">
        <v>126</v>
      </c>
      <c r="E67" s="5" t="s">
        <v>2063</v>
      </c>
      <c r="F67" s="5" t="s">
        <v>2064</v>
      </c>
      <c r="G67" s="5" t="s">
        <v>1922</v>
      </c>
      <c r="H67" s="5" t="s">
        <v>1853</v>
      </c>
      <c r="I67" s="5"/>
      <c r="J67" s="16" t="s">
        <v>1854</v>
      </c>
      <c r="K67" s="5" t="s">
        <v>2065</v>
      </c>
      <c r="L67" s="5" t="s">
        <v>2066</v>
      </c>
      <c r="M67" s="5"/>
      <c r="N67" s="5" t="s">
        <v>811</v>
      </c>
    </row>
    <row r="68" spans="1:14">
      <c r="A68" s="5" t="s">
        <v>32</v>
      </c>
      <c r="B68" s="5" t="s">
        <v>114</v>
      </c>
      <c r="C68" s="5" t="s">
        <v>115</v>
      </c>
      <c r="D68" s="5" t="s">
        <v>126</v>
      </c>
      <c r="E68" s="5" t="s">
        <v>2067</v>
      </c>
      <c r="F68" s="5" t="s">
        <v>2068</v>
      </c>
      <c r="G68" s="5" t="s">
        <v>1922</v>
      </c>
      <c r="H68" s="5" t="s">
        <v>1853</v>
      </c>
      <c r="I68" s="5"/>
      <c r="J68" s="16" t="s">
        <v>1854</v>
      </c>
      <c r="K68" s="5" t="s">
        <v>2069</v>
      </c>
      <c r="L68" s="5" t="s">
        <v>2070</v>
      </c>
      <c r="M68" s="5"/>
      <c r="N68" s="5" t="s">
        <v>811</v>
      </c>
    </row>
    <row r="69" spans="1:14">
      <c r="A69" s="5" t="s">
        <v>32</v>
      </c>
      <c r="B69" s="5" t="s">
        <v>114</v>
      </c>
      <c r="C69" s="5" t="s">
        <v>115</v>
      </c>
      <c r="D69" s="5" t="s">
        <v>126</v>
      </c>
      <c r="E69" s="5" t="s">
        <v>2071</v>
      </c>
      <c r="F69" s="5" t="s">
        <v>2072</v>
      </c>
      <c r="G69" s="5" t="s">
        <v>1922</v>
      </c>
      <c r="H69" s="5" t="s">
        <v>1853</v>
      </c>
      <c r="I69" s="5"/>
      <c r="J69" s="18" t="s">
        <v>605</v>
      </c>
      <c r="K69" s="5"/>
      <c r="L69" s="5" t="s">
        <v>2073</v>
      </c>
      <c r="M69" s="5"/>
      <c r="N69" s="5" t="s">
        <v>811</v>
      </c>
    </row>
    <row r="70" spans="1:14">
      <c r="A70" s="5" t="s">
        <v>32</v>
      </c>
      <c r="B70" s="5" t="s">
        <v>114</v>
      </c>
      <c r="C70" s="5" t="s">
        <v>115</v>
      </c>
      <c r="D70" s="5" t="s">
        <v>126</v>
      </c>
      <c r="E70" s="5" t="s">
        <v>2074</v>
      </c>
      <c r="F70" s="5" t="s">
        <v>2075</v>
      </c>
      <c r="G70" s="5" t="s">
        <v>2004</v>
      </c>
      <c r="H70" s="5" t="s">
        <v>2055</v>
      </c>
      <c r="I70" s="5"/>
      <c r="J70" s="16" t="s">
        <v>1854</v>
      </c>
      <c r="K70" s="5" t="s">
        <v>2076</v>
      </c>
      <c r="L70" s="5"/>
      <c r="M70" s="5"/>
      <c r="N70" s="5" t="s">
        <v>47</v>
      </c>
    </row>
    <row r="71" spans="1:14">
      <c r="A71" s="5" t="s">
        <v>224</v>
      </c>
      <c r="B71" s="5" t="s">
        <v>32</v>
      </c>
      <c r="C71" s="5" t="s">
        <v>225</v>
      </c>
      <c r="D71" s="5" t="s">
        <v>234</v>
      </c>
      <c r="E71" s="5" t="s">
        <v>2077</v>
      </c>
      <c r="F71" s="5" t="s">
        <v>2078</v>
      </c>
      <c r="G71" s="5" t="s">
        <v>1869</v>
      </c>
      <c r="H71" s="5" t="s">
        <v>2079</v>
      </c>
      <c r="I71" s="5"/>
      <c r="J71" s="16" t="s">
        <v>1854</v>
      </c>
      <c r="K71" s="5" t="s">
        <v>2080</v>
      </c>
      <c r="L71" s="5"/>
      <c r="M71" s="5"/>
      <c r="N71" s="5" t="s">
        <v>47</v>
      </c>
    </row>
    <row r="72" spans="1:14">
      <c r="A72" s="5" t="s">
        <v>224</v>
      </c>
      <c r="B72" s="5" t="s">
        <v>32</v>
      </c>
      <c r="C72" s="5" t="s">
        <v>225</v>
      </c>
      <c r="D72" s="5" t="s">
        <v>234</v>
      </c>
      <c r="E72" s="5" t="s">
        <v>2081</v>
      </c>
      <c r="F72" s="5" t="s">
        <v>2082</v>
      </c>
      <c r="G72" s="5" t="s">
        <v>1869</v>
      </c>
      <c r="H72" s="5" t="s">
        <v>2079</v>
      </c>
      <c r="I72" s="5"/>
      <c r="J72" s="16" t="s">
        <v>1854</v>
      </c>
      <c r="K72" s="5" t="s">
        <v>2083</v>
      </c>
      <c r="L72" s="5"/>
      <c r="M72" s="5"/>
      <c r="N72" s="5" t="s">
        <v>47</v>
      </c>
    </row>
    <row r="73" spans="1:14">
      <c r="A73" s="5" t="s">
        <v>224</v>
      </c>
      <c r="B73" s="5" t="s">
        <v>32</v>
      </c>
      <c r="C73" s="5" t="s">
        <v>225</v>
      </c>
      <c r="D73" s="5" t="s">
        <v>234</v>
      </c>
      <c r="E73" s="5" t="s">
        <v>2084</v>
      </c>
      <c r="F73" s="5" t="s">
        <v>2085</v>
      </c>
      <c r="G73" s="5" t="s">
        <v>1869</v>
      </c>
      <c r="H73" s="5" t="s">
        <v>2079</v>
      </c>
      <c r="I73" s="5"/>
      <c r="J73" s="16" t="s">
        <v>1854</v>
      </c>
      <c r="K73" s="5" t="s">
        <v>2086</v>
      </c>
      <c r="L73" s="5"/>
      <c r="M73" s="5"/>
      <c r="N73" s="5" t="s">
        <v>47</v>
      </c>
    </row>
    <row r="74" spans="1:14">
      <c r="A74" s="5" t="s">
        <v>224</v>
      </c>
      <c r="B74" s="5" t="s">
        <v>32</v>
      </c>
      <c r="C74" s="5" t="s">
        <v>225</v>
      </c>
      <c r="D74" s="5" t="s">
        <v>234</v>
      </c>
      <c r="E74" s="5" t="s">
        <v>2087</v>
      </c>
      <c r="F74" s="5" t="s">
        <v>2088</v>
      </c>
      <c r="G74" s="5" t="s">
        <v>1869</v>
      </c>
      <c r="H74" s="5" t="s">
        <v>2089</v>
      </c>
      <c r="I74" s="5"/>
      <c r="J74" s="16" t="s">
        <v>1854</v>
      </c>
      <c r="K74" s="5" t="s">
        <v>2090</v>
      </c>
      <c r="L74" s="5"/>
      <c r="M74" s="5"/>
      <c r="N74" s="5" t="s">
        <v>47</v>
      </c>
    </row>
    <row r="75" spans="1:14">
      <c r="A75" s="5" t="s">
        <v>224</v>
      </c>
      <c r="B75" s="5" t="s">
        <v>32</v>
      </c>
      <c r="C75" s="5" t="s">
        <v>225</v>
      </c>
      <c r="D75" s="5" t="s">
        <v>234</v>
      </c>
      <c r="E75" s="5" t="s">
        <v>2091</v>
      </c>
      <c r="F75" s="5" t="s">
        <v>2092</v>
      </c>
      <c r="G75" s="5" t="s">
        <v>1869</v>
      </c>
      <c r="H75" s="5" t="s">
        <v>2089</v>
      </c>
      <c r="I75" s="5"/>
      <c r="J75" s="16" t="s">
        <v>1854</v>
      </c>
      <c r="K75" s="5" t="s">
        <v>2093</v>
      </c>
      <c r="L75" s="5"/>
      <c r="M75" s="5"/>
      <c r="N75" s="5" t="s">
        <v>47</v>
      </c>
    </row>
    <row r="76" spans="1:14">
      <c r="A76" s="5" t="s">
        <v>224</v>
      </c>
      <c r="B76" s="5" t="s">
        <v>32</v>
      </c>
      <c r="C76" s="5" t="s">
        <v>225</v>
      </c>
      <c r="D76" s="5" t="s">
        <v>234</v>
      </c>
      <c r="E76" s="5" t="s">
        <v>2094</v>
      </c>
      <c r="F76" s="5" t="s">
        <v>226</v>
      </c>
      <c r="G76" s="5" t="s">
        <v>1869</v>
      </c>
      <c r="H76" s="5" t="s">
        <v>2089</v>
      </c>
      <c r="I76" s="5"/>
      <c r="J76" s="16" t="s">
        <v>1854</v>
      </c>
      <c r="K76" s="5" t="s">
        <v>2095</v>
      </c>
      <c r="L76" s="5"/>
      <c r="M76" s="5" t="s">
        <v>222</v>
      </c>
      <c r="N76" s="5" t="s">
        <v>47</v>
      </c>
    </row>
    <row r="77" spans="1:14">
      <c r="A77" s="5" t="s">
        <v>224</v>
      </c>
      <c r="B77" s="5" t="s">
        <v>32</v>
      </c>
      <c r="C77" s="5" t="s">
        <v>225</v>
      </c>
      <c r="D77" s="5" t="s">
        <v>234</v>
      </c>
      <c r="E77" s="5" t="s">
        <v>2096</v>
      </c>
      <c r="F77" s="5" t="s">
        <v>2097</v>
      </c>
      <c r="G77" s="5" t="s">
        <v>1869</v>
      </c>
      <c r="H77" s="5" t="s">
        <v>2098</v>
      </c>
      <c r="I77" s="5"/>
      <c r="J77" s="16" t="s">
        <v>1854</v>
      </c>
      <c r="K77" s="5" t="s">
        <v>2099</v>
      </c>
      <c r="L77" s="5"/>
      <c r="M77" s="5"/>
      <c r="N77" s="5" t="s">
        <v>47</v>
      </c>
    </row>
    <row r="78" spans="1:14">
      <c r="A78" s="5" t="s">
        <v>224</v>
      </c>
      <c r="B78" s="5" t="s">
        <v>32</v>
      </c>
      <c r="C78" s="5" t="s">
        <v>225</v>
      </c>
      <c r="D78" s="5" t="s">
        <v>234</v>
      </c>
      <c r="E78" s="5" t="s">
        <v>2100</v>
      </c>
      <c r="F78" s="5" t="s">
        <v>2101</v>
      </c>
      <c r="G78" s="5" t="s">
        <v>1869</v>
      </c>
      <c r="H78" s="5" t="s">
        <v>2098</v>
      </c>
      <c r="I78" s="5"/>
      <c r="J78" s="17" t="s">
        <v>1858</v>
      </c>
      <c r="K78" s="5" t="s">
        <v>2102</v>
      </c>
      <c r="L78" s="5"/>
      <c r="M78" s="5"/>
      <c r="N78" s="5" t="s">
        <v>47</v>
      </c>
    </row>
    <row r="79" spans="1:14">
      <c r="A79" s="5" t="s">
        <v>224</v>
      </c>
      <c r="B79" s="5" t="s">
        <v>32</v>
      </c>
      <c r="C79" s="5" t="s">
        <v>225</v>
      </c>
      <c r="D79" s="5" t="s">
        <v>234</v>
      </c>
      <c r="E79" s="5" t="s">
        <v>2103</v>
      </c>
      <c r="F79" s="5" t="s">
        <v>2104</v>
      </c>
      <c r="G79" s="5" t="s">
        <v>1869</v>
      </c>
      <c r="H79" s="5" t="s">
        <v>2105</v>
      </c>
      <c r="I79" s="5"/>
      <c r="J79" s="16" t="s">
        <v>1854</v>
      </c>
      <c r="K79" s="5" t="s">
        <v>2106</v>
      </c>
      <c r="L79" s="5"/>
      <c r="M79" s="5"/>
      <c r="N79" s="5" t="s">
        <v>47</v>
      </c>
    </row>
    <row r="80" spans="1:14">
      <c r="A80" s="5" t="s">
        <v>279</v>
      </c>
      <c r="B80" s="5" t="s">
        <v>280</v>
      </c>
      <c r="C80" s="5" t="s">
        <v>281</v>
      </c>
      <c r="D80" s="5" t="s">
        <v>292</v>
      </c>
      <c r="E80" s="5" t="s">
        <v>2107</v>
      </c>
      <c r="F80" s="5" t="s">
        <v>2108</v>
      </c>
      <c r="G80" s="5" t="s">
        <v>1869</v>
      </c>
      <c r="H80" s="5" t="s">
        <v>1853</v>
      </c>
      <c r="I80" s="5"/>
      <c r="J80" s="16" t="s">
        <v>1854</v>
      </c>
      <c r="K80" s="5" t="s">
        <v>2109</v>
      </c>
      <c r="L80" s="5"/>
      <c r="M80" s="5"/>
      <c r="N80" s="5" t="s">
        <v>811</v>
      </c>
    </row>
    <row r="81" spans="1:14">
      <c r="A81" s="5" t="s">
        <v>279</v>
      </c>
      <c r="B81" s="5" t="s">
        <v>280</v>
      </c>
      <c r="C81" s="5" t="s">
        <v>281</v>
      </c>
      <c r="D81" s="5" t="s">
        <v>292</v>
      </c>
      <c r="E81" s="5" t="s">
        <v>2110</v>
      </c>
      <c r="F81" s="5" t="s">
        <v>2111</v>
      </c>
      <c r="G81" s="5" t="s">
        <v>1922</v>
      </c>
      <c r="H81" s="5" t="s">
        <v>1853</v>
      </c>
      <c r="I81" s="5"/>
      <c r="J81" s="16" t="s">
        <v>1854</v>
      </c>
      <c r="K81" s="5" t="s">
        <v>2112</v>
      </c>
      <c r="L81" s="5"/>
      <c r="M81" s="5"/>
      <c r="N81" s="5" t="s">
        <v>811</v>
      </c>
    </row>
    <row r="82" spans="1:14">
      <c r="A82" s="5" t="s">
        <v>279</v>
      </c>
      <c r="B82" s="5" t="s">
        <v>280</v>
      </c>
      <c r="C82" s="5" t="s">
        <v>281</v>
      </c>
      <c r="D82" s="5" t="s">
        <v>292</v>
      </c>
      <c r="E82" s="5" t="s">
        <v>2113</v>
      </c>
      <c r="F82" s="5" t="s">
        <v>282</v>
      </c>
      <c r="G82" s="5" t="s">
        <v>2114</v>
      </c>
      <c r="H82" s="5" t="s">
        <v>2115</v>
      </c>
      <c r="I82" s="5"/>
      <c r="J82" s="16" t="s">
        <v>1854</v>
      </c>
      <c r="K82" s="5" t="s">
        <v>2116</v>
      </c>
      <c r="L82" s="5" t="s">
        <v>2117</v>
      </c>
      <c r="M82" s="5" t="s">
        <v>278</v>
      </c>
      <c r="N82" s="5" t="s">
        <v>811</v>
      </c>
    </row>
    <row r="83" spans="1:14">
      <c r="A83" s="5" t="s">
        <v>279</v>
      </c>
      <c r="B83" s="5" t="s">
        <v>280</v>
      </c>
      <c r="C83" s="5" t="s">
        <v>281</v>
      </c>
      <c r="D83" s="5" t="s">
        <v>292</v>
      </c>
      <c r="E83" s="5" t="s">
        <v>2118</v>
      </c>
      <c r="F83" s="5" t="s">
        <v>2119</v>
      </c>
      <c r="G83" s="5" t="s">
        <v>1922</v>
      </c>
      <c r="H83" s="5" t="s">
        <v>2115</v>
      </c>
      <c r="I83" s="5"/>
      <c r="J83" s="16" t="s">
        <v>1854</v>
      </c>
      <c r="K83" s="5" t="s">
        <v>2120</v>
      </c>
      <c r="L83" s="5"/>
      <c r="M83" s="5"/>
      <c r="N83" s="5" t="s">
        <v>811</v>
      </c>
    </row>
    <row r="84" spans="1:14">
      <c r="A84" s="5" t="s">
        <v>279</v>
      </c>
      <c r="B84" s="5" t="s">
        <v>280</v>
      </c>
      <c r="C84" s="5" t="s">
        <v>281</v>
      </c>
      <c r="D84" s="5" t="s">
        <v>292</v>
      </c>
      <c r="E84" s="5" t="s">
        <v>2121</v>
      </c>
      <c r="F84" s="5" t="s">
        <v>297</v>
      </c>
      <c r="G84" s="5" t="s">
        <v>1922</v>
      </c>
      <c r="H84" s="5" t="s">
        <v>2115</v>
      </c>
      <c r="I84" s="5"/>
      <c r="J84" s="16" t="s">
        <v>1854</v>
      </c>
      <c r="K84" s="5" t="s">
        <v>2122</v>
      </c>
      <c r="L84" s="5" t="s">
        <v>2123</v>
      </c>
      <c r="M84" s="5" t="s">
        <v>2124</v>
      </c>
      <c r="N84" s="5" t="s">
        <v>811</v>
      </c>
    </row>
    <row r="85" spans="1:14">
      <c r="A85" s="5" t="s">
        <v>279</v>
      </c>
      <c r="B85" s="5" t="s">
        <v>280</v>
      </c>
      <c r="C85" s="5" t="s">
        <v>281</v>
      </c>
      <c r="D85" s="5" t="s">
        <v>292</v>
      </c>
      <c r="E85" s="5" t="s">
        <v>2125</v>
      </c>
      <c r="F85" s="5" t="s">
        <v>2126</v>
      </c>
      <c r="G85" s="5" t="s">
        <v>1922</v>
      </c>
      <c r="H85" s="5" t="s">
        <v>2115</v>
      </c>
      <c r="I85" s="5"/>
      <c r="J85" s="16" t="s">
        <v>1854</v>
      </c>
      <c r="K85" s="5" t="s">
        <v>2127</v>
      </c>
      <c r="L85" s="5"/>
      <c r="M85" s="5"/>
      <c r="N85" s="5" t="s">
        <v>811</v>
      </c>
    </row>
    <row r="86" spans="1:14">
      <c r="A86" s="5" t="s">
        <v>279</v>
      </c>
      <c r="B86" s="5" t="s">
        <v>280</v>
      </c>
      <c r="C86" s="5" t="s">
        <v>281</v>
      </c>
      <c r="D86" s="5" t="s">
        <v>292</v>
      </c>
      <c r="E86" s="5" t="s">
        <v>2128</v>
      </c>
      <c r="F86" s="5" t="s">
        <v>453</v>
      </c>
      <c r="G86" s="5" t="s">
        <v>2129</v>
      </c>
      <c r="H86" s="5" t="s">
        <v>2115</v>
      </c>
      <c r="I86" s="5"/>
      <c r="J86" s="17" t="s">
        <v>1858</v>
      </c>
      <c r="K86" s="5" t="s">
        <v>2130</v>
      </c>
      <c r="L86" s="5" t="s">
        <v>2131</v>
      </c>
      <c r="M86" s="5" t="s">
        <v>2132</v>
      </c>
      <c r="N86" s="5" t="s">
        <v>811</v>
      </c>
    </row>
    <row r="87" spans="1:14">
      <c r="A87" s="5" t="s">
        <v>279</v>
      </c>
      <c r="B87" s="5" t="s">
        <v>280</v>
      </c>
      <c r="C87" s="5" t="s">
        <v>281</v>
      </c>
      <c r="D87" s="5" t="s">
        <v>292</v>
      </c>
      <c r="E87" s="5" t="s">
        <v>2133</v>
      </c>
      <c r="F87" s="5" t="s">
        <v>2134</v>
      </c>
      <c r="G87" s="5" t="s">
        <v>1922</v>
      </c>
      <c r="H87" s="5" t="s">
        <v>2115</v>
      </c>
      <c r="I87" s="5"/>
      <c r="J87" s="16" t="s">
        <v>1854</v>
      </c>
      <c r="K87" s="5" t="s">
        <v>2135</v>
      </c>
      <c r="L87" s="5"/>
      <c r="M87" s="5"/>
      <c r="N87" s="5" t="s">
        <v>811</v>
      </c>
    </row>
    <row r="88" spans="1:14">
      <c r="A88" s="5" t="s">
        <v>279</v>
      </c>
      <c r="B88" s="5" t="s">
        <v>280</v>
      </c>
      <c r="C88" s="5" t="s">
        <v>281</v>
      </c>
      <c r="D88" s="5" t="s">
        <v>292</v>
      </c>
      <c r="E88" s="5" t="s">
        <v>2136</v>
      </c>
      <c r="F88" s="5" t="s">
        <v>2137</v>
      </c>
      <c r="G88" s="5" t="s">
        <v>1852</v>
      </c>
      <c r="H88" s="5" t="s">
        <v>2115</v>
      </c>
      <c r="I88" s="5"/>
      <c r="J88" s="16" t="s">
        <v>1854</v>
      </c>
      <c r="K88" s="5" t="s">
        <v>2138</v>
      </c>
      <c r="L88" s="5"/>
      <c r="M88" s="5"/>
      <c r="N88" s="5" t="s">
        <v>811</v>
      </c>
    </row>
    <row r="89" spans="1:14">
      <c r="A89" s="5" t="s">
        <v>279</v>
      </c>
      <c r="B89" s="5" t="s">
        <v>280</v>
      </c>
      <c r="C89" s="5" t="s">
        <v>281</v>
      </c>
      <c r="D89" s="5" t="s">
        <v>292</v>
      </c>
      <c r="E89" s="5" t="s">
        <v>2139</v>
      </c>
      <c r="F89" s="5" t="s">
        <v>2140</v>
      </c>
      <c r="G89" s="5" t="s">
        <v>2141</v>
      </c>
      <c r="H89" s="5" t="s">
        <v>2115</v>
      </c>
      <c r="I89" s="5"/>
      <c r="J89" s="16" t="s">
        <v>1854</v>
      </c>
      <c r="K89" s="5" t="s">
        <v>2142</v>
      </c>
      <c r="L89" s="5" t="s">
        <v>2143</v>
      </c>
      <c r="M89" s="5"/>
      <c r="N89" s="5" t="s">
        <v>811</v>
      </c>
    </row>
    <row r="90" spans="1:14">
      <c r="A90" s="5" t="s">
        <v>279</v>
      </c>
      <c r="B90" s="5" t="s">
        <v>280</v>
      </c>
      <c r="C90" s="5" t="s">
        <v>281</v>
      </c>
      <c r="D90" s="5" t="s">
        <v>292</v>
      </c>
      <c r="E90" s="5" t="s">
        <v>2144</v>
      </c>
      <c r="F90" s="5" t="s">
        <v>2145</v>
      </c>
      <c r="G90" s="5" t="s">
        <v>1869</v>
      </c>
      <c r="H90" s="5" t="s">
        <v>2146</v>
      </c>
      <c r="I90" s="5"/>
      <c r="J90" s="16" t="s">
        <v>1854</v>
      </c>
      <c r="K90" s="5" t="s">
        <v>2147</v>
      </c>
      <c r="L90" s="5"/>
      <c r="M90" s="5"/>
      <c r="N90" s="5" t="s">
        <v>811</v>
      </c>
    </row>
    <row r="91" spans="1:14">
      <c r="A91" s="5" t="s">
        <v>279</v>
      </c>
      <c r="B91" s="5" t="s">
        <v>280</v>
      </c>
      <c r="C91" s="5" t="s">
        <v>281</v>
      </c>
      <c r="D91" s="5" t="s">
        <v>292</v>
      </c>
      <c r="E91" s="5" t="s">
        <v>2148</v>
      </c>
      <c r="F91" s="5" t="s">
        <v>330</v>
      </c>
      <c r="G91" s="5" t="s">
        <v>2149</v>
      </c>
      <c r="H91" s="5" t="s">
        <v>2146</v>
      </c>
      <c r="I91" s="5"/>
      <c r="J91" s="16" t="s">
        <v>1854</v>
      </c>
      <c r="K91" s="5" t="s">
        <v>2150</v>
      </c>
      <c r="L91" s="5" t="s">
        <v>2151</v>
      </c>
      <c r="M91" s="5" t="s">
        <v>329</v>
      </c>
      <c r="N91" s="5" t="s">
        <v>811</v>
      </c>
    </row>
    <row r="92" spans="1:14">
      <c r="A92" s="5" t="s">
        <v>279</v>
      </c>
      <c r="B92" s="5" t="s">
        <v>280</v>
      </c>
      <c r="C92" s="5" t="s">
        <v>281</v>
      </c>
      <c r="D92" s="5" t="s">
        <v>292</v>
      </c>
      <c r="E92" s="5" t="s">
        <v>2152</v>
      </c>
      <c r="F92" s="5" t="s">
        <v>2153</v>
      </c>
      <c r="G92" s="5" t="s">
        <v>2149</v>
      </c>
      <c r="H92" s="5" t="s">
        <v>2146</v>
      </c>
      <c r="I92" s="5"/>
      <c r="J92" s="16" t="s">
        <v>1854</v>
      </c>
      <c r="K92" s="5" t="s">
        <v>2154</v>
      </c>
      <c r="L92" s="5"/>
      <c r="M92" s="5"/>
      <c r="N92" s="5" t="s">
        <v>811</v>
      </c>
    </row>
    <row r="93" spans="1:14">
      <c r="A93" s="5" t="s">
        <v>279</v>
      </c>
      <c r="B93" s="5" t="s">
        <v>280</v>
      </c>
      <c r="C93" s="5" t="s">
        <v>281</v>
      </c>
      <c r="D93" s="5" t="s">
        <v>292</v>
      </c>
      <c r="E93" s="5" t="s">
        <v>2155</v>
      </c>
      <c r="F93" s="5" t="s">
        <v>2156</v>
      </c>
      <c r="G93" s="5" t="s">
        <v>2149</v>
      </c>
      <c r="H93" s="5" t="s">
        <v>2146</v>
      </c>
      <c r="I93" s="5"/>
      <c r="J93" s="16" t="s">
        <v>1854</v>
      </c>
      <c r="K93" s="5" t="s">
        <v>2157</v>
      </c>
      <c r="L93" s="5"/>
      <c r="M93" s="5"/>
      <c r="N93" s="5" t="s">
        <v>811</v>
      </c>
    </row>
    <row r="94" spans="1:14">
      <c r="A94" s="5" t="s">
        <v>279</v>
      </c>
      <c r="B94" s="5" t="s">
        <v>280</v>
      </c>
      <c r="C94" s="5" t="s">
        <v>281</v>
      </c>
      <c r="D94" s="5" t="s">
        <v>292</v>
      </c>
      <c r="E94" s="5" t="s">
        <v>2158</v>
      </c>
      <c r="F94" s="5" t="s">
        <v>2159</v>
      </c>
      <c r="G94" s="5" t="s">
        <v>2160</v>
      </c>
      <c r="H94" s="5" t="s">
        <v>2146</v>
      </c>
      <c r="I94" s="5"/>
      <c r="J94" s="16" t="s">
        <v>1854</v>
      </c>
      <c r="K94" s="5" t="s">
        <v>2161</v>
      </c>
      <c r="L94" s="5"/>
      <c r="M94" s="5"/>
      <c r="N94" s="5" t="s">
        <v>811</v>
      </c>
    </row>
    <row r="95" spans="1:14">
      <c r="A95" s="5" t="s">
        <v>279</v>
      </c>
      <c r="B95" s="5" t="s">
        <v>280</v>
      </c>
      <c r="C95" s="5" t="s">
        <v>281</v>
      </c>
      <c r="D95" s="5" t="s">
        <v>292</v>
      </c>
      <c r="E95" s="5" t="s">
        <v>2162</v>
      </c>
      <c r="F95" s="5" t="s">
        <v>2163</v>
      </c>
      <c r="G95" s="5" t="s">
        <v>2164</v>
      </c>
      <c r="H95" s="5" t="s">
        <v>2146</v>
      </c>
      <c r="I95" s="5"/>
      <c r="J95" s="16" t="s">
        <v>1854</v>
      </c>
      <c r="K95" s="5" t="s">
        <v>2165</v>
      </c>
      <c r="L95" s="5" t="s">
        <v>2166</v>
      </c>
      <c r="M95" s="5"/>
      <c r="N95" s="5" t="s">
        <v>811</v>
      </c>
    </row>
    <row r="96" spans="1:14">
      <c r="A96" s="5" t="s">
        <v>279</v>
      </c>
      <c r="B96" s="5" t="s">
        <v>280</v>
      </c>
      <c r="C96" s="5" t="s">
        <v>281</v>
      </c>
      <c r="D96" s="5" t="s">
        <v>292</v>
      </c>
      <c r="E96" s="5" t="s">
        <v>2167</v>
      </c>
      <c r="F96" s="5" t="s">
        <v>308</v>
      </c>
      <c r="G96" s="5" t="s">
        <v>1922</v>
      </c>
      <c r="H96" s="5" t="s">
        <v>2168</v>
      </c>
      <c r="I96" s="5"/>
      <c r="J96" s="17" t="s">
        <v>1858</v>
      </c>
      <c r="K96" s="5" t="s">
        <v>2169</v>
      </c>
      <c r="L96" s="5" t="s">
        <v>2170</v>
      </c>
      <c r="M96" s="5" t="s">
        <v>2171</v>
      </c>
      <c r="N96" s="5" t="s">
        <v>811</v>
      </c>
    </row>
    <row r="97" spans="1:14">
      <c r="A97" s="5" t="s">
        <v>279</v>
      </c>
      <c r="B97" s="5" t="s">
        <v>280</v>
      </c>
      <c r="C97" s="5" t="s">
        <v>281</v>
      </c>
      <c r="D97" s="5" t="s">
        <v>292</v>
      </c>
      <c r="E97" s="5" t="s">
        <v>2172</v>
      </c>
      <c r="F97" s="5" t="s">
        <v>1757</v>
      </c>
      <c r="G97" s="5" t="s">
        <v>1922</v>
      </c>
      <c r="H97" s="5" t="s">
        <v>2168</v>
      </c>
      <c r="I97" s="5"/>
      <c r="J97" s="16" t="s">
        <v>1854</v>
      </c>
      <c r="K97" s="5" t="s">
        <v>2173</v>
      </c>
      <c r="L97" s="5"/>
      <c r="M97" s="5"/>
      <c r="N97" s="5" t="s">
        <v>811</v>
      </c>
    </row>
    <row r="98" spans="1:14">
      <c r="A98" s="5" t="s">
        <v>279</v>
      </c>
      <c r="B98" s="5" t="s">
        <v>280</v>
      </c>
      <c r="C98" s="5" t="s">
        <v>281</v>
      </c>
      <c r="D98" s="5" t="s">
        <v>292</v>
      </c>
      <c r="E98" s="5" t="s">
        <v>2174</v>
      </c>
      <c r="F98" s="5" t="s">
        <v>1614</v>
      </c>
      <c r="G98" s="5" t="s">
        <v>1922</v>
      </c>
      <c r="H98" s="5" t="s">
        <v>2168</v>
      </c>
      <c r="I98" s="5"/>
      <c r="J98" s="16" t="s">
        <v>1854</v>
      </c>
      <c r="K98" s="5" t="s">
        <v>2175</v>
      </c>
      <c r="L98" s="5" t="s">
        <v>2176</v>
      </c>
      <c r="M98" s="5" t="s">
        <v>2177</v>
      </c>
      <c r="N98" s="5" t="s">
        <v>811</v>
      </c>
    </row>
    <row r="99" spans="1:14">
      <c r="A99" s="5" t="s">
        <v>279</v>
      </c>
      <c r="B99" s="5" t="s">
        <v>280</v>
      </c>
      <c r="C99" s="5" t="s">
        <v>281</v>
      </c>
      <c r="D99" s="5" t="s">
        <v>292</v>
      </c>
      <c r="E99" s="5" t="s">
        <v>2178</v>
      </c>
      <c r="F99" s="5" t="s">
        <v>319</v>
      </c>
      <c r="G99" s="5" t="s">
        <v>2179</v>
      </c>
      <c r="H99" s="5" t="s">
        <v>2146</v>
      </c>
      <c r="I99" s="5"/>
      <c r="J99" s="16" t="s">
        <v>1854</v>
      </c>
      <c r="K99" s="5" t="s">
        <v>2180</v>
      </c>
      <c r="L99" s="5" t="s">
        <v>2181</v>
      </c>
      <c r="M99" s="5" t="s">
        <v>318</v>
      </c>
      <c r="N99" s="5" t="s">
        <v>811</v>
      </c>
    </row>
    <row r="100" spans="1:14">
      <c r="A100" s="5" t="s">
        <v>279</v>
      </c>
      <c r="B100" s="5" t="s">
        <v>280</v>
      </c>
      <c r="C100" s="5" t="s">
        <v>340</v>
      </c>
      <c r="D100" s="5" t="s">
        <v>350</v>
      </c>
      <c r="E100" s="5" t="s">
        <v>2182</v>
      </c>
      <c r="F100" s="5" t="s">
        <v>2183</v>
      </c>
      <c r="G100" s="5" t="s">
        <v>2184</v>
      </c>
      <c r="H100" s="5" t="s">
        <v>1853</v>
      </c>
      <c r="I100" s="5"/>
      <c r="J100" s="16" t="s">
        <v>1854</v>
      </c>
      <c r="K100" s="5" t="s">
        <v>2185</v>
      </c>
      <c r="L100" s="5"/>
      <c r="M100" s="5"/>
      <c r="N100" s="5" t="s">
        <v>811</v>
      </c>
    </row>
    <row r="101" spans="1:14">
      <c r="A101" s="5" t="s">
        <v>279</v>
      </c>
      <c r="B101" s="5" t="s">
        <v>280</v>
      </c>
      <c r="C101" s="5" t="s">
        <v>340</v>
      </c>
      <c r="D101" s="5" t="s">
        <v>350</v>
      </c>
      <c r="E101" s="5" t="s">
        <v>2186</v>
      </c>
      <c r="F101" s="5" t="s">
        <v>2187</v>
      </c>
      <c r="G101" s="5" t="s">
        <v>1862</v>
      </c>
      <c r="H101" s="5" t="s">
        <v>2188</v>
      </c>
      <c r="I101" s="5"/>
      <c r="J101" s="16" t="s">
        <v>1854</v>
      </c>
      <c r="K101" s="5" t="s">
        <v>2189</v>
      </c>
      <c r="L101" s="5"/>
      <c r="M101" s="5"/>
      <c r="N101" s="5" t="s">
        <v>811</v>
      </c>
    </row>
    <row r="102" spans="1:14">
      <c r="A102" s="5" t="s">
        <v>279</v>
      </c>
      <c r="B102" s="5" t="s">
        <v>280</v>
      </c>
      <c r="C102" s="5" t="s">
        <v>340</v>
      </c>
      <c r="D102" s="5" t="s">
        <v>350</v>
      </c>
      <c r="E102" s="5" t="s">
        <v>2190</v>
      </c>
      <c r="F102" s="5" t="s">
        <v>2191</v>
      </c>
      <c r="G102" s="5" t="s">
        <v>1862</v>
      </c>
      <c r="H102" s="5" t="s">
        <v>2188</v>
      </c>
      <c r="I102" s="5"/>
      <c r="J102" s="16" t="s">
        <v>1854</v>
      </c>
      <c r="K102" s="5" t="s">
        <v>2192</v>
      </c>
      <c r="L102" s="5" t="s">
        <v>2193</v>
      </c>
      <c r="M102" s="5"/>
      <c r="N102" s="5" t="s">
        <v>811</v>
      </c>
    </row>
    <row r="103" spans="1:14">
      <c r="A103" s="5" t="s">
        <v>279</v>
      </c>
      <c r="B103" s="5" t="s">
        <v>280</v>
      </c>
      <c r="C103" s="5" t="s">
        <v>340</v>
      </c>
      <c r="D103" s="5" t="s">
        <v>350</v>
      </c>
      <c r="E103" s="5" t="s">
        <v>2194</v>
      </c>
      <c r="F103" s="5" t="s">
        <v>2195</v>
      </c>
      <c r="G103" s="5" t="s">
        <v>1862</v>
      </c>
      <c r="H103" s="5" t="s">
        <v>2188</v>
      </c>
      <c r="I103" s="5"/>
      <c r="J103" s="16" t="s">
        <v>1854</v>
      </c>
      <c r="K103" s="5" t="s">
        <v>2196</v>
      </c>
      <c r="L103" s="5"/>
      <c r="M103" s="5"/>
      <c r="N103" s="5" t="s">
        <v>811</v>
      </c>
    </row>
    <row r="104" spans="1:14">
      <c r="A104" s="5" t="s">
        <v>279</v>
      </c>
      <c r="B104" s="5" t="s">
        <v>280</v>
      </c>
      <c r="C104" s="5" t="s">
        <v>340</v>
      </c>
      <c r="D104" s="5" t="s">
        <v>350</v>
      </c>
      <c r="E104" s="5" t="s">
        <v>2197</v>
      </c>
      <c r="F104" s="5" t="s">
        <v>2034</v>
      </c>
      <c r="G104" s="5" t="s">
        <v>1862</v>
      </c>
      <c r="H104" s="5" t="s">
        <v>2188</v>
      </c>
      <c r="I104" s="5"/>
      <c r="J104" s="16" t="s">
        <v>1854</v>
      </c>
      <c r="K104" s="5" t="s">
        <v>2198</v>
      </c>
      <c r="L104" s="5"/>
      <c r="M104" s="5"/>
      <c r="N104" s="5" t="s">
        <v>811</v>
      </c>
    </row>
    <row r="105" spans="1:14">
      <c r="A105" s="5" t="s">
        <v>279</v>
      </c>
      <c r="B105" s="5" t="s">
        <v>280</v>
      </c>
      <c r="C105" s="5" t="s">
        <v>340</v>
      </c>
      <c r="D105" s="5" t="s">
        <v>350</v>
      </c>
      <c r="E105" s="5" t="s">
        <v>2199</v>
      </c>
      <c r="F105" s="5" t="s">
        <v>2200</v>
      </c>
      <c r="G105" s="5" t="s">
        <v>1852</v>
      </c>
      <c r="H105" s="5" t="s">
        <v>2188</v>
      </c>
      <c r="I105" s="5"/>
      <c r="J105" s="16" t="s">
        <v>1854</v>
      </c>
      <c r="K105" s="5" t="s">
        <v>2201</v>
      </c>
      <c r="L105" s="5" t="s">
        <v>2202</v>
      </c>
      <c r="M105" s="5"/>
      <c r="N105" s="5" t="s">
        <v>811</v>
      </c>
    </row>
    <row r="106" spans="1:14">
      <c r="A106" s="5" t="s">
        <v>279</v>
      </c>
      <c r="B106" s="5" t="s">
        <v>280</v>
      </c>
      <c r="C106" s="5" t="s">
        <v>340</v>
      </c>
      <c r="D106" s="5" t="s">
        <v>350</v>
      </c>
      <c r="E106" s="5" t="s">
        <v>2203</v>
      </c>
      <c r="F106" s="5" t="s">
        <v>2204</v>
      </c>
      <c r="G106" s="5" t="s">
        <v>1852</v>
      </c>
      <c r="H106" s="5" t="s">
        <v>2188</v>
      </c>
      <c r="I106" s="5"/>
      <c r="J106" s="16" t="s">
        <v>1854</v>
      </c>
      <c r="K106" s="5" t="s">
        <v>2205</v>
      </c>
      <c r="L106" s="5"/>
      <c r="M106" s="5"/>
      <c r="N106" s="5" t="s">
        <v>811</v>
      </c>
    </row>
    <row r="107" spans="1:14">
      <c r="A107" s="5" t="s">
        <v>279</v>
      </c>
      <c r="B107" s="5" t="s">
        <v>280</v>
      </c>
      <c r="C107" s="5" t="s">
        <v>340</v>
      </c>
      <c r="D107" s="5" t="s">
        <v>350</v>
      </c>
      <c r="E107" s="5" t="s">
        <v>2206</v>
      </c>
      <c r="F107" s="5" t="s">
        <v>2207</v>
      </c>
      <c r="G107" s="5" t="s">
        <v>1852</v>
      </c>
      <c r="H107" s="5" t="s">
        <v>2188</v>
      </c>
      <c r="I107" s="5"/>
      <c r="J107" s="16" t="s">
        <v>1854</v>
      </c>
      <c r="K107" s="5" t="s">
        <v>2208</v>
      </c>
      <c r="L107" s="5"/>
      <c r="M107" s="5"/>
      <c r="N107" s="5" t="s">
        <v>811</v>
      </c>
    </row>
    <row r="108" spans="1:14">
      <c r="A108" s="5" t="s">
        <v>279</v>
      </c>
      <c r="B108" s="5" t="s">
        <v>280</v>
      </c>
      <c r="C108" s="5" t="s">
        <v>340</v>
      </c>
      <c r="D108" s="5" t="s">
        <v>350</v>
      </c>
      <c r="E108" s="5" t="s">
        <v>2209</v>
      </c>
      <c r="F108" s="5" t="s">
        <v>542</v>
      </c>
      <c r="G108" s="5" t="s">
        <v>1852</v>
      </c>
      <c r="H108" s="5" t="s">
        <v>2188</v>
      </c>
      <c r="I108" s="5"/>
      <c r="J108" s="16" t="s">
        <v>1854</v>
      </c>
      <c r="K108" s="5" t="s">
        <v>2210</v>
      </c>
      <c r="L108" s="5" t="s">
        <v>2211</v>
      </c>
      <c r="M108" s="5" t="s">
        <v>541</v>
      </c>
      <c r="N108" s="5" t="s">
        <v>811</v>
      </c>
    </row>
    <row r="109" spans="1:14">
      <c r="A109" s="5" t="s">
        <v>279</v>
      </c>
      <c r="B109" s="5" t="s">
        <v>280</v>
      </c>
      <c r="C109" s="5" t="s">
        <v>340</v>
      </c>
      <c r="D109" s="5" t="s">
        <v>350</v>
      </c>
      <c r="E109" s="5" t="s">
        <v>2212</v>
      </c>
      <c r="F109" s="5" t="s">
        <v>341</v>
      </c>
      <c r="G109" s="5" t="s">
        <v>1971</v>
      </c>
      <c r="H109" s="5" t="s">
        <v>2188</v>
      </c>
      <c r="I109" s="5"/>
      <c r="J109" s="16" t="s">
        <v>1854</v>
      </c>
      <c r="K109" s="5" t="s">
        <v>2213</v>
      </c>
      <c r="L109" s="5" t="s">
        <v>2214</v>
      </c>
      <c r="M109" s="5" t="s">
        <v>339</v>
      </c>
      <c r="N109" s="5" t="s">
        <v>811</v>
      </c>
    </row>
    <row r="110" spans="1:14">
      <c r="A110" s="5" t="s">
        <v>279</v>
      </c>
      <c r="B110" s="5" t="s">
        <v>280</v>
      </c>
      <c r="C110" s="5" t="s">
        <v>340</v>
      </c>
      <c r="D110" s="5" t="s">
        <v>350</v>
      </c>
      <c r="E110" s="5" t="s">
        <v>2215</v>
      </c>
      <c r="F110" s="5" t="s">
        <v>1733</v>
      </c>
      <c r="G110" s="5" t="s">
        <v>1922</v>
      </c>
      <c r="H110" s="5" t="s">
        <v>2000</v>
      </c>
      <c r="I110" s="5"/>
      <c r="J110" s="17" t="s">
        <v>1858</v>
      </c>
      <c r="K110" s="5" t="s">
        <v>2216</v>
      </c>
      <c r="L110" s="5" t="s">
        <v>2217</v>
      </c>
      <c r="M110" s="5" t="s">
        <v>1732</v>
      </c>
      <c r="N110" s="5" t="s">
        <v>1721</v>
      </c>
    </row>
    <row r="111" spans="1:14">
      <c r="A111" s="5" t="s">
        <v>279</v>
      </c>
      <c r="B111" s="5" t="s">
        <v>280</v>
      </c>
      <c r="C111" s="5" t="s">
        <v>340</v>
      </c>
      <c r="D111" s="5" t="s">
        <v>350</v>
      </c>
      <c r="E111" s="5" t="s">
        <v>2218</v>
      </c>
      <c r="F111" s="5" t="s">
        <v>2219</v>
      </c>
      <c r="G111" s="5" t="s">
        <v>1852</v>
      </c>
      <c r="H111" s="5" t="s">
        <v>2220</v>
      </c>
      <c r="I111" s="5"/>
      <c r="J111" s="16" t="s">
        <v>1854</v>
      </c>
      <c r="K111" s="5" t="s">
        <v>2221</v>
      </c>
      <c r="L111" s="5"/>
      <c r="M111" s="5"/>
      <c r="N111" s="5" t="s">
        <v>811</v>
      </c>
    </row>
    <row r="112" spans="1:14">
      <c r="A112" s="5" t="s">
        <v>279</v>
      </c>
      <c r="B112" s="5" t="s">
        <v>280</v>
      </c>
      <c r="C112" s="5" t="s">
        <v>340</v>
      </c>
      <c r="D112" s="5" t="s">
        <v>350</v>
      </c>
      <c r="E112" s="5" t="s">
        <v>2222</v>
      </c>
      <c r="F112" s="5" t="s">
        <v>2223</v>
      </c>
      <c r="G112" s="5" t="s">
        <v>1922</v>
      </c>
      <c r="H112" s="5" t="s">
        <v>2220</v>
      </c>
      <c r="I112" s="5"/>
      <c r="J112" s="16" t="s">
        <v>1854</v>
      </c>
      <c r="K112" s="5" t="s">
        <v>2224</v>
      </c>
      <c r="L112" s="5" t="s">
        <v>2225</v>
      </c>
      <c r="M112" s="5"/>
      <c r="N112" s="5" t="s">
        <v>811</v>
      </c>
    </row>
    <row r="113" spans="1:14">
      <c r="A113" s="5" t="s">
        <v>279</v>
      </c>
      <c r="B113" s="5" t="s">
        <v>280</v>
      </c>
      <c r="C113" s="5" t="s">
        <v>340</v>
      </c>
      <c r="D113" s="5" t="s">
        <v>350</v>
      </c>
      <c r="E113" s="5" t="s">
        <v>2226</v>
      </c>
      <c r="F113" s="5" t="s">
        <v>353</v>
      </c>
      <c r="G113" s="5" t="s">
        <v>2227</v>
      </c>
      <c r="H113" s="5" t="s">
        <v>2228</v>
      </c>
      <c r="I113" s="5"/>
      <c r="J113" s="16" t="s">
        <v>1854</v>
      </c>
      <c r="K113" s="5" t="s">
        <v>2229</v>
      </c>
      <c r="L113" s="5" t="s">
        <v>2230</v>
      </c>
      <c r="M113" s="5" t="s">
        <v>2231</v>
      </c>
      <c r="N113" s="5" t="s">
        <v>811</v>
      </c>
    </row>
    <row r="114" spans="1:14">
      <c r="A114" s="5" t="s">
        <v>279</v>
      </c>
      <c r="B114" s="5" t="s">
        <v>280</v>
      </c>
      <c r="C114" s="5" t="s">
        <v>340</v>
      </c>
      <c r="D114" s="5" t="s">
        <v>350</v>
      </c>
      <c r="E114" s="5" t="s">
        <v>2232</v>
      </c>
      <c r="F114" s="5" t="s">
        <v>363</v>
      </c>
      <c r="G114" s="5" t="s">
        <v>2160</v>
      </c>
      <c r="H114" s="5" t="s">
        <v>2233</v>
      </c>
      <c r="I114" s="5"/>
      <c r="J114" s="17" t="s">
        <v>1858</v>
      </c>
      <c r="K114" s="5" t="s">
        <v>2234</v>
      </c>
      <c r="L114" s="5" t="s">
        <v>2235</v>
      </c>
      <c r="M114" s="5" t="s">
        <v>2236</v>
      </c>
      <c r="N114" s="5" t="s">
        <v>811</v>
      </c>
    </row>
    <row r="115" spans="1:14">
      <c r="A115" s="5" t="s">
        <v>279</v>
      </c>
      <c r="B115" s="5" t="s">
        <v>280</v>
      </c>
      <c r="C115" s="5" t="s">
        <v>340</v>
      </c>
      <c r="D115" s="5" t="s">
        <v>350</v>
      </c>
      <c r="E115" s="5" t="s">
        <v>2237</v>
      </c>
      <c r="F115" s="5" t="s">
        <v>2238</v>
      </c>
      <c r="G115" s="5" t="s">
        <v>2239</v>
      </c>
      <c r="H115" s="5" t="s">
        <v>2240</v>
      </c>
      <c r="I115" s="5"/>
      <c r="J115" s="16" t="s">
        <v>1854</v>
      </c>
      <c r="K115" s="5" t="s">
        <v>2241</v>
      </c>
      <c r="L115" s="5" t="s">
        <v>2242</v>
      </c>
      <c r="M115" s="5"/>
      <c r="N115" s="5" t="s">
        <v>811</v>
      </c>
    </row>
    <row r="116" spans="1:14">
      <c r="A116" s="5" t="s">
        <v>279</v>
      </c>
      <c r="B116" s="5" t="s">
        <v>280</v>
      </c>
      <c r="C116" s="5" t="s">
        <v>340</v>
      </c>
      <c r="D116" s="5" t="s">
        <v>350</v>
      </c>
      <c r="E116" s="5" t="s">
        <v>2243</v>
      </c>
      <c r="F116" s="5" t="s">
        <v>2244</v>
      </c>
      <c r="G116" s="5" t="s">
        <v>2049</v>
      </c>
      <c r="H116" s="5" t="s">
        <v>2240</v>
      </c>
      <c r="I116" s="5"/>
      <c r="J116" s="16" t="s">
        <v>1854</v>
      </c>
      <c r="K116" s="5" t="s">
        <v>2245</v>
      </c>
      <c r="L116" s="5"/>
      <c r="M116" s="5"/>
      <c r="N116" s="5" t="s">
        <v>811</v>
      </c>
    </row>
    <row r="117" spans="1:14">
      <c r="A117" s="5" t="s">
        <v>279</v>
      </c>
      <c r="B117" s="5" t="s">
        <v>280</v>
      </c>
      <c r="C117" s="5" t="s">
        <v>340</v>
      </c>
      <c r="D117" s="5" t="s">
        <v>350</v>
      </c>
      <c r="E117" s="5" t="s">
        <v>2246</v>
      </c>
      <c r="F117" s="5" t="s">
        <v>392</v>
      </c>
      <c r="G117" s="5" t="s">
        <v>2239</v>
      </c>
      <c r="H117" s="5" t="s">
        <v>2247</v>
      </c>
      <c r="I117" s="5"/>
      <c r="J117" s="17" t="s">
        <v>1858</v>
      </c>
      <c r="K117" s="5" t="s">
        <v>2248</v>
      </c>
      <c r="L117" s="5" t="s">
        <v>2249</v>
      </c>
      <c r="M117" s="5" t="s">
        <v>2250</v>
      </c>
      <c r="N117" s="5" t="s">
        <v>811</v>
      </c>
    </row>
    <row r="118" spans="1:14">
      <c r="A118" s="5" t="s">
        <v>279</v>
      </c>
      <c r="B118" s="5" t="s">
        <v>280</v>
      </c>
      <c r="C118" s="5" t="s">
        <v>340</v>
      </c>
      <c r="D118" s="5" t="s">
        <v>350</v>
      </c>
      <c r="E118" s="5" t="s">
        <v>2251</v>
      </c>
      <c r="F118" s="5" t="s">
        <v>2252</v>
      </c>
      <c r="G118" s="5" t="s">
        <v>2239</v>
      </c>
      <c r="H118" s="5" t="s">
        <v>1960</v>
      </c>
      <c r="I118" s="5"/>
      <c r="J118" s="16" t="s">
        <v>1854</v>
      </c>
      <c r="K118" s="5" t="s">
        <v>2253</v>
      </c>
      <c r="L118" s="5" t="s">
        <v>2254</v>
      </c>
      <c r="M118" s="5"/>
      <c r="N118" s="5" t="s">
        <v>811</v>
      </c>
    </row>
    <row r="119" spans="1:14">
      <c r="A119" s="5" t="s">
        <v>279</v>
      </c>
      <c r="B119" s="5" t="s">
        <v>280</v>
      </c>
      <c r="C119" s="5" t="s">
        <v>340</v>
      </c>
      <c r="D119" s="5" t="s">
        <v>350</v>
      </c>
      <c r="E119" s="5" t="s">
        <v>2255</v>
      </c>
      <c r="F119" s="5" t="s">
        <v>2256</v>
      </c>
      <c r="G119" s="5" t="s">
        <v>1922</v>
      </c>
      <c r="H119" s="5" t="s">
        <v>2257</v>
      </c>
      <c r="I119" s="5"/>
      <c r="J119" s="16" t="s">
        <v>1854</v>
      </c>
      <c r="K119" s="5" t="s">
        <v>2258</v>
      </c>
      <c r="L119" s="5" t="s">
        <v>2259</v>
      </c>
      <c r="M119" s="5"/>
      <c r="N119" s="5" t="s">
        <v>811</v>
      </c>
    </row>
    <row r="120" spans="1:14">
      <c r="A120" s="5" t="s">
        <v>279</v>
      </c>
      <c r="B120" s="5" t="s">
        <v>280</v>
      </c>
      <c r="C120" s="5" t="s">
        <v>340</v>
      </c>
      <c r="D120" s="5" t="s">
        <v>350</v>
      </c>
      <c r="E120" s="5" t="s">
        <v>2260</v>
      </c>
      <c r="F120" s="5" t="s">
        <v>431</v>
      </c>
      <c r="G120" s="5" t="s">
        <v>1922</v>
      </c>
      <c r="H120" s="5" t="s">
        <v>1853</v>
      </c>
      <c r="I120" s="5"/>
      <c r="J120" s="17" t="s">
        <v>1858</v>
      </c>
      <c r="K120" s="5" t="s">
        <v>2261</v>
      </c>
      <c r="L120" s="5" t="s">
        <v>2262</v>
      </c>
      <c r="M120" s="5" t="s">
        <v>430</v>
      </c>
      <c r="N120" s="5" t="s">
        <v>811</v>
      </c>
    </row>
    <row r="121" spans="1:14">
      <c r="A121" s="5" t="s">
        <v>279</v>
      </c>
      <c r="B121" s="5" t="s">
        <v>280</v>
      </c>
      <c r="C121" s="5" t="s">
        <v>340</v>
      </c>
      <c r="D121" s="5" t="s">
        <v>350</v>
      </c>
      <c r="E121" s="5" t="s">
        <v>2263</v>
      </c>
      <c r="F121" s="5" t="s">
        <v>1603</v>
      </c>
      <c r="G121" s="5" t="s">
        <v>2184</v>
      </c>
      <c r="H121" s="5" t="s">
        <v>2264</v>
      </c>
      <c r="I121" s="5"/>
      <c r="J121" s="16" t="s">
        <v>1854</v>
      </c>
      <c r="K121" s="5" t="s">
        <v>2265</v>
      </c>
      <c r="L121" s="5" t="s">
        <v>2266</v>
      </c>
      <c r="M121" s="5" t="s">
        <v>1602</v>
      </c>
      <c r="N121" s="5" t="s">
        <v>811</v>
      </c>
    </row>
    <row r="122" spans="1:14">
      <c r="A122" s="5" t="s">
        <v>279</v>
      </c>
      <c r="B122" s="5" t="s">
        <v>280</v>
      </c>
      <c r="C122" s="5" t="s">
        <v>340</v>
      </c>
      <c r="D122" s="5" t="s">
        <v>350</v>
      </c>
      <c r="E122" s="5" t="s">
        <v>2267</v>
      </c>
      <c r="F122" s="5" t="s">
        <v>2268</v>
      </c>
      <c r="G122" s="5" t="s">
        <v>2269</v>
      </c>
      <c r="H122" s="5" t="s">
        <v>2188</v>
      </c>
      <c r="I122" s="5"/>
      <c r="J122" s="16" t="s">
        <v>1854</v>
      </c>
      <c r="K122" s="5" t="s">
        <v>2270</v>
      </c>
      <c r="L122" s="5" t="s">
        <v>2271</v>
      </c>
      <c r="M122" s="5"/>
      <c r="N122" s="5" t="s">
        <v>811</v>
      </c>
    </row>
    <row r="123" spans="1:14">
      <c r="A123" s="5" t="s">
        <v>279</v>
      </c>
      <c r="B123" s="5" t="s">
        <v>280</v>
      </c>
      <c r="C123" s="5" t="s">
        <v>340</v>
      </c>
      <c r="D123" s="5" t="s">
        <v>350</v>
      </c>
      <c r="E123" s="5" t="s">
        <v>2272</v>
      </c>
      <c r="F123" s="5" t="s">
        <v>463</v>
      </c>
      <c r="G123" s="5" t="s">
        <v>2269</v>
      </c>
      <c r="H123" s="5" t="s">
        <v>1853</v>
      </c>
      <c r="I123" s="5"/>
      <c r="J123" s="16" t="s">
        <v>1854</v>
      </c>
      <c r="K123" s="5" t="s">
        <v>2273</v>
      </c>
      <c r="L123" s="5" t="s">
        <v>2274</v>
      </c>
      <c r="M123" s="5" t="s">
        <v>462</v>
      </c>
      <c r="N123" s="5" t="s">
        <v>811</v>
      </c>
    </row>
    <row r="124" spans="1:14">
      <c r="A124" s="5" t="s">
        <v>279</v>
      </c>
      <c r="B124" s="5" t="s">
        <v>280</v>
      </c>
      <c r="C124" s="5" t="s">
        <v>281</v>
      </c>
      <c r="D124" s="5" t="s">
        <v>292</v>
      </c>
      <c r="E124" s="5" t="s">
        <v>2275</v>
      </c>
      <c r="F124" s="5" t="s">
        <v>443</v>
      </c>
      <c r="G124" s="5" t="s">
        <v>2269</v>
      </c>
      <c r="H124" s="5" t="s">
        <v>2276</v>
      </c>
      <c r="I124" s="5"/>
      <c r="J124" s="16" t="s">
        <v>1854</v>
      </c>
      <c r="K124" s="5" t="s">
        <v>2277</v>
      </c>
      <c r="L124" s="5" t="s">
        <v>2278</v>
      </c>
      <c r="M124" s="5" t="s">
        <v>442</v>
      </c>
      <c r="N124" s="5" t="s">
        <v>811</v>
      </c>
    </row>
    <row r="125" spans="1:14">
      <c r="A125" s="5" t="s">
        <v>279</v>
      </c>
      <c r="B125" s="5" t="s">
        <v>473</v>
      </c>
      <c r="C125" s="5" t="s">
        <v>474</v>
      </c>
      <c r="D125" s="5" t="s">
        <v>484</v>
      </c>
      <c r="E125" s="5" t="s">
        <v>2279</v>
      </c>
      <c r="F125" s="5" t="s">
        <v>2108</v>
      </c>
      <c r="G125" s="5" t="s">
        <v>2269</v>
      </c>
      <c r="H125" s="5" t="s">
        <v>1853</v>
      </c>
      <c r="I125" s="5"/>
      <c r="J125" s="16" t="s">
        <v>1854</v>
      </c>
      <c r="K125" s="5" t="s">
        <v>2280</v>
      </c>
      <c r="L125" s="5" t="s">
        <v>2281</v>
      </c>
      <c r="M125" s="5"/>
      <c r="N125" s="5" t="s">
        <v>811</v>
      </c>
    </row>
    <row r="126" spans="1:14">
      <c r="A126" s="5" t="s">
        <v>279</v>
      </c>
      <c r="B126" s="5" t="s">
        <v>473</v>
      </c>
      <c r="C126" s="5" t="s">
        <v>474</v>
      </c>
      <c r="D126" s="5" t="s">
        <v>484</v>
      </c>
      <c r="E126" s="5" t="s">
        <v>2282</v>
      </c>
      <c r="F126" s="5" t="s">
        <v>2111</v>
      </c>
      <c r="G126" s="5" t="s">
        <v>1922</v>
      </c>
      <c r="H126" s="5" t="s">
        <v>1853</v>
      </c>
      <c r="I126" s="5"/>
      <c r="J126" s="16" t="s">
        <v>1854</v>
      </c>
      <c r="K126" s="5" t="s">
        <v>2283</v>
      </c>
      <c r="L126" s="5"/>
      <c r="M126" s="5"/>
      <c r="N126" s="5" t="s">
        <v>811</v>
      </c>
    </row>
    <row r="127" spans="1:14">
      <c r="A127" s="5" t="s">
        <v>279</v>
      </c>
      <c r="B127" s="5" t="s">
        <v>473</v>
      </c>
      <c r="C127" s="5" t="s">
        <v>474</v>
      </c>
      <c r="D127" s="5" t="s">
        <v>484</v>
      </c>
      <c r="E127" s="5" t="s">
        <v>2284</v>
      </c>
      <c r="F127" s="5" t="s">
        <v>282</v>
      </c>
      <c r="G127" s="5" t="s">
        <v>2114</v>
      </c>
      <c r="H127" s="5" t="s">
        <v>2285</v>
      </c>
      <c r="I127" s="5"/>
      <c r="J127" s="17" t="s">
        <v>1858</v>
      </c>
      <c r="K127" s="5" t="s">
        <v>2286</v>
      </c>
      <c r="L127" s="5" t="s">
        <v>2287</v>
      </c>
      <c r="M127" s="5"/>
      <c r="N127" s="5" t="s">
        <v>811</v>
      </c>
    </row>
    <row r="128" spans="1:14">
      <c r="A128" s="5" t="s">
        <v>279</v>
      </c>
      <c r="B128" s="5" t="s">
        <v>473</v>
      </c>
      <c r="C128" s="5" t="s">
        <v>474</v>
      </c>
      <c r="D128" s="5" t="s">
        <v>484</v>
      </c>
      <c r="E128" s="5" t="s">
        <v>2288</v>
      </c>
      <c r="F128" s="5" t="s">
        <v>2289</v>
      </c>
      <c r="G128" s="5" t="s">
        <v>2290</v>
      </c>
      <c r="H128" s="5" t="s">
        <v>2285</v>
      </c>
      <c r="I128" s="5"/>
      <c r="J128" s="16" t="s">
        <v>1854</v>
      </c>
      <c r="K128" s="5" t="s">
        <v>2291</v>
      </c>
      <c r="L128" s="5"/>
      <c r="M128" s="5"/>
      <c r="N128" s="5" t="s">
        <v>811</v>
      </c>
    </row>
    <row r="129" spans="1:14">
      <c r="A129" s="5" t="s">
        <v>279</v>
      </c>
      <c r="B129" s="5" t="s">
        <v>473</v>
      </c>
      <c r="C129" s="5" t="s">
        <v>474</v>
      </c>
      <c r="D129" s="5" t="s">
        <v>484</v>
      </c>
      <c r="E129" s="5" t="s">
        <v>2292</v>
      </c>
      <c r="F129" s="5" t="s">
        <v>2293</v>
      </c>
      <c r="G129" s="5" t="s">
        <v>2294</v>
      </c>
      <c r="H129" s="5" t="s">
        <v>2285</v>
      </c>
      <c r="I129" s="5"/>
      <c r="J129" s="16" t="s">
        <v>1854</v>
      </c>
      <c r="K129" s="5" t="s">
        <v>2295</v>
      </c>
      <c r="L129" s="5" t="s">
        <v>2296</v>
      </c>
      <c r="M129" s="5"/>
      <c r="N129" s="5" t="s">
        <v>811</v>
      </c>
    </row>
    <row r="130" spans="1:14">
      <c r="A130" s="5" t="s">
        <v>279</v>
      </c>
      <c r="B130" s="5" t="s">
        <v>473</v>
      </c>
      <c r="C130" s="5" t="s">
        <v>474</v>
      </c>
      <c r="D130" s="5" t="s">
        <v>484</v>
      </c>
      <c r="E130" s="5" t="s">
        <v>2297</v>
      </c>
      <c r="F130" s="5" t="s">
        <v>2298</v>
      </c>
      <c r="G130" s="5" t="s">
        <v>2294</v>
      </c>
      <c r="H130" s="5" t="s">
        <v>2285</v>
      </c>
      <c r="I130" s="5"/>
      <c r="J130" s="16" t="s">
        <v>1854</v>
      </c>
      <c r="K130" s="5" t="s">
        <v>2299</v>
      </c>
      <c r="L130" s="5"/>
      <c r="M130" s="5"/>
      <c r="N130" s="5" t="s">
        <v>811</v>
      </c>
    </row>
    <row r="131" spans="1:14">
      <c r="A131" s="5" t="s">
        <v>279</v>
      </c>
      <c r="B131" s="5" t="s">
        <v>473</v>
      </c>
      <c r="C131" s="5" t="s">
        <v>474</v>
      </c>
      <c r="D131" s="5" t="s">
        <v>484</v>
      </c>
      <c r="E131" s="5" t="s">
        <v>2300</v>
      </c>
      <c r="F131" s="5" t="s">
        <v>453</v>
      </c>
      <c r="G131" s="5" t="s">
        <v>1922</v>
      </c>
      <c r="H131" s="5" t="s">
        <v>2285</v>
      </c>
      <c r="I131" s="5"/>
      <c r="J131" s="17" t="s">
        <v>1858</v>
      </c>
      <c r="K131" s="5" t="s">
        <v>2301</v>
      </c>
      <c r="L131" s="5" t="s">
        <v>2302</v>
      </c>
      <c r="M131" s="5"/>
      <c r="N131" s="5" t="s">
        <v>811</v>
      </c>
    </row>
    <row r="132" spans="1:14">
      <c r="A132" s="5" t="s">
        <v>279</v>
      </c>
      <c r="B132" s="5" t="s">
        <v>473</v>
      </c>
      <c r="C132" s="5" t="s">
        <v>474</v>
      </c>
      <c r="D132" s="5" t="s">
        <v>484</v>
      </c>
      <c r="E132" s="5" t="s">
        <v>2303</v>
      </c>
      <c r="F132" s="5" t="s">
        <v>2304</v>
      </c>
      <c r="G132" s="5" t="s">
        <v>1922</v>
      </c>
      <c r="H132" s="5" t="s">
        <v>2285</v>
      </c>
      <c r="I132" s="5"/>
      <c r="J132" s="16" t="s">
        <v>1854</v>
      </c>
      <c r="K132" s="5" t="s">
        <v>2305</v>
      </c>
      <c r="L132" s="5"/>
      <c r="M132" s="5"/>
      <c r="N132" s="5" t="s">
        <v>811</v>
      </c>
    </row>
    <row r="133" spans="1:14">
      <c r="A133" s="5" t="s">
        <v>279</v>
      </c>
      <c r="B133" s="5" t="s">
        <v>473</v>
      </c>
      <c r="C133" s="5" t="s">
        <v>474</v>
      </c>
      <c r="D133" s="5" t="s">
        <v>484</v>
      </c>
      <c r="E133" s="5" t="s">
        <v>2306</v>
      </c>
      <c r="F133" s="5" t="s">
        <v>2137</v>
      </c>
      <c r="G133" s="5" t="s">
        <v>1852</v>
      </c>
      <c r="H133" s="5" t="s">
        <v>2285</v>
      </c>
      <c r="I133" s="5"/>
      <c r="J133" s="16" t="s">
        <v>1854</v>
      </c>
      <c r="K133" s="5" t="s">
        <v>2307</v>
      </c>
      <c r="L133" s="5"/>
      <c r="M133" s="5"/>
      <c r="N133" s="5" t="s">
        <v>811</v>
      </c>
    </row>
    <row r="134" spans="1:14">
      <c r="A134" s="5" t="s">
        <v>279</v>
      </c>
      <c r="B134" s="5" t="s">
        <v>473</v>
      </c>
      <c r="C134" s="5" t="s">
        <v>474</v>
      </c>
      <c r="D134" s="5" t="s">
        <v>484</v>
      </c>
      <c r="E134" s="5" t="s">
        <v>2308</v>
      </c>
      <c r="F134" s="5" t="s">
        <v>2140</v>
      </c>
      <c r="G134" s="5" t="s">
        <v>1922</v>
      </c>
      <c r="H134" s="5" t="s">
        <v>2285</v>
      </c>
      <c r="I134" s="5"/>
      <c r="J134" s="16" t="s">
        <v>1854</v>
      </c>
      <c r="K134" s="5" t="s">
        <v>2309</v>
      </c>
      <c r="L134" s="5" t="s">
        <v>2310</v>
      </c>
      <c r="M134" s="5"/>
      <c r="N134" s="5" t="s">
        <v>811</v>
      </c>
    </row>
    <row r="135" spans="1:14">
      <c r="A135" s="5" t="s">
        <v>279</v>
      </c>
      <c r="B135" s="5" t="s">
        <v>473</v>
      </c>
      <c r="C135" s="5" t="s">
        <v>474</v>
      </c>
      <c r="D135" s="5" t="s">
        <v>484</v>
      </c>
      <c r="E135" s="5" t="s">
        <v>2311</v>
      </c>
      <c r="F135" s="5" t="s">
        <v>2312</v>
      </c>
      <c r="G135" s="5" t="s">
        <v>2269</v>
      </c>
      <c r="H135" s="5" t="s">
        <v>2285</v>
      </c>
      <c r="I135" s="5"/>
      <c r="J135" s="16" t="s">
        <v>1854</v>
      </c>
      <c r="K135" s="5" t="s">
        <v>2313</v>
      </c>
      <c r="L135" s="5"/>
      <c r="M135" s="5"/>
      <c r="N135" s="5" t="s">
        <v>811</v>
      </c>
    </row>
    <row r="136" spans="1:14">
      <c r="A136" s="5" t="s">
        <v>279</v>
      </c>
      <c r="B136" s="5" t="s">
        <v>473</v>
      </c>
      <c r="C136" s="5" t="s">
        <v>474</v>
      </c>
      <c r="D136" s="5" t="s">
        <v>484</v>
      </c>
      <c r="E136" s="5" t="s">
        <v>2314</v>
      </c>
      <c r="F136" s="5" t="s">
        <v>2315</v>
      </c>
      <c r="G136" s="5" t="s">
        <v>2160</v>
      </c>
      <c r="H136" s="5" t="s">
        <v>2146</v>
      </c>
      <c r="I136" s="5"/>
      <c r="J136" s="16" t="s">
        <v>1854</v>
      </c>
      <c r="K136" s="5" t="s">
        <v>2316</v>
      </c>
      <c r="L136" s="5" t="s">
        <v>2317</v>
      </c>
      <c r="M136" s="5"/>
      <c r="N136" s="5" t="s">
        <v>811</v>
      </c>
    </row>
    <row r="137" spans="1:14">
      <c r="A137" s="5" t="s">
        <v>279</v>
      </c>
      <c r="B137" s="5" t="s">
        <v>473</v>
      </c>
      <c r="C137" s="5" t="s">
        <v>474</v>
      </c>
      <c r="D137" s="5" t="s">
        <v>484</v>
      </c>
      <c r="E137" s="5" t="s">
        <v>2318</v>
      </c>
      <c r="F137" s="5" t="s">
        <v>927</v>
      </c>
      <c r="G137" s="5" t="s">
        <v>2160</v>
      </c>
      <c r="H137" s="5" t="s">
        <v>2146</v>
      </c>
      <c r="I137" s="5"/>
      <c r="J137" s="16" t="s">
        <v>1854</v>
      </c>
      <c r="K137" s="5" t="s">
        <v>2319</v>
      </c>
      <c r="L137" s="5" t="s">
        <v>2320</v>
      </c>
      <c r="M137" s="5" t="s">
        <v>926</v>
      </c>
      <c r="N137" s="5" t="s">
        <v>811</v>
      </c>
    </row>
    <row r="138" spans="1:14">
      <c r="A138" s="5" t="s">
        <v>279</v>
      </c>
      <c r="B138" s="5" t="s">
        <v>473</v>
      </c>
      <c r="C138" s="5" t="s">
        <v>474</v>
      </c>
      <c r="D138" s="5" t="s">
        <v>484</v>
      </c>
      <c r="E138" s="5" t="s">
        <v>2321</v>
      </c>
      <c r="F138" s="5" t="s">
        <v>507</v>
      </c>
      <c r="G138" s="5" t="s">
        <v>2164</v>
      </c>
      <c r="H138" s="5" t="s">
        <v>2146</v>
      </c>
      <c r="I138" s="5"/>
      <c r="J138" s="16" t="s">
        <v>1854</v>
      </c>
      <c r="K138" s="5" t="s">
        <v>2322</v>
      </c>
      <c r="L138" s="5" t="s">
        <v>2323</v>
      </c>
      <c r="M138" s="5" t="s">
        <v>506</v>
      </c>
      <c r="N138" s="5" t="s">
        <v>811</v>
      </c>
    </row>
    <row r="139" spans="1:14">
      <c r="A139" s="5" t="s">
        <v>279</v>
      </c>
      <c r="B139" s="5" t="s">
        <v>473</v>
      </c>
      <c r="C139" s="5" t="s">
        <v>474</v>
      </c>
      <c r="D139" s="5" t="s">
        <v>484</v>
      </c>
      <c r="E139" s="5" t="s">
        <v>2324</v>
      </c>
      <c r="F139" s="5" t="s">
        <v>487</v>
      </c>
      <c r="G139" s="5" t="s">
        <v>2294</v>
      </c>
      <c r="H139" s="5" t="s">
        <v>2146</v>
      </c>
      <c r="I139" s="5"/>
      <c r="J139" s="16" t="s">
        <v>1854</v>
      </c>
      <c r="K139" s="5" t="s">
        <v>2325</v>
      </c>
      <c r="L139" s="5" t="s">
        <v>2326</v>
      </c>
      <c r="M139" s="5" t="s">
        <v>486</v>
      </c>
      <c r="N139" s="5" t="s">
        <v>811</v>
      </c>
    </row>
    <row r="140" spans="1:14">
      <c r="A140" s="5" t="s">
        <v>279</v>
      </c>
      <c r="B140" s="5" t="s">
        <v>473</v>
      </c>
      <c r="C140" s="5" t="s">
        <v>474</v>
      </c>
      <c r="D140" s="5" t="s">
        <v>484</v>
      </c>
      <c r="E140" s="5" t="s">
        <v>2327</v>
      </c>
      <c r="F140" s="5" t="s">
        <v>1757</v>
      </c>
      <c r="G140" s="5" t="s">
        <v>2294</v>
      </c>
      <c r="H140" s="5" t="s">
        <v>2146</v>
      </c>
      <c r="I140" s="5"/>
      <c r="J140" s="16" t="s">
        <v>1854</v>
      </c>
      <c r="K140" s="5" t="s">
        <v>2328</v>
      </c>
      <c r="L140" s="5"/>
      <c r="M140" s="5"/>
      <c r="N140" s="5" t="s">
        <v>811</v>
      </c>
    </row>
    <row r="141" spans="1:14">
      <c r="A141" s="5" t="s">
        <v>279</v>
      </c>
      <c r="B141" s="5" t="s">
        <v>473</v>
      </c>
      <c r="C141" s="5" t="s">
        <v>474</v>
      </c>
      <c r="D141" s="5" t="s">
        <v>484</v>
      </c>
      <c r="E141" s="5" t="s">
        <v>2329</v>
      </c>
      <c r="F141" s="5" t="s">
        <v>1614</v>
      </c>
      <c r="G141" s="5" t="s">
        <v>2294</v>
      </c>
      <c r="H141" s="5" t="s">
        <v>2146</v>
      </c>
      <c r="I141" s="5"/>
      <c r="J141" s="16" t="s">
        <v>1854</v>
      </c>
      <c r="K141" s="5" t="s">
        <v>2330</v>
      </c>
      <c r="L141" s="5" t="s">
        <v>2331</v>
      </c>
      <c r="M141" s="5"/>
      <c r="N141" s="5" t="s">
        <v>811</v>
      </c>
    </row>
    <row r="142" spans="1:14">
      <c r="A142" s="5" t="s">
        <v>279</v>
      </c>
      <c r="B142" s="5" t="s">
        <v>473</v>
      </c>
      <c r="C142" s="5" t="s">
        <v>474</v>
      </c>
      <c r="D142" s="5" t="s">
        <v>484</v>
      </c>
      <c r="E142" s="5" t="s">
        <v>2332</v>
      </c>
      <c r="F142" s="5" t="s">
        <v>2333</v>
      </c>
      <c r="G142" s="5" t="s">
        <v>2239</v>
      </c>
      <c r="H142" s="5" t="s">
        <v>2334</v>
      </c>
      <c r="I142" s="5"/>
      <c r="J142" s="16" t="s">
        <v>1854</v>
      </c>
      <c r="K142" s="5" t="s">
        <v>2335</v>
      </c>
      <c r="L142" s="5"/>
      <c r="M142" s="5"/>
      <c r="N142" s="5" t="s">
        <v>811</v>
      </c>
    </row>
    <row r="143" spans="1:14">
      <c r="A143" s="5" t="s">
        <v>279</v>
      </c>
      <c r="B143" s="5" t="s">
        <v>473</v>
      </c>
      <c r="C143" s="5" t="s">
        <v>474</v>
      </c>
      <c r="D143" s="5" t="s">
        <v>484</v>
      </c>
      <c r="E143" s="5" t="s">
        <v>2336</v>
      </c>
      <c r="F143" s="5" t="s">
        <v>475</v>
      </c>
      <c r="G143" s="5" t="s">
        <v>2239</v>
      </c>
      <c r="H143" s="5" t="s">
        <v>2334</v>
      </c>
      <c r="I143" s="5"/>
      <c r="J143" s="17" t="s">
        <v>1858</v>
      </c>
      <c r="K143" s="5" t="s">
        <v>2337</v>
      </c>
      <c r="L143" s="5" t="s">
        <v>2338</v>
      </c>
      <c r="M143" s="5" t="s">
        <v>472</v>
      </c>
      <c r="N143" s="5" t="s">
        <v>811</v>
      </c>
    </row>
    <row r="144" spans="1:14">
      <c r="A144" s="5" t="s">
        <v>279</v>
      </c>
      <c r="B144" s="5" t="s">
        <v>473</v>
      </c>
      <c r="C144" s="5" t="s">
        <v>474</v>
      </c>
      <c r="D144" s="5" t="s">
        <v>484</v>
      </c>
      <c r="E144" s="5" t="s">
        <v>2339</v>
      </c>
      <c r="F144" s="5" t="s">
        <v>497</v>
      </c>
      <c r="G144" s="5" t="s">
        <v>1922</v>
      </c>
      <c r="H144" s="5" t="s">
        <v>2334</v>
      </c>
      <c r="I144" s="5"/>
      <c r="J144" s="16" t="s">
        <v>1854</v>
      </c>
      <c r="K144" s="5" t="s">
        <v>2340</v>
      </c>
      <c r="L144" s="5" t="s">
        <v>2341</v>
      </c>
      <c r="M144" s="5" t="s">
        <v>2342</v>
      </c>
      <c r="N144" s="5" t="s">
        <v>811</v>
      </c>
    </row>
    <row r="145" spans="1:14">
      <c r="A145" s="5" t="s">
        <v>279</v>
      </c>
      <c r="B145" s="5" t="s">
        <v>473</v>
      </c>
      <c r="C145" s="5" t="s">
        <v>474</v>
      </c>
      <c r="D145" s="5" t="s">
        <v>484</v>
      </c>
      <c r="E145" s="5" t="s">
        <v>2343</v>
      </c>
      <c r="F145" s="5" t="s">
        <v>2344</v>
      </c>
      <c r="G145" s="5" t="s">
        <v>1922</v>
      </c>
      <c r="H145" s="5" t="s">
        <v>2334</v>
      </c>
      <c r="I145" s="5"/>
      <c r="J145" s="16" t="s">
        <v>1854</v>
      </c>
      <c r="K145" s="5" t="s">
        <v>2345</v>
      </c>
      <c r="L145" s="5"/>
      <c r="M145" s="5"/>
      <c r="N145" s="5" t="s">
        <v>811</v>
      </c>
    </row>
    <row r="146" spans="1:14">
      <c r="A146" s="5" t="s">
        <v>279</v>
      </c>
      <c r="B146" s="5" t="s">
        <v>473</v>
      </c>
      <c r="C146" s="5" t="s">
        <v>474</v>
      </c>
      <c r="D146" s="5" t="s">
        <v>484</v>
      </c>
      <c r="E146" s="5" t="s">
        <v>2346</v>
      </c>
      <c r="F146" s="5" t="s">
        <v>2347</v>
      </c>
      <c r="G146" s="5" t="s">
        <v>2269</v>
      </c>
      <c r="H146" s="5" t="s">
        <v>2276</v>
      </c>
      <c r="I146" s="5"/>
      <c r="J146" s="16" t="s">
        <v>1854</v>
      </c>
      <c r="K146" s="5" t="s">
        <v>2348</v>
      </c>
      <c r="L146" s="5"/>
      <c r="M146" s="5"/>
      <c r="N146" s="5" t="s">
        <v>811</v>
      </c>
    </row>
    <row r="147" spans="1:14">
      <c r="A147" s="5" t="s">
        <v>279</v>
      </c>
      <c r="B147" s="5" t="s">
        <v>517</v>
      </c>
      <c r="C147" s="5" t="s">
        <v>518</v>
      </c>
      <c r="D147" s="5" t="s">
        <v>528</v>
      </c>
      <c r="E147" s="5" t="s">
        <v>2349</v>
      </c>
      <c r="F147" s="5" t="s">
        <v>519</v>
      </c>
      <c r="G147" s="5" t="s">
        <v>2269</v>
      </c>
      <c r="H147" s="5" t="s">
        <v>1853</v>
      </c>
      <c r="I147" s="5"/>
      <c r="J147" s="16" t="s">
        <v>1854</v>
      </c>
      <c r="K147" s="5" t="s">
        <v>2350</v>
      </c>
      <c r="L147" s="5" t="s">
        <v>2351</v>
      </c>
      <c r="M147" s="5" t="s">
        <v>516</v>
      </c>
      <c r="N147" s="5" t="s">
        <v>811</v>
      </c>
    </row>
    <row r="148" spans="1:14">
      <c r="A148" s="5" t="s">
        <v>279</v>
      </c>
      <c r="B148" s="5" t="s">
        <v>517</v>
      </c>
      <c r="C148" s="5" t="s">
        <v>518</v>
      </c>
      <c r="D148" s="5" t="s">
        <v>528</v>
      </c>
      <c r="E148" s="5" t="s">
        <v>2352</v>
      </c>
      <c r="F148" s="5" t="s">
        <v>2111</v>
      </c>
      <c r="G148" s="5" t="s">
        <v>1922</v>
      </c>
      <c r="H148" s="5" t="s">
        <v>1853</v>
      </c>
      <c r="I148" s="5"/>
      <c r="J148" s="16" t="s">
        <v>1854</v>
      </c>
      <c r="K148" s="5" t="s">
        <v>2353</v>
      </c>
      <c r="L148" s="5"/>
      <c r="M148" s="5"/>
      <c r="N148" s="5" t="s">
        <v>811</v>
      </c>
    </row>
    <row r="149" spans="1:14">
      <c r="A149" s="5" t="s">
        <v>279</v>
      </c>
      <c r="B149" s="5" t="s">
        <v>517</v>
      </c>
      <c r="C149" s="5" t="s">
        <v>518</v>
      </c>
      <c r="D149" s="5" t="s">
        <v>528</v>
      </c>
      <c r="E149" s="5" t="s">
        <v>2354</v>
      </c>
      <c r="F149" s="5" t="s">
        <v>2355</v>
      </c>
      <c r="G149" s="5" t="s">
        <v>2114</v>
      </c>
      <c r="H149" s="5" t="s">
        <v>2285</v>
      </c>
      <c r="I149" s="5"/>
      <c r="J149" s="16" t="s">
        <v>1854</v>
      </c>
      <c r="K149" s="5" t="s">
        <v>2356</v>
      </c>
      <c r="L149" s="5" t="s">
        <v>2357</v>
      </c>
      <c r="M149" s="5"/>
      <c r="N149" s="5" t="s">
        <v>811</v>
      </c>
    </row>
    <row r="150" spans="1:14">
      <c r="A150" s="5" t="s">
        <v>279</v>
      </c>
      <c r="B150" s="5" t="s">
        <v>517</v>
      </c>
      <c r="C150" s="5" t="s">
        <v>518</v>
      </c>
      <c r="D150" s="5" t="s">
        <v>528</v>
      </c>
      <c r="E150" s="5" t="s">
        <v>2358</v>
      </c>
      <c r="F150" s="5" t="s">
        <v>2359</v>
      </c>
      <c r="G150" s="5" t="s">
        <v>1852</v>
      </c>
      <c r="H150" s="5" t="s">
        <v>2285</v>
      </c>
      <c r="I150" s="5"/>
      <c r="J150" s="16" t="s">
        <v>1854</v>
      </c>
      <c r="K150" s="5" t="s">
        <v>2360</v>
      </c>
      <c r="L150" s="5" t="s">
        <v>2361</v>
      </c>
      <c r="M150" s="5"/>
      <c r="N150" s="5" t="s">
        <v>811</v>
      </c>
    </row>
    <row r="151" spans="1:14">
      <c r="A151" s="5" t="s">
        <v>279</v>
      </c>
      <c r="B151" s="5" t="s">
        <v>517</v>
      </c>
      <c r="C151" s="5" t="s">
        <v>518</v>
      </c>
      <c r="D151" s="5" t="s">
        <v>528</v>
      </c>
      <c r="E151" s="5" t="s">
        <v>2362</v>
      </c>
      <c r="F151" s="5" t="s">
        <v>2363</v>
      </c>
      <c r="G151" s="5" t="s">
        <v>1922</v>
      </c>
      <c r="H151" s="5" t="s">
        <v>2285</v>
      </c>
      <c r="I151" s="5"/>
      <c r="J151" s="16" t="s">
        <v>1854</v>
      </c>
      <c r="K151" s="5" t="s">
        <v>2364</v>
      </c>
      <c r="L151" s="5"/>
      <c r="M151" s="5"/>
      <c r="N151" s="5" t="s">
        <v>811</v>
      </c>
    </row>
    <row r="152" spans="1:14">
      <c r="A152" s="5" t="s">
        <v>279</v>
      </c>
      <c r="B152" s="5" t="s">
        <v>517</v>
      </c>
      <c r="C152" s="5" t="s">
        <v>518</v>
      </c>
      <c r="D152" s="5" t="s">
        <v>528</v>
      </c>
      <c r="E152" s="5" t="s">
        <v>2365</v>
      </c>
      <c r="F152" s="5" t="s">
        <v>2366</v>
      </c>
      <c r="G152" s="5" t="s">
        <v>2160</v>
      </c>
      <c r="H152" s="5" t="s">
        <v>2146</v>
      </c>
      <c r="I152" s="5"/>
      <c r="J152" s="16" t="s">
        <v>1854</v>
      </c>
      <c r="K152" s="5" t="s">
        <v>2367</v>
      </c>
      <c r="L152" s="5" t="s">
        <v>2368</v>
      </c>
      <c r="M152" s="5"/>
      <c r="N152" s="5" t="s">
        <v>811</v>
      </c>
    </row>
    <row r="153" spans="1:14">
      <c r="A153" s="5" t="s">
        <v>279</v>
      </c>
      <c r="B153" s="5" t="s">
        <v>517</v>
      </c>
      <c r="C153" s="5" t="s">
        <v>518</v>
      </c>
      <c r="D153" s="5" t="s">
        <v>528</v>
      </c>
      <c r="E153" s="5" t="s">
        <v>2369</v>
      </c>
      <c r="F153" s="5" t="s">
        <v>2370</v>
      </c>
      <c r="G153" s="5" t="s">
        <v>2294</v>
      </c>
      <c r="H153" s="5" t="s">
        <v>2146</v>
      </c>
      <c r="I153" s="5"/>
      <c r="J153" s="16" t="s">
        <v>1854</v>
      </c>
      <c r="K153" s="5" t="s">
        <v>2371</v>
      </c>
      <c r="L153" s="5" t="s">
        <v>2372</v>
      </c>
      <c r="M153" s="5"/>
      <c r="N153" s="5" t="s">
        <v>811</v>
      </c>
    </row>
    <row r="154" spans="1:14">
      <c r="A154" s="5" t="s">
        <v>279</v>
      </c>
      <c r="B154" s="5" t="s">
        <v>517</v>
      </c>
      <c r="C154" s="5" t="s">
        <v>518</v>
      </c>
      <c r="D154" s="5" t="s">
        <v>528</v>
      </c>
      <c r="E154" s="5" t="s">
        <v>2373</v>
      </c>
      <c r="F154" s="5" t="s">
        <v>532</v>
      </c>
      <c r="G154" s="5" t="s">
        <v>2239</v>
      </c>
      <c r="H154" s="5" t="s">
        <v>2334</v>
      </c>
      <c r="I154" s="5"/>
      <c r="J154" s="16" t="s">
        <v>1854</v>
      </c>
      <c r="K154" s="5" t="s">
        <v>2374</v>
      </c>
      <c r="L154" s="5" t="s">
        <v>2375</v>
      </c>
      <c r="M154" s="5" t="s">
        <v>2376</v>
      </c>
      <c r="N154" s="5" t="s">
        <v>811</v>
      </c>
    </row>
    <row r="155" spans="1:14">
      <c r="A155" s="5" t="s">
        <v>279</v>
      </c>
      <c r="B155" s="5" t="s">
        <v>517</v>
      </c>
      <c r="C155" s="5" t="s">
        <v>518</v>
      </c>
      <c r="D155" s="5" t="s">
        <v>528</v>
      </c>
      <c r="E155" s="5" t="s">
        <v>2377</v>
      </c>
      <c r="F155" s="5" t="s">
        <v>2378</v>
      </c>
      <c r="G155" s="5" t="s">
        <v>2269</v>
      </c>
      <c r="H155" s="5" t="s">
        <v>2146</v>
      </c>
      <c r="I155" s="5"/>
      <c r="J155" s="16" t="s">
        <v>1854</v>
      </c>
      <c r="K155" s="5" t="s">
        <v>2379</v>
      </c>
      <c r="L155" s="5"/>
      <c r="M155" s="5"/>
      <c r="N155" s="5" t="s">
        <v>811</v>
      </c>
    </row>
    <row r="156" spans="1:14">
      <c r="A156" s="5" t="s">
        <v>279</v>
      </c>
      <c r="B156" s="5" t="s">
        <v>517</v>
      </c>
      <c r="C156" s="5" t="s">
        <v>518</v>
      </c>
      <c r="D156" s="5" t="s">
        <v>528</v>
      </c>
      <c r="E156" s="5" t="s">
        <v>2380</v>
      </c>
      <c r="F156" s="5" t="s">
        <v>2347</v>
      </c>
      <c r="G156" s="5" t="s">
        <v>2269</v>
      </c>
      <c r="H156" s="5" t="s">
        <v>2276</v>
      </c>
      <c r="I156" s="5"/>
      <c r="J156" s="16" t="s">
        <v>1854</v>
      </c>
      <c r="K156" s="5" t="s">
        <v>2381</v>
      </c>
      <c r="L156" s="5"/>
      <c r="M156" s="5"/>
      <c r="N156" s="5" t="s">
        <v>811</v>
      </c>
    </row>
    <row r="157" spans="1:14">
      <c r="A157" s="5" t="s">
        <v>279</v>
      </c>
      <c r="B157" s="5" t="s">
        <v>554</v>
      </c>
      <c r="C157" s="5" t="s">
        <v>555</v>
      </c>
      <c r="D157" s="5" t="s">
        <v>564</v>
      </c>
      <c r="E157" s="5" t="s">
        <v>2382</v>
      </c>
      <c r="F157" s="5" t="s">
        <v>577</v>
      </c>
      <c r="G157" s="5" t="s">
        <v>2269</v>
      </c>
      <c r="H157" s="5" t="s">
        <v>1853</v>
      </c>
      <c r="I157" s="5"/>
      <c r="J157" s="16" t="s">
        <v>1854</v>
      </c>
      <c r="K157" s="5" t="s">
        <v>2383</v>
      </c>
      <c r="L157" s="5" t="s">
        <v>2384</v>
      </c>
      <c r="M157" s="5" t="s">
        <v>576</v>
      </c>
      <c r="N157" s="5" t="s">
        <v>811</v>
      </c>
    </row>
    <row r="158" spans="1:14">
      <c r="A158" s="5" t="s">
        <v>279</v>
      </c>
      <c r="B158" s="5" t="s">
        <v>554</v>
      </c>
      <c r="C158" s="5" t="s">
        <v>555</v>
      </c>
      <c r="D158" s="5" t="s">
        <v>564</v>
      </c>
      <c r="E158" s="5" t="s">
        <v>2385</v>
      </c>
      <c r="F158" s="5" t="s">
        <v>2111</v>
      </c>
      <c r="G158" s="5" t="s">
        <v>1922</v>
      </c>
      <c r="H158" s="5" t="s">
        <v>1853</v>
      </c>
      <c r="I158" s="5"/>
      <c r="J158" s="16" t="s">
        <v>1854</v>
      </c>
      <c r="K158" s="5" t="s">
        <v>2386</v>
      </c>
      <c r="L158" s="5"/>
      <c r="M158" s="5"/>
      <c r="N158" s="5" t="s">
        <v>811</v>
      </c>
    </row>
    <row r="159" spans="1:14">
      <c r="A159" s="5" t="s">
        <v>279</v>
      </c>
      <c r="B159" s="5" t="s">
        <v>554</v>
      </c>
      <c r="C159" s="5" t="s">
        <v>555</v>
      </c>
      <c r="D159" s="5" t="s">
        <v>564</v>
      </c>
      <c r="E159" s="5" t="s">
        <v>2387</v>
      </c>
      <c r="F159" s="5" t="s">
        <v>556</v>
      </c>
      <c r="G159" s="5" t="s">
        <v>2114</v>
      </c>
      <c r="H159" s="5" t="s">
        <v>2285</v>
      </c>
      <c r="I159" s="5"/>
      <c r="J159" s="17" t="s">
        <v>1858</v>
      </c>
      <c r="K159" s="5" t="s">
        <v>2388</v>
      </c>
      <c r="L159" s="5" t="s">
        <v>2287</v>
      </c>
      <c r="M159" s="5" t="s">
        <v>552</v>
      </c>
      <c r="N159" s="5" t="s">
        <v>811</v>
      </c>
    </row>
    <row r="160" spans="1:14">
      <c r="A160" s="5" t="s">
        <v>279</v>
      </c>
      <c r="B160" s="5" t="s">
        <v>554</v>
      </c>
      <c r="C160" s="5" t="s">
        <v>555</v>
      </c>
      <c r="D160" s="5" t="s">
        <v>564</v>
      </c>
      <c r="E160" s="5" t="s">
        <v>2389</v>
      </c>
      <c r="F160" s="5" t="s">
        <v>2390</v>
      </c>
      <c r="G160" s="5" t="s">
        <v>1852</v>
      </c>
      <c r="H160" s="5" t="s">
        <v>2285</v>
      </c>
      <c r="I160" s="5"/>
      <c r="J160" s="16" t="s">
        <v>1854</v>
      </c>
      <c r="K160" s="5" t="s">
        <v>2391</v>
      </c>
      <c r="L160" s="5"/>
      <c r="M160" s="5"/>
      <c r="N160" s="5" t="s">
        <v>811</v>
      </c>
    </row>
    <row r="161" spans="1:14">
      <c r="A161" s="5" t="s">
        <v>279</v>
      </c>
      <c r="B161" s="5" t="s">
        <v>554</v>
      </c>
      <c r="C161" s="5" t="s">
        <v>555</v>
      </c>
      <c r="D161" s="5" t="s">
        <v>564</v>
      </c>
      <c r="E161" s="5" t="s">
        <v>2392</v>
      </c>
      <c r="F161" s="5" t="s">
        <v>2393</v>
      </c>
      <c r="G161" s="5" t="s">
        <v>2227</v>
      </c>
      <c r="H161" s="5" t="s">
        <v>2285</v>
      </c>
      <c r="I161" s="5"/>
      <c r="J161" s="16" t="s">
        <v>1854</v>
      </c>
      <c r="K161" s="5" t="s">
        <v>2394</v>
      </c>
      <c r="L161" s="5"/>
      <c r="M161" s="5"/>
      <c r="N161" s="5" t="s">
        <v>811</v>
      </c>
    </row>
    <row r="162" spans="1:14">
      <c r="A162" s="5" t="s">
        <v>279</v>
      </c>
      <c r="B162" s="5" t="s">
        <v>554</v>
      </c>
      <c r="C162" s="5" t="s">
        <v>555</v>
      </c>
      <c r="D162" s="5" t="s">
        <v>564</v>
      </c>
      <c r="E162" s="5" t="s">
        <v>2395</v>
      </c>
      <c r="F162" s="5" t="s">
        <v>2396</v>
      </c>
      <c r="G162" s="5" t="s">
        <v>1922</v>
      </c>
      <c r="H162" s="5" t="s">
        <v>2285</v>
      </c>
      <c r="I162" s="5"/>
      <c r="J162" s="16" t="s">
        <v>1854</v>
      </c>
      <c r="K162" s="5" t="s">
        <v>2397</v>
      </c>
      <c r="L162" s="5"/>
      <c r="M162" s="5"/>
      <c r="N162" s="5" t="s">
        <v>811</v>
      </c>
    </row>
    <row r="163" spans="1:14">
      <c r="A163" s="5" t="s">
        <v>279</v>
      </c>
      <c r="B163" s="5" t="s">
        <v>554</v>
      </c>
      <c r="C163" s="5" t="s">
        <v>555</v>
      </c>
      <c r="D163" s="5" t="s">
        <v>564</v>
      </c>
      <c r="E163" s="5" t="s">
        <v>2398</v>
      </c>
      <c r="F163" s="5" t="s">
        <v>2399</v>
      </c>
      <c r="G163" s="5" t="s">
        <v>2160</v>
      </c>
      <c r="H163" s="5" t="s">
        <v>2146</v>
      </c>
      <c r="I163" s="5"/>
      <c r="J163" s="16" t="s">
        <v>1854</v>
      </c>
      <c r="K163" s="5" t="s">
        <v>2400</v>
      </c>
      <c r="L163" s="5"/>
      <c r="M163" s="5"/>
      <c r="N163" s="5" t="s">
        <v>811</v>
      </c>
    </row>
    <row r="164" spans="1:14">
      <c r="A164" s="5" t="s">
        <v>279</v>
      </c>
      <c r="B164" s="5" t="s">
        <v>554</v>
      </c>
      <c r="C164" s="5" t="s">
        <v>555</v>
      </c>
      <c r="D164" s="5" t="s">
        <v>564</v>
      </c>
      <c r="E164" s="5" t="s">
        <v>2401</v>
      </c>
      <c r="F164" s="5" t="s">
        <v>2402</v>
      </c>
      <c r="G164" s="5" t="s">
        <v>1922</v>
      </c>
      <c r="H164" s="5" t="s">
        <v>2146</v>
      </c>
      <c r="I164" s="5"/>
      <c r="J164" s="16" t="s">
        <v>1854</v>
      </c>
      <c r="K164" s="5" t="s">
        <v>2403</v>
      </c>
      <c r="L164" s="5" t="s">
        <v>2404</v>
      </c>
      <c r="M164" s="5"/>
      <c r="N164" s="5" t="s">
        <v>811</v>
      </c>
    </row>
    <row r="165" spans="1:14">
      <c r="A165" s="5" t="s">
        <v>279</v>
      </c>
      <c r="B165" s="5" t="s">
        <v>554</v>
      </c>
      <c r="C165" s="5" t="s">
        <v>555</v>
      </c>
      <c r="D165" s="5" t="s">
        <v>564</v>
      </c>
      <c r="E165" s="5" t="s">
        <v>2405</v>
      </c>
      <c r="F165" s="5" t="s">
        <v>2406</v>
      </c>
      <c r="G165" s="5" t="s">
        <v>1922</v>
      </c>
      <c r="H165" s="5" t="s">
        <v>2146</v>
      </c>
      <c r="I165" s="5"/>
      <c r="J165" s="16" t="s">
        <v>1854</v>
      </c>
      <c r="K165" s="5" t="s">
        <v>2407</v>
      </c>
      <c r="L165" s="5" t="s">
        <v>2408</v>
      </c>
      <c r="M165" s="5"/>
      <c r="N165" s="5" t="s">
        <v>811</v>
      </c>
    </row>
    <row r="166" spans="1:14">
      <c r="A166" s="5" t="s">
        <v>279</v>
      </c>
      <c r="B166" s="5" t="s">
        <v>554</v>
      </c>
      <c r="C166" s="5" t="s">
        <v>555</v>
      </c>
      <c r="D166" s="5" t="s">
        <v>564</v>
      </c>
      <c r="E166" s="5" t="s">
        <v>2409</v>
      </c>
      <c r="F166" s="5" t="s">
        <v>2410</v>
      </c>
      <c r="G166" s="5" t="s">
        <v>1852</v>
      </c>
      <c r="H166" s="5" t="s">
        <v>2146</v>
      </c>
      <c r="I166" s="5"/>
      <c r="J166" s="19" t="s">
        <v>2411</v>
      </c>
      <c r="K166" s="5" t="s">
        <v>2412</v>
      </c>
      <c r="L166" s="5" t="s">
        <v>2413</v>
      </c>
      <c r="M166" s="5"/>
      <c r="N166" s="5" t="s">
        <v>811</v>
      </c>
    </row>
    <row r="167" spans="1:14">
      <c r="A167" s="5" t="s">
        <v>279</v>
      </c>
      <c r="B167" s="5" t="s">
        <v>554</v>
      </c>
      <c r="C167" s="5" t="s">
        <v>555</v>
      </c>
      <c r="D167" s="5" t="s">
        <v>564</v>
      </c>
      <c r="E167" s="5" t="s">
        <v>2414</v>
      </c>
      <c r="F167" s="5" t="s">
        <v>2415</v>
      </c>
      <c r="G167" s="5" t="s">
        <v>1922</v>
      </c>
      <c r="H167" s="5" t="s">
        <v>2146</v>
      </c>
      <c r="I167" s="5"/>
      <c r="J167" s="19" t="s">
        <v>2411</v>
      </c>
      <c r="K167" s="5" t="s">
        <v>2416</v>
      </c>
      <c r="L167" s="5" t="s">
        <v>2417</v>
      </c>
      <c r="M167" s="5"/>
      <c r="N167" s="5" t="s">
        <v>811</v>
      </c>
    </row>
    <row r="168" spans="1:14">
      <c r="A168" s="5" t="s">
        <v>279</v>
      </c>
      <c r="B168" s="5" t="s">
        <v>554</v>
      </c>
      <c r="C168" s="5" t="s">
        <v>555</v>
      </c>
      <c r="D168" s="5" t="s">
        <v>564</v>
      </c>
      <c r="E168" s="5" t="s">
        <v>2418</v>
      </c>
      <c r="F168" s="5" t="s">
        <v>598</v>
      </c>
      <c r="G168" s="5" t="s">
        <v>1922</v>
      </c>
      <c r="H168" s="5" t="s">
        <v>2146</v>
      </c>
      <c r="I168" s="5"/>
      <c r="J168" s="16" t="s">
        <v>1854</v>
      </c>
      <c r="K168" s="5" t="s">
        <v>2419</v>
      </c>
      <c r="L168" s="5" t="s">
        <v>2420</v>
      </c>
      <c r="M168" s="5" t="s">
        <v>596</v>
      </c>
      <c r="N168" s="5" t="s">
        <v>811</v>
      </c>
    </row>
    <row r="169" spans="1:14">
      <c r="A169" s="5" t="s">
        <v>279</v>
      </c>
      <c r="B169" s="5" t="s">
        <v>554</v>
      </c>
      <c r="C169" s="5" t="s">
        <v>555</v>
      </c>
      <c r="D169" s="5" t="s">
        <v>564</v>
      </c>
      <c r="E169" s="5" t="s">
        <v>2421</v>
      </c>
      <c r="F169" s="5" t="s">
        <v>2422</v>
      </c>
      <c r="G169" s="5" t="s">
        <v>1922</v>
      </c>
      <c r="H169" s="5" t="s">
        <v>2146</v>
      </c>
      <c r="I169" s="5"/>
      <c r="J169" s="16" t="s">
        <v>1854</v>
      </c>
      <c r="K169" s="5" t="s">
        <v>2423</v>
      </c>
      <c r="L169" s="5" t="s">
        <v>2424</v>
      </c>
      <c r="M169" s="5"/>
      <c r="N169" s="5" t="s">
        <v>811</v>
      </c>
    </row>
    <row r="170" spans="1:14">
      <c r="A170" s="5" t="s">
        <v>279</v>
      </c>
      <c r="B170" s="5" t="s">
        <v>554</v>
      </c>
      <c r="C170" s="5" t="s">
        <v>555</v>
      </c>
      <c r="D170" s="5" t="s">
        <v>564</v>
      </c>
      <c r="E170" s="5" t="s">
        <v>2425</v>
      </c>
      <c r="F170" s="5" t="s">
        <v>2426</v>
      </c>
      <c r="G170" s="5" t="s">
        <v>2269</v>
      </c>
      <c r="H170" s="5" t="s">
        <v>2146</v>
      </c>
      <c r="I170" s="5"/>
      <c r="J170" s="16" t="s">
        <v>1854</v>
      </c>
      <c r="K170" s="5" t="s">
        <v>2427</v>
      </c>
      <c r="L170" s="5"/>
      <c r="M170" s="5"/>
      <c r="N170" s="5" t="s">
        <v>811</v>
      </c>
    </row>
    <row r="171" spans="1:14">
      <c r="A171" s="5" t="s">
        <v>279</v>
      </c>
      <c r="B171" s="5" t="s">
        <v>554</v>
      </c>
      <c r="C171" s="5" t="s">
        <v>555</v>
      </c>
      <c r="D171" s="5" t="s">
        <v>564</v>
      </c>
      <c r="E171" s="5" t="s">
        <v>2428</v>
      </c>
      <c r="F171" s="5" t="s">
        <v>609</v>
      </c>
      <c r="G171" s="5" t="s">
        <v>2269</v>
      </c>
      <c r="H171" s="5" t="s">
        <v>2276</v>
      </c>
      <c r="I171" s="5"/>
      <c r="J171" s="16" t="s">
        <v>1854</v>
      </c>
      <c r="K171" s="5" t="s">
        <v>2429</v>
      </c>
      <c r="L171" s="5" t="s">
        <v>2430</v>
      </c>
      <c r="M171" s="5" t="s">
        <v>2431</v>
      </c>
      <c r="N171" s="5" t="s">
        <v>811</v>
      </c>
    </row>
    <row r="172" spans="1:14">
      <c r="A172" s="5" t="s">
        <v>279</v>
      </c>
      <c r="B172" s="5" t="s">
        <v>554</v>
      </c>
      <c r="C172" s="5" t="s">
        <v>555</v>
      </c>
      <c r="D172" s="5" t="s">
        <v>564</v>
      </c>
      <c r="E172" s="5" t="s">
        <v>2432</v>
      </c>
      <c r="F172" s="5" t="s">
        <v>567</v>
      </c>
      <c r="G172" s="5" t="s">
        <v>2239</v>
      </c>
      <c r="H172" s="5" t="s">
        <v>2334</v>
      </c>
      <c r="I172" s="5"/>
      <c r="J172" s="17" t="s">
        <v>1858</v>
      </c>
      <c r="K172" s="5" t="s">
        <v>2433</v>
      </c>
      <c r="L172" s="5" t="s">
        <v>2434</v>
      </c>
      <c r="M172" s="5" t="s">
        <v>2435</v>
      </c>
      <c r="N172" s="5" t="s">
        <v>1654</v>
      </c>
    </row>
    <row r="173" spans="1:14">
      <c r="A173" s="5" t="s">
        <v>279</v>
      </c>
      <c r="B173" s="5" t="s">
        <v>554</v>
      </c>
      <c r="C173" s="5" t="s">
        <v>555</v>
      </c>
      <c r="D173" s="5" t="s">
        <v>564</v>
      </c>
      <c r="E173" s="5" t="s">
        <v>2436</v>
      </c>
      <c r="F173" s="5" t="s">
        <v>2347</v>
      </c>
      <c r="G173" s="5" t="s">
        <v>2269</v>
      </c>
      <c r="H173" s="5" t="s">
        <v>2276</v>
      </c>
      <c r="I173" s="5"/>
      <c r="J173" s="17" t="s">
        <v>1858</v>
      </c>
      <c r="K173" s="5" t="s">
        <v>2437</v>
      </c>
      <c r="L173" s="5" t="s">
        <v>2438</v>
      </c>
      <c r="M173" s="5"/>
      <c r="N173" s="5" t="s">
        <v>811</v>
      </c>
    </row>
    <row r="174" spans="1:14">
      <c r="A174" s="5" t="s">
        <v>279</v>
      </c>
      <c r="B174" s="5" t="s">
        <v>2439</v>
      </c>
      <c r="C174" s="5" t="s">
        <v>2440</v>
      </c>
      <c r="D174" s="5" t="s">
        <v>2441</v>
      </c>
      <c r="E174" s="5" t="s">
        <v>2442</v>
      </c>
      <c r="F174" s="5" t="s">
        <v>577</v>
      </c>
      <c r="G174" s="5" t="s">
        <v>2269</v>
      </c>
      <c r="H174" s="5" t="s">
        <v>1853</v>
      </c>
      <c r="I174" s="5"/>
      <c r="J174" s="16" t="s">
        <v>1854</v>
      </c>
      <c r="K174" s="5" t="s">
        <v>2443</v>
      </c>
      <c r="L174" s="5"/>
      <c r="M174" s="5"/>
      <c r="N174" s="5" t="s">
        <v>811</v>
      </c>
    </row>
    <row r="175" spans="1:14">
      <c r="A175" s="5" t="s">
        <v>279</v>
      </c>
      <c r="B175" s="5" t="s">
        <v>2439</v>
      </c>
      <c r="C175" s="5" t="s">
        <v>2440</v>
      </c>
      <c r="D175" s="5" t="s">
        <v>2441</v>
      </c>
      <c r="E175" s="5" t="s">
        <v>2444</v>
      </c>
      <c r="F175" s="5" t="s">
        <v>2111</v>
      </c>
      <c r="G175" s="5" t="s">
        <v>1922</v>
      </c>
      <c r="H175" s="5" t="s">
        <v>1853</v>
      </c>
      <c r="I175" s="5"/>
      <c r="J175" s="16" t="s">
        <v>1854</v>
      </c>
      <c r="K175" s="5" t="s">
        <v>2445</v>
      </c>
      <c r="L175" s="5"/>
      <c r="M175" s="5"/>
      <c r="N175" s="5" t="s">
        <v>811</v>
      </c>
    </row>
    <row r="176" spans="1:14">
      <c r="A176" s="5" t="s">
        <v>279</v>
      </c>
      <c r="B176" s="5" t="s">
        <v>2439</v>
      </c>
      <c r="C176" s="5" t="s">
        <v>2440</v>
      </c>
      <c r="D176" s="5" t="s">
        <v>2441</v>
      </c>
      <c r="E176" s="5" t="s">
        <v>2446</v>
      </c>
      <c r="F176" s="5" t="s">
        <v>2447</v>
      </c>
      <c r="G176" s="5" t="s">
        <v>2160</v>
      </c>
      <c r="H176" s="5" t="s">
        <v>2146</v>
      </c>
      <c r="I176" s="5"/>
      <c r="J176" s="16" t="s">
        <v>1854</v>
      </c>
      <c r="K176" s="5" t="s">
        <v>2448</v>
      </c>
      <c r="L176" s="5"/>
      <c r="M176" s="5"/>
      <c r="N176" s="5" t="s">
        <v>811</v>
      </c>
    </row>
    <row r="177" spans="1:14">
      <c r="A177" s="5" t="s">
        <v>279</v>
      </c>
      <c r="B177" s="5" t="s">
        <v>2439</v>
      </c>
      <c r="C177" s="5" t="s">
        <v>2440</v>
      </c>
      <c r="D177" s="5" t="s">
        <v>2441</v>
      </c>
      <c r="E177" s="5" t="s">
        <v>2449</v>
      </c>
      <c r="F177" s="5" t="s">
        <v>2450</v>
      </c>
      <c r="G177" s="5" t="s">
        <v>2269</v>
      </c>
      <c r="H177" s="5" t="s">
        <v>2276</v>
      </c>
      <c r="I177" s="5"/>
      <c r="J177" s="16" t="s">
        <v>1854</v>
      </c>
      <c r="K177" s="5" t="s">
        <v>2451</v>
      </c>
      <c r="L177" s="5"/>
      <c r="M177" s="5"/>
      <c r="N177" s="5" t="s">
        <v>811</v>
      </c>
    </row>
    <row r="178" spans="1:14">
      <c r="A178" s="5" t="s">
        <v>279</v>
      </c>
      <c r="B178" s="5" t="s">
        <v>2439</v>
      </c>
      <c r="C178" s="5" t="s">
        <v>2440</v>
      </c>
      <c r="D178" s="5" t="s">
        <v>2441</v>
      </c>
      <c r="E178" s="5" t="s">
        <v>2452</v>
      </c>
      <c r="F178" s="5" t="s">
        <v>2453</v>
      </c>
      <c r="G178" s="5" t="s">
        <v>2269</v>
      </c>
      <c r="H178" s="5" t="s">
        <v>2276</v>
      </c>
      <c r="I178" s="5"/>
      <c r="J178" s="16" t="s">
        <v>1854</v>
      </c>
      <c r="K178" s="5" t="s">
        <v>2454</v>
      </c>
      <c r="L178" s="5"/>
      <c r="M178" s="5"/>
      <c r="N178" s="5" t="s">
        <v>811</v>
      </c>
    </row>
    <row r="179" spans="1:14">
      <c r="A179" s="5" t="s">
        <v>279</v>
      </c>
      <c r="B179" s="5" t="s">
        <v>2455</v>
      </c>
      <c r="C179" s="5" t="s">
        <v>2456</v>
      </c>
      <c r="D179" s="5" t="s">
        <v>2457</v>
      </c>
      <c r="E179" s="5" t="s">
        <v>2458</v>
      </c>
      <c r="F179" s="5" t="s">
        <v>577</v>
      </c>
      <c r="G179" s="5" t="s">
        <v>2269</v>
      </c>
      <c r="H179" s="5" t="s">
        <v>1853</v>
      </c>
      <c r="I179" s="5"/>
      <c r="J179" s="16" t="s">
        <v>1854</v>
      </c>
      <c r="K179" s="5" t="s">
        <v>2459</v>
      </c>
      <c r="L179" s="5"/>
      <c r="M179" s="5"/>
      <c r="N179" s="5" t="s">
        <v>811</v>
      </c>
    </row>
    <row r="180" spans="1:14">
      <c r="A180" s="5" t="s">
        <v>279</v>
      </c>
      <c r="B180" s="5" t="s">
        <v>2455</v>
      </c>
      <c r="C180" s="5" t="s">
        <v>2456</v>
      </c>
      <c r="D180" s="5" t="s">
        <v>2457</v>
      </c>
      <c r="E180" s="5" t="s">
        <v>2460</v>
      </c>
      <c r="F180" s="5" t="s">
        <v>2461</v>
      </c>
      <c r="G180" s="5" t="s">
        <v>2184</v>
      </c>
      <c r="H180" s="5" t="s">
        <v>2462</v>
      </c>
      <c r="I180" s="5"/>
      <c r="J180" s="16" t="s">
        <v>1854</v>
      </c>
      <c r="K180" s="5" t="s">
        <v>2463</v>
      </c>
      <c r="L180" s="5"/>
      <c r="M180" s="5"/>
      <c r="N180" s="5" t="s">
        <v>811</v>
      </c>
    </row>
    <row r="181" spans="1:14">
      <c r="A181" s="5" t="s">
        <v>279</v>
      </c>
      <c r="B181" s="5" t="s">
        <v>2455</v>
      </c>
      <c r="C181" s="5" t="s">
        <v>2456</v>
      </c>
      <c r="D181" s="5" t="s">
        <v>2457</v>
      </c>
      <c r="E181" s="5" t="s">
        <v>2464</v>
      </c>
      <c r="F181" s="5" t="s">
        <v>2465</v>
      </c>
      <c r="G181" s="5" t="s">
        <v>2114</v>
      </c>
      <c r="H181" s="5" t="s">
        <v>2462</v>
      </c>
      <c r="I181" s="5"/>
      <c r="J181" s="16" t="s">
        <v>1854</v>
      </c>
      <c r="K181" s="5" t="s">
        <v>2466</v>
      </c>
      <c r="L181" s="5" t="s">
        <v>2467</v>
      </c>
      <c r="M181" s="5"/>
      <c r="N181" s="5" t="s">
        <v>811</v>
      </c>
    </row>
    <row r="182" spans="1:14">
      <c r="A182" s="5" t="s">
        <v>279</v>
      </c>
      <c r="B182" s="5" t="s">
        <v>2455</v>
      </c>
      <c r="C182" s="5" t="s">
        <v>2456</v>
      </c>
      <c r="D182" s="5" t="s">
        <v>2457</v>
      </c>
      <c r="E182" s="5" t="s">
        <v>2468</v>
      </c>
      <c r="F182" s="5" t="s">
        <v>2469</v>
      </c>
      <c r="G182" s="5" t="s">
        <v>2184</v>
      </c>
      <c r="H182" s="5" t="s">
        <v>2276</v>
      </c>
      <c r="I182" s="5"/>
      <c r="J182" s="16" t="s">
        <v>1854</v>
      </c>
      <c r="K182" s="5" t="s">
        <v>2470</v>
      </c>
      <c r="L182" s="5"/>
      <c r="M182" s="5"/>
      <c r="N182" s="5" t="s">
        <v>811</v>
      </c>
    </row>
    <row r="183" spans="1:14">
      <c r="A183" s="5" t="s">
        <v>279</v>
      </c>
      <c r="B183" s="5" t="s">
        <v>2455</v>
      </c>
      <c r="C183" s="5" t="s">
        <v>2456</v>
      </c>
      <c r="D183" s="5" t="s">
        <v>2457</v>
      </c>
      <c r="E183" s="5" t="s">
        <v>2471</v>
      </c>
      <c r="F183" s="5" t="s">
        <v>2472</v>
      </c>
      <c r="G183" s="5" t="s">
        <v>2269</v>
      </c>
      <c r="H183" s="5" t="s">
        <v>2276</v>
      </c>
      <c r="I183" s="5"/>
      <c r="J183" s="16" t="s">
        <v>1854</v>
      </c>
      <c r="K183" s="5" t="s">
        <v>2473</v>
      </c>
      <c r="L183" s="5"/>
      <c r="M183" s="5"/>
      <c r="N183" s="5" t="s">
        <v>811</v>
      </c>
    </row>
    <row r="184" spans="1:14">
      <c r="A184" s="5" t="s">
        <v>279</v>
      </c>
      <c r="B184" s="5" t="s">
        <v>554</v>
      </c>
      <c r="C184" s="5" t="s">
        <v>555</v>
      </c>
      <c r="D184" s="5" t="s">
        <v>564</v>
      </c>
      <c r="E184" s="5" t="s">
        <v>2474</v>
      </c>
      <c r="F184" s="5" t="s">
        <v>2475</v>
      </c>
      <c r="G184" s="5" t="s">
        <v>2160</v>
      </c>
      <c r="H184" s="5" t="s">
        <v>2334</v>
      </c>
      <c r="I184" s="5"/>
      <c r="J184" s="16" t="s">
        <v>1854</v>
      </c>
      <c r="K184" s="5" t="s">
        <v>2476</v>
      </c>
      <c r="L184" s="5"/>
      <c r="M184" s="5"/>
      <c r="N184" s="5" t="s">
        <v>811</v>
      </c>
    </row>
    <row r="185" spans="1:14">
      <c r="A185" s="5" t="s">
        <v>279</v>
      </c>
      <c r="B185" s="5" t="s">
        <v>631</v>
      </c>
      <c r="C185" s="5" t="s">
        <v>632</v>
      </c>
      <c r="D185" s="5" t="s">
        <v>642</v>
      </c>
      <c r="E185" s="5" t="s">
        <v>2477</v>
      </c>
      <c r="F185" s="5" t="s">
        <v>577</v>
      </c>
      <c r="G185" s="5" t="s">
        <v>2269</v>
      </c>
      <c r="H185" s="5" t="s">
        <v>1853</v>
      </c>
      <c r="I185" s="5"/>
      <c r="J185" s="16" t="s">
        <v>1854</v>
      </c>
      <c r="K185" s="5" t="s">
        <v>2478</v>
      </c>
      <c r="L185" s="5"/>
      <c r="M185" s="5"/>
      <c r="N185" s="5" t="s">
        <v>811</v>
      </c>
    </row>
    <row r="186" spans="1:14">
      <c r="A186" s="5" t="s">
        <v>279</v>
      </c>
      <c r="B186" s="5" t="s">
        <v>631</v>
      </c>
      <c r="C186" s="5" t="s">
        <v>632</v>
      </c>
      <c r="D186" s="5" t="s">
        <v>642</v>
      </c>
      <c r="E186" s="5" t="s">
        <v>2479</v>
      </c>
      <c r="F186" s="5" t="s">
        <v>2111</v>
      </c>
      <c r="G186" s="5" t="s">
        <v>1922</v>
      </c>
      <c r="H186" s="5" t="s">
        <v>1853</v>
      </c>
      <c r="I186" s="5"/>
      <c r="J186" s="16" t="s">
        <v>1854</v>
      </c>
      <c r="K186" s="5" t="s">
        <v>2480</v>
      </c>
      <c r="L186" s="5"/>
      <c r="M186" s="5"/>
      <c r="N186" s="5" t="s">
        <v>811</v>
      </c>
    </row>
    <row r="187" spans="1:14">
      <c r="A187" s="5" t="s">
        <v>279</v>
      </c>
      <c r="B187" s="5" t="s">
        <v>631</v>
      </c>
      <c r="C187" s="5" t="s">
        <v>632</v>
      </c>
      <c r="D187" s="5" t="s">
        <v>642</v>
      </c>
      <c r="E187" s="5" t="s">
        <v>2481</v>
      </c>
      <c r="F187" s="5" t="s">
        <v>2482</v>
      </c>
      <c r="G187" s="5" t="s">
        <v>2269</v>
      </c>
      <c r="H187" s="5" t="s">
        <v>1853</v>
      </c>
      <c r="I187" s="5"/>
      <c r="J187" s="16" t="s">
        <v>1854</v>
      </c>
      <c r="K187" s="5" t="s">
        <v>2483</v>
      </c>
      <c r="L187" s="5"/>
      <c r="M187" s="5"/>
      <c r="N187" s="5" t="s">
        <v>811</v>
      </c>
    </row>
    <row r="188" spans="1:14">
      <c r="A188" s="5" t="s">
        <v>279</v>
      </c>
      <c r="B188" s="5" t="s">
        <v>631</v>
      </c>
      <c r="C188" s="5" t="s">
        <v>632</v>
      </c>
      <c r="D188" s="5" t="s">
        <v>642</v>
      </c>
      <c r="E188" s="5" t="s">
        <v>2484</v>
      </c>
      <c r="F188" s="5" t="s">
        <v>2485</v>
      </c>
      <c r="G188" s="5" t="s">
        <v>2114</v>
      </c>
      <c r="H188" s="5" t="s">
        <v>2285</v>
      </c>
      <c r="I188" s="5"/>
      <c r="J188" s="16" t="s">
        <v>1854</v>
      </c>
      <c r="K188" s="5" t="s">
        <v>2486</v>
      </c>
      <c r="L188" s="5"/>
      <c r="M188" s="5"/>
      <c r="N188" s="5" t="s">
        <v>811</v>
      </c>
    </row>
    <row r="189" spans="1:14">
      <c r="A189" s="5" t="s">
        <v>279</v>
      </c>
      <c r="B189" s="5" t="s">
        <v>631</v>
      </c>
      <c r="C189" s="5" t="s">
        <v>632</v>
      </c>
      <c r="D189" s="5" t="s">
        <v>642</v>
      </c>
      <c r="E189" s="5" t="s">
        <v>2487</v>
      </c>
      <c r="F189" s="5" t="s">
        <v>2119</v>
      </c>
      <c r="G189" s="5" t="s">
        <v>2294</v>
      </c>
      <c r="H189" s="5" t="s">
        <v>2285</v>
      </c>
      <c r="I189" s="5"/>
      <c r="J189" s="16" t="s">
        <v>1854</v>
      </c>
      <c r="K189" s="5" t="s">
        <v>2488</v>
      </c>
      <c r="L189" s="5"/>
      <c r="M189" s="5"/>
      <c r="N189" s="5" t="s">
        <v>811</v>
      </c>
    </row>
    <row r="190" spans="1:14">
      <c r="A190" s="5" t="s">
        <v>279</v>
      </c>
      <c r="B190" s="5" t="s">
        <v>631</v>
      </c>
      <c r="C190" s="5" t="s">
        <v>632</v>
      </c>
      <c r="D190" s="5" t="s">
        <v>642</v>
      </c>
      <c r="E190" s="5" t="s">
        <v>2489</v>
      </c>
      <c r="F190" s="5" t="s">
        <v>2293</v>
      </c>
      <c r="G190" s="5" t="s">
        <v>2294</v>
      </c>
      <c r="H190" s="5" t="s">
        <v>2285</v>
      </c>
      <c r="I190" s="5"/>
      <c r="J190" s="16" t="s">
        <v>1854</v>
      </c>
      <c r="K190" s="5" t="s">
        <v>2490</v>
      </c>
      <c r="L190" s="5"/>
      <c r="M190" s="5"/>
      <c r="N190" s="5" t="s">
        <v>811</v>
      </c>
    </row>
    <row r="191" spans="1:14">
      <c r="A191" s="5" t="s">
        <v>279</v>
      </c>
      <c r="B191" s="5" t="s">
        <v>631</v>
      </c>
      <c r="C191" s="5" t="s">
        <v>632</v>
      </c>
      <c r="D191" s="5" t="s">
        <v>642</v>
      </c>
      <c r="E191" s="5" t="s">
        <v>2491</v>
      </c>
      <c r="F191" s="5" t="s">
        <v>2126</v>
      </c>
      <c r="G191" s="5" t="s">
        <v>2294</v>
      </c>
      <c r="H191" s="5" t="s">
        <v>2285</v>
      </c>
      <c r="I191" s="5"/>
      <c r="J191" s="16" t="s">
        <v>1854</v>
      </c>
      <c r="K191" s="5" t="s">
        <v>2492</v>
      </c>
      <c r="L191" s="5"/>
      <c r="M191" s="5"/>
      <c r="N191" s="5" t="s">
        <v>811</v>
      </c>
    </row>
    <row r="192" spans="1:14">
      <c r="A192" s="5" t="s">
        <v>279</v>
      </c>
      <c r="B192" s="5" t="s">
        <v>631</v>
      </c>
      <c r="C192" s="5" t="s">
        <v>632</v>
      </c>
      <c r="D192" s="5" t="s">
        <v>642</v>
      </c>
      <c r="E192" s="5" t="s">
        <v>2493</v>
      </c>
      <c r="F192" s="5" t="s">
        <v>2494</v>
      </c>
      <c r="G192" s="5" t="s">
        <v>1922</v>
      </c>
      <c r="H192" s="5" t="s">
        <v>2285</v>
      </c>
      <c r="I192" s="5"/>
      <c r="J192" s="17" t="s">
        <v>1858</v>
      </c>
      <c r="K192" s="5" t="s">
        <v>2495</v>
      </c>
      <c r="L192" s="5" t="s">
        <v>2302</v>
      </c>
      <c r="M192" s="5"/>
      <c r="N192" s="5" t="s">
        <v>811</v>
      </c>
    </row>
    <row r="193" spans="1:14">
      <c r="A193" s="5" t="s">
        <v>279</v>
      </c>
      <c r="B193" s="5" t="s">
        <v>631</v>
      </c>
      <c r="C193" s="5" t="s">
        <v>632</v>
      </c>
      <c r="D193" s="5" t="s">
        <v>642</v>
      </c>
      <c r="E193" s="5" t="s">
        <v>2496</v>
      </c>
      <c r="F193" s="5" t="s">
        <v>987</v>
      </c>
      <c r="G193" s="5" t="s">
        <v>2239</v>
      </c>
      <c r="H193" s="5" t="s">
        <v>2285</v>
      </c>
      <c r="I193" s="5"/>
      <c r="J193" s="16" t="s">
        <v>1854</v>
      </c>
      <c r="K193" s="5" t="s">
        <v>2497</v>
      </c>
      <c r="L193" s="5" t="s">
        <v>2498</v>
      </c>
      <c r="M193" s="5" t="s">
        <v>986</v>
      </c>
      <c r="N193" s="5" t="s">
        <v>811</v>
      </c>
    </row>
    <row r="194" spans="1:14">
      <c r="A194" s="5" t="s">
        <v>279</v>
      </c>
      <c r="B194" s="5" t="s">
        <v>631</v>
      </c>
      <c r="C194" s="5" t="s">
        <v>632</v>
      </c>
      <c r="D194" s="5" t="s">
        <v>642</v>
      </c>
      <c r="E194" s="5" t="s">
        <v>2499</v>
      </c>
      <c r="F194" s="5" t="s">
        <v>2422</v>
      </c>
      <c r="G194" s="5" t="s">
        <v>1922</v>
      </c>
      <c r="H194" s="5" t="s">
        <v>2285</v>
      </c>
      <c r="I194" s="5"/>
      <c r="J194" s="16" t="s">
        <v>1854</v>
      </c>
      <c r="K194" s="5" t="s">
        <v>2500</v>
      </c>
      <c r="L194" s="5"/>
      <c r="M194" s="5"/>
      <c r="N194" s="5" t="s">
        <v>811</v>
      </c>
    </row>
    <row r="195" spans="1:14">
      <c r="A195" s="5" t="s">
        <v>279</v>
      </c>
      <c r="B195" s="5" t="s">
        <v>631</v>
      </c>
      <c r="C195" s="5" t="s">
        <v>632</v>
      </c>
      <c r="D195" s="5" t="s">
        <v>642</v>
      </c>
      <c r="E195" s="5" t="s">
        <v>2501</v>
      </c>
      <c r="F195" s="5" t="s">
        <v>2502</v>
      </c>
      <c r="G195" s="5" t="s">
        <v>2160</v>
      </c>
      <c r="H195" s="5" t="s">
        <v>2146</v>
      </c>
      <c r="I195" s="5"/>
      <c r="J195" s="16" t="s">
        <v>1854</v>
      </c>
      <c r="K195" s="5" t="s">
        <v>2503</v>
      </c>
      <c r="L195" s="5"/>
      <c r="M195" s="5"/>
      <c r="N195" s="5" t="s">
        <v>811</v>
      </c>
    </row>
    <row r="196" spans="1:14">
      <c r="A196" s="5" t="s">
        <v>279</v>
      </c>
      <c r="B196" s="5" t="s">
        <v>631</v>
      </c>
      <c r="C196" s="5" t="s">
        <v>632</v>
      </c>
      <c r="D196" s="5" t="s">
        <v>642</v>
      </c>
      <c r="E196" s="5" t="s">
        <v>2504</v>
      </c>
      <c r="F196" s="5" t="s">
        <v>2505</v>
      </c>
      <c r="G196" s="5" t="s">
        <v>1922</v>
      </c>
      <c r="H196" s="5" t="s">
        <v>2146</v>
      </c>
      <c r="I196" s="5"/>
      <c r="J196" s="16" t="s">
        <v>1854</v>
      </c>
      <c r="K196" s="5" t="s">
        <v>2506</v>
      </c>
      <c r="L196" s="5"/>
      <c r="M196" s="5"/>
      <c r="N196" s="5" t="s">
        <v>811</v>
      </c>
    </row>
    <row r="197" spans="1:14">
      <c r="A197" s="5" t="s">
        <v>279</v>
      </c>
      <c r="B197" s="5" t="s">
        <v>631</v>
      </c>
      <c r="C197" s="5" t="s">
        <v>632</v>
      </c>
      <c r="D197" s="5" t="s">
        <v>642</v>
      </c>
      <c r="E197" s="5" t="s">
        <v>2507</v>
      </c>
      <c r="F197" s="5" t="s">
        <v>2508</v>
      </c>
      <c r="G197" s="5" t="s">
        <v>1862</v>
      </c>
      <c r="H197" s="5" t="s">
        <v>2146</v>
      </c>
      <c r="I197" s="5"/>
      <c r="J197" s="16" t="s">
        <v>1854</v>
      </c>
      <c r="K197" s="5" t="s">
        <v>2509</v>
      </c>
      <c r="L197" s="5"/>
      <c r="M197" s="5"/>
      <c r="N197" s="5" t="s">
        <v>811</v>
      </c>
    </row>
    <row r="198" spans="1:14">
      <c r="A198" s="5" t="s">
        <v>279</v>
      </c>
      <c r="B198" s="5" t="s">
        <v>631</v>
      </c>
      <c r="C198" s="5" t="s">
        <v>632</v>
      </c>
      <c r="D198" s="5" t="s">
        <v>642</v>
      </c>
      <c r="E198" s="5" t="s">
        <v>2510</v>
      </c>
      <c r="F198" s="5" t="s">
        <v>2511</v>
      </c>
      <c r="G198" s="5" t="s">
        <v>2227</v>
      </c>
      <c r="H198" s="5" t="s">
        <v>2146</v>
      </c>
      <c r="I198" s="5"/>
      <c r="J198" s="16" t="s">
        <v>1854</v>
      </c>
      <c r="K198" s="5" t="s">
        <v>2512</v>
      </c>
      <c r="L198" s="5"/>
      <c r="M198" s="5"/>
      <c r="N198" s="5" t="s">
        <v>811</v>
      </c>
    </row>
    <row r="199" spans="1:14">
      <c r="A199" s="5" t="s">
        <v>279</v>
      </c>
      <c r="B199" s="5" t="s">
        <v>631</v>
      </c>
      <c r="C199" s="5" t="s">
        <v>632</v>
      </c>
      <c r="D199" s="5" t="s">
        <v>642</v>
      </c>
      <c r="E199" s="5" t="s">
        <v>2513</v>
      </c>
      <c r="F199" s="5" t="s">
        <v>2514</v>
      </c>
      <c r="G199" s="5" t="s">
        <v>1922</v>
      </c>
      <c r="H199" s="5" t="s">
        <v>2146</v>
      </c>
      <c r="I199" s="5"/>
      <c r="J199" s="16" t="s">
        <v>1854</v>
      </c>
      <c r="K199" s="5" t="s">
        <v>2515</v>
      </c>
      <c r="L199" s="5"/>
      <c r="M199" s="5"/>
      <c r="N199" s="5" t="s">
        <v>811</v>
      </c>
    </row>
    <row r="200" spans="1:14">
      <c r="A200" s="5" t="s">
        <v>279</v>
      </c>
      <c r="B200" s="5" t="s">
        <v>631</v>
      </c>
      <c r="C200" s="5" t="s">
        <v>632</v>
      </c>
      <c r="D200" s="5" t="s">
        <v>642</v>
      </c>
      <c r="E200" s="5" t="s">
        <v>2516</v>
      </c>
      <c r="F200" s="5" t="s">
        <v>1757</v>
      </c>
      <c r="G200" s="5" t="s">
        <v>2239</v>
      </c>
      <c r="H200" s="5" t="s">
        <v>2146</v>
      </c>
      <c r="I200" s="5"/>
      <c r="J200" s="17" t="s">
        <v>1858</v>
      </c>
      <c r="K200" s="5" t="s">
        <v>2517</v>
      </c>
      <c r="L200" s="5" t="s">
        <v>2518</v>
      </c>
      <c r="M200" s="5" t="s">
        <v>1756</v>
      </c>
      <c r="N200" s="5" t="s">
        <v>1721</v>
      </c>
    </row>
    <row r="201" spans="1:14">
      <c r="A201" s="5" t="s">
        <v>279</v>
      </c>
      <c r="B201" s="5" t="s">
        <v>631</v>
      </c>
      <c r="C201" s="5" t="s">
        <v>632</v>
      </c>
      <c r="D201" s="5" t="s">
        <v>642</v>
      </c>
      <c r="E201" s="5" t="s">
        <v>2519</v>
      </c>
      <c r="F201" s="5" t="s">
        <v>1614</v>
      </c>
      <c r="G201" s="5" t="s">
        <v>1922</v>
      </c>
      <c r="H201" s="5" t="s">
        <v>2146</v>
      </c>
      <c r="I201" s="5"/>
      <c r="J201" s="17" t="s">
        <v>1858</v>
      </c>
      <c r="K201" s="5" t="s">
        <v>2520</v>
      </c>
      <c r="L201" s="5" t="s">
        <v>2521</v>
      </c>
      <c r="M201" s="5"/>
      <c r="N201" s="5" t="s">
        <v>811</v>
      </c>
    </row>
    <row r="202" spans="1:14">
      <c r="A202" s="5" t="s">
        <v>279</v>
      </c>
      <c r="B202" s="5" t="s">
        <v>631</v>
      </c>
      <c r="C202" s="5" t="s">
        <v>632</v>
      </c>
      <c r="D202" s="5" t="s">
        <v>642</v>
      </c>
      <c r="E202" s="5" t="s">
        <v>2522</v>
      </c>
      <c r="F202" s="5" t="s">
        <v>999</v>
      </c>
      <c r="G202" s="5" t="s">
        <v>2269</v>
      </c>
      <c r="H202" s="5" t="s">
        <v>2146</v>
      </c>
      <c r="I202" s="5"/>
      <c r="J202" s="16" t="s">
        <v>1854</v>
      </c>
      <c r="K202" s="5" t="s">
        <v>2523</v>
      </c>
      <c r="L202" s="5" t="s">
        <v>2524</v>
      </c>
      <c r="M202" s="5" t="s">
        <v>998</v>
      </c>
      <c r="N202" s="5" t="s">
        <v>811</v>
      </c>
    </row>
    <row r="203" spans="1:14">
      <c r="A203" s="5" t="s">
        <v>279</v>
      </c>
      <c r="B203" s="5" t="s">
        <v>631</v>
      </c>
      <c r="C203" s="5" t="s">
        <v>632</v>
      </c>
      <c r="D203" s="5" t="s">
        <v>642</v>
      </c>
      <c r="E203" s="5" t="s">
        <v>2525</v>
      </c>
      <c r="F203" s="5" t="s">
        <v>1011</v>
      </c>
      <c r="G203" s="5" t="s">
        <v>2269</v>
      </c>
      <c r="H203" s="5" t="s">
        <v>2146</v>
      </c>
      <c r="I203" s="5"/>
      <c r="J203" s="17" t="s">
        <v>1858</v>
      </c>
      <c r="K203" s="5" t="s">
        <v>2526</v>
      </c>
      <c r="L203" s="5" t="s">
        <v>2527</v>
      </c>
      <c r="M203" s="5" t="s">
        <v>1010</v>
      </c>
      <c r="N203" s="5" t="s">
        <v>811</v>
      </c>
    </row>
    <row r="204" spans="1:14">
      <c r="A204" s="5" t="s">
        <v>279</v>
      </c>
      <c r="B204" s="5" t="s">
        <v>631</v>
      </c>
      <c r="C204" s="5" t="s">
        <v>646</v>
      </c>
      <c r="D204" s="5" t="s">
        <v>654</v>
      </c>
      <c r="E204" s="5" t="s">
        <v>2528</v>
      </c>
      <c r="F204" s="5" t="s">
        <v>577</v>
      </c>
      <c r="G204" s="5" t="s">
        <v>2269</v>
      </c>
      <c r="H204" s="5" t="s">
        <v>1853</v>
      </c>
      <c r="I204" s="5"/>
      <c r="J204" s="16" t="s">
        <v>1854</v>
      </c>
      <c r="K204" s="5" t="s">
        <v>2529</v>
      </c>
      <c r="L204" s="5"/>
      <c r="M204" s="5"/>
      <c r="N204" s="5" t="s">
        <v>811</v>
      </c>
    </row>
    <row r="205" spans="1:14">
      <c r="A205" s="5" t="s">
        <v>279</v>
      </c>
      <c r="B205" s="5" t="s">
        <v>631</v>
      </c>
      <c r="C205" s="5" t="s">
        <v>646</v>
      </c>
      <c r="D205" s="5" t="s">
        <v>654</v>
      </c>
      <c r="E205" s="5" t="s">
        <v>2530</v>
      </c>
      <c r="F205" s="5" t="s">
        <v>2111</v>
      </c>
      <c r="G205" s="5" t="s">
        <v>1922</v>
      </c>
      <c r="H205" s="5" t="s">
        <v>1853</v>
      </c>
      <c r="I205" s="5"/>
      <c r="J205" s="16" t="s">
        <v>1854</v>
      </c>
      <c r="K205" s="5" t="s">
        <v>2531</v>
      </c>
      <c r="L205" s="5"/>
      <c r="M205" s="5"/>
      <c r="N205" s="5" t="s">
        <v>811</v>
      </c>
    </row>
    <row r="206" spans="1:14">
      <c r="A206" s="5" t="s">
        <v>279</v>
      </c>
      <c r="B206" s="5" t="s">
        <v>631</v>
      </c>
      <c r="C206" s="5" t="s">
        <v>646</v>
      </c>
      <c r="D206" s="5" t="s">
        <v>654</v>
      </c>
      <c r="E206" s="5" t="s">
        <v>2532</v>
      </c>
      <c r="F206" s="5" t="s">
        <v>2533</v>
      </c>
      <c r="G206" s="5" t="s">
        <v>2160</v>
      </c>
      <c r="H206" s="5" t="s">
        <v>2146</v>
      </c>
      <c r="I206" s="5"/>
      <c r="J206" s="16" t="s">
        <v>1854</v>
      </c>
      <c r="K206" s="5" t="s">
        <v>2534</v>
      </c>
      <c r="L206" s="5"/>
      <c r="M206" s="5"/>
      <c r="N206" s="5" t="s">
        <v>811</v>
      </c>
    </row>
    <row r="207" spans="1:14">
      <c r="A207" s="5" t="s">
        <v>279</v>
      </c>
      <c r="B207" s="5" t="s">
        <v>631</v>
      </c>
      <c r="C207" s="5" t="s">
        <v>646</v>
      </c>
      <c r="D207" s="5" t="s">
        <v>654</v>
      </c>
      <c r="E207" s="5" t="s">
        <v>2535</v>
      </c>
      <c r="F207" s="5" t="s">
        <v>2536</v>
      </c>
      <c r="G207" s="5" t="s">
        <v>1852</v>
      </c>
      <c r="H207" s="5" t="s">
        <v>2146</v>
      </c>
      <c r="I207" s="5"/>
      <c r="J207" s="16" t="s">
        <v>1854</v>
      </c>
      <c r="K207" s="5" t="s">
        <v>2537</v>
      </c>
      <c r="L207" s="5"/>
      <c r="M207" s="5"/>
      <c r="N207" s="5" t="s">
        <v>811</v>
      </c>
    </row>
    <row r="208" spans="1:14">
      <c r="A208" s="5" t="s">
        <v>279</v>
      </c>
      <c r="B208" s="5" t="s">
        <v>631</v>
      </c>
      <c r="C208" s="5" t="s">
        <v>646</v>
      </c>
      <c r="D208" s="5" t="s">
        <v>654</v>
      </c>
      <c r="E208" s="5" t="s">
        <v>2538</v>
      </c>
      <c r="F208" s="5" t="s">
        <v>2539</v>
      </c>
      <c r="G208" s="5" t="s">
        <v>1922</v>
      </c>
      <c r="H208" s="5" t="s">
        <v>2146</v>
      </c>
      <c r="I208" s="5"/>
      <c r="J208" s="16" t="s">
        <v>1854</v>
      </c>
      <c r="K208" s="5" t="s">
        <v>2540</v>
      </c>
      <c r="L208" s="5" t="s">
        <v>2541</v>
      </c>
      <c r="M208" s="5"/>
      <c r="N208" s="5" t="s">
        <v>811</v>
      </c>
    </row>
    <row r="209" spans="1:14">
      <c r="A209" s="5" t="s">
        <v>279</v>
      </c>
      <c r="B209" s="5" t="s">
        <v>631</v>
      </c>
      <c r="C209" s="5" t="s">
        <v>1022</v>
      </c>
      <c r="D209" s="5" t="s">
        <v>1032</v>
      </c>
      <c r="E209" s="5" t="s">
        <v>2542</v>
      </c>
      <c r="F209" s="5" t="s">
        <v>577</v>
      </c>
      <c r="G209" s="5" t="s">
        <v>2269</v>
      </c>
      <c r="H209" s="5" t="s">
        <v>1853</v>
      </c>
      <c r="I209" s="5"/>
      <c r="J209" s="16" t="s">
        <v>1854</v>
      </c>
      <c r="K209" s="5" t="s">
        <v>2543</v>
      </c>
      <c r="L209" s="5"/>
      <c r="M209" s="5"/>
      <c r="N209" s="5" t="s">
        <v>811</v>
      </c>
    </row>
    <row r="210" spans="1:14">
      <c r="A210" s="5" t="s">
        <v>279</v>
      </c>
      <c r="B210" s="5" t="s">
        <v>631</v>
      </c>
      <c r="C210" s="5" t="s">
        <v>1022</v>
      </c>
      <c r="D210" s="5" t="s">
        <v>1032</v>
      </c>
      <c r="E210" s="5" t="s">
        <v>2544</v>
      </c>
      <c r="F210" s="5" t="s">
        <v>2111</v>
      </c>
      <c r="G210" s="5" t="s">
        <v>1922</v>
      </c>
      <c r="H210" s="5" t="s">
        <v>1853</v>
      </c>
      <c r="I210" s="5"/>
      <c r="J210" s="16" t="s">
        <v>1854</v>
      </c>
      <c r="K210" s="5" t="s">
        <v>2545</v>
      </c>
      <c r="L210" s="5"/>
      <c r="M210" s="5"/>
      <c r="N210" s="5" t="s">
        <v>811</v>
      </c>
    </row>
    <row r="211" spans="1:14">
      <c r="A211" s="5" t="s">
        <v>279</v>
      </c>
      <c r="B211" s="5" t="s">
        <v>631</v>
      </c>
      <c r="C211" s="5" t="s">
        <v>1022</v>
      </c>
      <c r="D211" s="5" t="s">
        <v>1032</v>
      </c>
      <c r="E211" s="5" t="s">
        <v>2546</v>
      </c>
      <c r="F211" s="5" t="s">
        <v>2547</v>
      </c>
      <c r="G211" s="5" t="s">
        <v>2049</v>
      </c>
      <c r="H211" s="5" t="s">
        <v>2276</v>
      </c>
      <c r="I211" s="5"/>
      <c r="J211" s="16" t="s">
        <v>1854</v>
      </c>
      <c r="K211" s="5" t="s">
        <v>2548</v>
      </c>
      <c r="L211" s="5"/>
      <c r="M211" s="5"/>
      <c r="N211" s="5" t="s">
        <v>811</v>
      </c>
    </row>
    <row r="212" spans="1:14">
      <c r="A212" s="5" t="s">
        <v>279</v>
      </c>
      <c r="B212" s="5" t="s">
        <v>631</v>
      </c>
      <c r="C212" s="5" t="s">
        <v>1022</v>
      </c>
      <c r="D212" s="5" t="s">
        <v>1032</v>
      </c>
      <c r="E212" s="5" t="s">
        <v>2549</v>
      </c>
      <c r="F212" s="5" t="s">
        <v>2550</v>
      </c>
      <c r="G212" s="5" t="s">
        <v>1852</v>
      </c>
      <c r="H212" s="5" t="s">
        <v>2551</v>
      </c>
      <c r="I212" s="5"/>
      <c r="J212" s="16" t="s">
        <v>1854</v>
      </c>
      <c r="K212" s="5" t="s">
        <v>2552</v>
      </c>
      <c r="L212" s="5"/>
      <c r="M212" s="5"/>
      <c r="N212" s="5" t="s">
        <v>811</v>
      </c>
    </row>
    <row r="213" spans="1:14">
      <c r="A213" s="5" t="s">
        <v>279</v>
      </c>
      <c r="B213" s="5" t="s">
        <v>631</v>
      </c>
      <c r="C213" s="5" t="s">
        <v>1022</v>
      </c>
      <c r="D213" s="5" t="s">
        <v>1032</v>
      </c>
      <c r="E213" s="5" t="s">
        <v>2553</v>
      </c>
      <c r="F213" s="5" t="s">
        <v>2554</v>
      </c>
      <c r="G213" s="5" t="s">
        <v>2269</v>
      </c>
      <c r="H213" s="5" t="s">
        <v>2551</v>
      </c>
      <c r="I213" s="5"/>
      <c r="J213" s="16" t="s">
        <v>1854</v>
      </c>
      <c r="K213" s="5" t="s">
        <v>2555</v>
      </c>
      <c r="L213" s="5"/>
      <c r="M213" s="5"/>
      <c r="N213" s="5" t="s">
        <v>811</v>
      </c>
    </row>
    <row r="214" spans="1:14">
      <c r="A214" s="5" t="s">
        <v>279</v>
      </c>
      <c r="B214" s="5" t="s">
        <v>631</v>
      </c>
      <c r="C214" s="5" t="s">
        <v>1022</v>
      </c>
      <c r="D214" s="5" t="s">
        <v>1032</v>
      </c>
      <c r="E214" s="5" t="s">
        <v>2556</v>
      </c>
      <c r="F214" s="5" t="s">
        <v>2557</v>
      </c>
      <c r="G214" s="5" t="s">
        <v>2269</v>
      </c>
      <c r="H214" s="5" t="s">
        <v>2551</v>
      </c>
      <c r="I214" s="5"/>
      <c r="J214" s="16" t="s">
        <v>1854</v>
      </c>
      <c r="K214" s="5" t="s">
        <v>2558</v>
      </c>
      <c r="L214" s="5"/>
      <c r="M214" s="5"/>
      <c r="N214" s="5" t="s">
        <v>811</v>
      </c>
    </row>
    <row r="215" spans="1:14">
      <c r="A215" s="5" t="s">
        <v>279</v>
      </c>
      <c r="B215" s="5" t="s">
        <v>631</v>
      </c>
      <c r="C215" s="5" t="s">
        <v>1022</v>
      </c>
      <c r="D215" s="5" t="s">
        <v>1032</v>
      </c>
      <c r="E215" s="5" t="s">
        <v>2559</v>
      </c>
      <c r="F215" s="5" t="s">
        <v>2560</v>
      </c>
      <c r="G215" s="5" t="s">
        <v>1922</v>
      </c>
      <c r="H215" s="5" t="s">
        <v>2551</v>
      </c>
      <c r="I215" s="5"/>
      <c r="J215" s="19" t="s">
        <v>2411</v>
      </c>
      <c r="K215" s="5" t="s">
        <v>2561</v>
      </c>
      <c r="L215" s="5" t="s">
        <v>2562</v>
      </c>
      <c r="M215" s="5"/>
      <c r="N215" s="5" t="s">
        <v>811</v>
      </c>
    </row>
    <row r="216" spans="1:14">
      <c r="A216" s="5" t="s">
        <v>279</v>
      </c>
      <c r="B216" s="5" t="s">
        <v>631</v>
      </c>
      <c r="C216" s="5" t="s">
        <v>1022</v>
      </c>
      <c r="D216" s="5" t="s">
        <v>1032</v>
      </c>
      <c r="E216" s="5" t="s">
        <v>2563</v>
      </c>
      <c r="F216" s="5" t="s">
        <v>2564</v>
      </c>
      <c r="G216" s="5" t="s">
        <v>2227</v>
      </c>
      <c r="H216" s="5" t="s">
        <v>2551</v>
      </c>
      <c r="I216" s="5"/>
      <c r="J216" s="16" t="s">
        <v>1854</v>
      </c>
      <c r="K216" s="5" t="s">
        <v>2565</v>
      </c>
      <c r="L216" s="5"/>
      <c r="M216" s="5"/>
      <c r="N216" s="5" t="s">
        <v>811</v>
      </c>
    </row>
    <row r="217" spans="1:14">
      <c r="A217" s="5" t="s">
        <v>279</v>
      </c>
      <c r="B217" s="5" t="s">
        <v>631</v>
      </c>
      <c r="C217" s="5" t="s">
        <v>1022</v>
      </c>
      <c r="D217" s="5" t="s">
        <v>1032</v>
      </c>
      <c r="E217" s="5" t="s">
        <v>2566</v>
      </c>
      <c r="F217" s="5" t="s">
        <v>1023</v>
      </c>
      <c r="G217" s="5" t="s">
        <v>2239</v>
      </c>
      <c r="H217" s="5" t="s">
        <v>2551</v>
      </c>
      <c r="I217" s="5"/>
      <c r="J217" s="16" t="s">
        <v>1854</v>
      </c>
      <c r="K217" s="5" t="s">
        <v>2567</v>
      </c>
      <c r="L217" s="5"/>
      <c r="M217" s="5" t="s">
        <v>1021</v>
      </c>
      <c r="N217" s="5" t="s">
        <v>811</v>
      </c>
    </row>
    <row r="218" spans="1:14">
      <c r="A218" s="5" t="s">
        <v>279</v>
      </c>
      <c r="B218" s="5" t="s">
        <v>631</v>
      </c>
      <c r="C218" s="5" t="s">
        <v>1022</v>
      </c>
      <c r="D218" s="5" t="s">
        <v>1032</v>
      </c>
      <c r="E218" s="5" t="s">
        <v>2568</v>
      </c>
      <c r="F218" s="5" t="s">
        <v>2569</v>
      </c>
      <c r="G218" s="5" t="s">
        <v>1922</v>
      </c>
      <c r="H218" s="5" t="s">
        <v>2551</v>
      </c>
      <c r="I218" s="5"/>
      <c r="J218" s="16" t="s">
        <v>1854</v>
      </c>
      <c r="K218" s="5" t="s">
        <v>2570</v>
      </c>
      <c r="L218" s="5"/>
      <c r="M218" s="5"/>
      <c r="N218" s="5" t="s">
        <v>811</v>
      </c>
    </row>
    <row r="219" spans="1:14">
      <c r="A219" s="5" t="s">
        <v>279</v>
      </c>
      <c r="B219" s="5" t="s">
        <v>631</v>
      </c>
      <c r="C219" s="5" t="s">
        <v>1022</v>
      </c>
      <c r="D219" s="5" t="s">
        <v>1032</v>
      </c>
      <c r="E219" s="5" t="s">
        <v>2571</v>
      </c>
      <c r="F219" s="5" t="s">
        <v>1047</v>
      </c>
      <c r="G219" s="5" t="s">
        <v>2269</v>
      </c>
      <c r="H219" s="5" t="s">
        <v>2551</v>
      </c>
      <c r="I219" s="5"/>
      <c r="J219" s="16" t="s">
        <v>1854</v>
      </c>
      <c r="K219" s="5" t="s">
        <v>2572</v>
      </c>
      <c r="L219" s="5" t="s">
        <v>2573</v>
      </c>
      <c r="M219" s="5" t="s">
        <v>1046</v>
      </c>
      <c r="N219" s="5" t="s">
        <v>811</v>
      </c>
    </row>
    <row r="220" spans="1:14">
      <c r="A220" s="5" t="s">
        <v>279</v>
      </c>
      <c r="B220" s="5" t="s">
        <v>631</v>
      </c>
      <c r="C220" s="5" t="s">
        <v>1022</v>
      </c>
      <c r="D220" s="5" t="s">
        <v>1032</v>
      </c>
      <c r="E220" s="5" t="s">
        <v>2574</v>
      </c>
      <c r="F220" s="5" t="s">
        <v>1036</v>
      </c>
      <c r="G220" s="5" t="s">
        <v>2160</v>
      </c>
      <c r="H220" s="5" t="s">
        <v>1912</v>
      </c>
      <c r="I220" s="5"/>
      <c r="J220" s="17" t="s">
        <v>1858</v>
      </c>
      <c r="K220" s="5" t="s">
        <v>2575</v>
      </c>
      <c r="L220" s="5" t="s">
        <v>2576</v>
      </c>
      <c r="M220" s="5" t="s">
        <v>2577</v>
      </c>
      <c r="N220" s="5" t="s">
        <v>1721</v>
      </c>
    </row>
    <row r="221" spans="1:14">
      <c r="A221" s="5" t="s">
        <v>279</v>
      </c>
      <c r="B221" s="5" t="s">
        <v>631</v>
      </c>
      <c r="C221" s="5" t="s">
        <v>1022</v>
      </c>
      <c r="D221" s="5" t="s">
        <v>1032</v>
      </c>
      <c r="E221" s="5" t="s">
        <v>2578</v>
      </c>
      <c r="F221" s="5" t="s">
        <v>1056</v>
      </c>
      <c r="G221" s="5" t="s">
        <v>2239</v>
      </c>
      <c r="H221" s="5" t="s">
        <v>1912</v>
      </c>
      <c r="I221" s="5"/>
      <c r="J221" s="16" t="s">
        <v>1854</v>
      </c>
      <c r="K221" s="5" t="s">
        <v>2579</v>
      </c>
      <c r="L221" s="5" t="s">
        <v>2580</v>
      </c>
      <c r="M221" s="5" t="s">
        <v>1055</v>
      </c>
      <c r="N221" s="5" t="s">
        <v>811</v>
      </c>
    </row>
    <row r="222" spans="1:14">
      <c r="A222" s="5" t="s">
        <v>279</v>
      </c>
      <c r="B222" s="5" t="s">
        <v>631</v>
      </c>
      <c r="C222" s="5" t="s">
        <v>1022</v>
      </c>
      <c r="D222" s="5" t="s">
        <v>1032</v>
      </c>
      <c r="E222" s="5" t="s">
        <v>2581</v>
      </c>
      <c r="F222" s="5" t="s">
        <v>2582</v>
      </c>
      <c r="G222" s="5" t="s">
        <v>2239</v>
      </c>
      <c r="H222" s="5" t="s">
        <v>1912</v>
      </c>
      <c r="I222" s="5"/>
      <c r="J222" s="16" t="s">
        <v>1854</v>
      </c>
      <c r="K222" s="5" t="s">
        <v>2583</v>
      </c>
      <c r="L222" s="5"/>
      <c r="M222" s="5"/>
      <c r="N222" s="5" t="s">
        <v>811</v>
      </c>
    </row>
    <row r="223" spans="1:14">
      <c r="A223" s="5" t="s">
        <v>279</v>
      </c>
      <c r="B223" s="5" t="s">
        <v>631</v>
      </c>
      <c r="C223" s="5" t="s">
        <v>1022</v>
      </c>
      <c r="D223" s="5" t="s">
        <v>1032</v>
      </c>
      <c r="E223" s="5" t="s">
        <v>2584</v>
      </c>
      <c r="F223" s="5" t="s">
        <v>2585</v>
      </c>
      <c r="G223" s="5" t="s">
        <v>1922</v>
      </c>
      <c r="H223" s="5" t="s">
        <v>1912</v>
      </c>
      <c r="I223" s="5"/>
      <c r="J223" s="16" t="s">
        <v>1854</v>
      </c>
      <c r="K223" s="5" t="s">
        <v>2586</v>
      </c>
      <c r="L223" s="5"/>
      <c r="M223" s="5"/>
      <c r="N223" s="5" t="s">
        <v>811</v>
      </c>
    </row>
    <row r="224" spans="1:14">
      <c r="A224" s="5" t="s">
        <v>279</v>
      </c>
      <c r="B224" s="5" t="s">
        <v>631</v>
      </c>
      <c r="C224" s="5" t="s">
        <v>1022</v>
      </c>
      <c r="D224" s="5" t="s">
        <v>1032</v>
      </c>
      <c r="E224" s="5" t="s">
        <v>2587</v>
      </c>
      <c r="F224" s="5" t="s">
        <v>2588</v>
      </c>
      <c r="G224" s="5" t="s">
        <v>1922</v>
      </c>
      <c r="H224" s="5" t="s">
        <v>1912</v>
      </c>
      <c r="I224" s="5"/>
      <c r="J224" s="19" t="s">
        <v>2411</v>
      </c>
      <c r="K224" s="5" t="s">
        <v>2589</v>
      </c>
      <c r="L224" s="5" t="s">
        <v>2590</v>
      </c>
      <c r="M224" s="5"/>
      <c r="N224" s="5" t="s">
        <v>811</v>
      </c>
    </row>
    <row r="225" spans="1:14">
      <c r="A225" s="5" t="s">
        <v>279</v>
      </c>
      <c r="B225" s="5" t="s">
        <v>631</v>
      </c>
      <c r="C225" s="5" t="s">
        <v>1022</v>
      </c>
      <c r="D225" s="5" t="s">
        <v>1032</v>
      </c>
      <c r="E225" s="5" t="s">
        <v>2591</v>
      </c>
      <c r="F225" s="5" t="s">
        <v>2592</v>
      </c>
      <c r="G225" s="5" t="s">
        <v>1922</v>
      </c>
      <c r="H225" s="5" t="s">
        <v>1912</v>
      </c>
      <c r="I225" s="5"/>
      <c r="J225" s="19" t="s">
        <v>2411</v>
      </c>
      <c r="K225" s="5" t="s">
        <v>2593</v>
      </c>
      <c r="L225" s="5" t="s">
        <v>2594</v>
      </c>
      <c r="M225" s="5"/>
      <c r="N225" s="5" t="s">
        <v>811</v>
      </c>
    </row>
    <row r="226" spans="1:14">
      <c r="A226" s="5" t="s">
        <v>279</v>
      </c>
      <c r="B226" s="5" t="s">
        <v>631</v>
      </c>
      <c r="C226" s="5" t="s">
        <v>658</v>
      </c>
      <c r="D226" s="5" t="s">
        <v>666</v>
      </c>
      <c r="E226" s="5" t="s">
        <v>2595</v>
      </c>
      <c r="F226" s="5" t="s">
        <v>577</v>
      </c>
      <c r="G226" s="5" t="s">
        <v>2269</v>
      </c>
      <c r="H226" s="5" t="s">
        <v>1853</v>
      </c>
      <c r="I226" s="5"/>
      <c r="J226" s="16" t="s">
        <v>1854</v>
      </c>
      <c r="K226" s="5" t="s">
        <v>2596</v>
      </c>
      <c r="L226" s="5"/>
      <c r="M226" s="5"/>
      <c r="N226" s="5" t="s">
        <v>811</v>
      </c>
    </row>
    <row r="227" spans="1:14">
      <c r="A227" s="5" t="s">
        <v>279</v>
      </c>
      <c r="B227" s="5" t="s">
        <v>631</v>
      </c>
      <c r="C227" s="5" t="s">
        <v>658</v>
      </c>
      <c r="D227" s="5" t="s">
        <v>666</v>
      </c>
      <c r="E227" s="5" t="s">
        <v>2597</v>
      </c>
      <c r="F227" s="5" t="s">
        <v>2111</v>
      </c>
      <c r="G227" s="5" t="s">
        <v>1922</v>
      </c>
      <c r="H227" s="5" t="s">
        <v>1853</v>
      </c>
      <c r="I227" s="5"/>
      <c r="J227" s="16" t="s">
        <v>1854</v>
      </c>
      <c r="K227" s="5" t="s">
        <v>2598</v>
      </c>
      <c r="L227" s="5"/>
      <c r="M227" s="5"/>
      <c r="N227" s="5" t="s">
        <v>811</v>
      </c>
    </row>
    <row r="228" spans="1:14">
      <c r="A228" s="5" t="s">
        <v>279</v>
      </c>
      <c r="B228" s="5" t="s">
        <v>631</v>
      </c>
      <c r="C228" s="5" t="s">
        <v>658</v>
      </c>
      <c r="D228" s="5" t="s">
        <v>666</v>
      </c>
      <c r="E228" s="5" t="s">
        <v>2599</v>
      </c>
      <c r="F228" s="5" t="s">
        <v>2600</v>
      </c>
      <c r="G228" s="5" t="s">
        <v>1852</v>
      </c>
      <c r="H228" s="5" t="s">
        <v>2285</v>
      </c>
      <c r="I228" s="5"/>
      <c r="J228" s="16" t="s">
        <v>1854</v>
      </c>
      <c r="K228" s="5" t="s">
        <v>2601</v>
      </c>
      <c r="L228" s="5"/>
      <c r="M228" s="5"/>
      <c r="N228" s="5" t="s">
        <v>811</v>
      </c>
    </row>
    <row r="229" spans="1:14">
      <c r="A229" s="5" t="s">
        <v>279</v>
      </c>
      <c r="B229" s="5" t="s">
        <v>631</v>
      </c>
      <c r="C229" s="5" t="s">
        <v>658</v>
      </c>
      <c r="D229" s="5" t="s">
        <v>666</v>
      </c>
      <c r="E229" s="5" t="s">
        <v>2602</v>
      </c>
      <c r="F229" s="5" t="s">
        <v>2603</v>
      </c>
      <c r="G229" s="5" t="s">
        <v>2049</v>
      </c>
      <c r="H229" s="5" t="s">
        <v>2276</v>
      </c>
      <c r="I229" s="5"/>
      <c r="J229" s="16" t="s">
        <v>1854</v>
      </c>
      <c r="K229" s="5" t="s">
        <v>2604</v>
      </c>
      <c r="L229" s="5"/>
      <c r="M229" s="5"/>
      <c r="N229" s="5" t="s">
        <v>811</v>
      </c>
    </row>
    <row r="230" spans="1:14">
      <c r="A230" s="5" t="s">
        <v>279</v>
      </c>
      <c r="B230" s="5" t="s">
        <v>631</v>
      </c>
      <c r="C230" s="5" t="s">
        <v>658</v>
      </c>
      <c r="D230" s="5" t="s">
        <v>666</v>
      </c>
      <c r="E230" s="5" t="s">
        <v>2605</v>
      </c>
      <c r="F230" s="5" t="s">
        <v>1067</v>
      </c>
      <c r="G230" s="5" t="s">
        <v>2239</v>
      </c>
      <c r="H230" s="5" t="s">
        <v>2606</v>
      </c>
      <c r="I230" s="5"/>
      <c r="J230" s="16" t="s">
        <v>1854</v>
      </c>
      <c r="K230" s="5" t="s">
        <v>2607</v>
      </c>
      <c r="L230" s="5" t="s">
        <v>2608</v>
      </c>
      <c r="M230" s="5" t="s">
        <v>2609</v>
      </c>
      <c r="N230" s="5" t="s">
        <v>811</v>
      </c>
    </row>
    <row r="231" spans="1:14">
      <c r="A231" s="5" t="s">
        <v>279</v>
      </c>
      <c r="B231" s="5" t="s">
        <v>631</v>
      </c>
      <c r="C231" s="5" t="s">
        <v>658</v>
      </c>
      <c r="D231" s="5" t="s">
        <v>666</v>
      </c>
      <c r="E231" s="5" t="s">
        <v>2610</v>
      </c>
      <c r="F231" s="5" t="s">
        <v>2611</v>
      </c>
      <c r="G231" s="5" t="s">
        <v>2114</v>
      </c>
      <c r="H231" s="5" t="s">
        <v>2612</v>
      </c>
      <c r="I231" s="5"/>
      <c r="J231" s="16" t="s">
        <v>1854</v>
      </c>
      <c r="K231" s="5" t="s">
        <v>2613</v>
      </c>
      <c r="L231" s="5"/>
      <c r="M231" s="5"/>
      <c r="N231" s="5" t="s">
        <v>811</v>
      </c>
    </row>
    <row r="232" spans="1:14">
      <c r="A232" s="5" t="s">
        <v>279</v>
      </c>
      <c r="B232" s="5" t="s">
        <v>631</v>
      </c>
      <c r="C232" s="5" t="s">
        <v>658</v>
      </c>
      <c r="D232" s="5" t="s">
        <v>666</v>
      </c>
      <c r="E232" s="5" t="s">
        <v>2614</v>
      </c>
      <c r="F232" s="5" t="s">
        <v>2615</v>
      </c>
      <c r="G232" s="5" t="s">
        <v>2239</v>
      </c>
      <c r="H232" s="5" t="s">
        <v>2612</v>
      </c>
      <c r="I232" s="5"/>
      <c r="J232" s="16" t="s">
        <v>1854</v>
      </c>
      <c r="K232" s="5" t="s">
        <v>2616</v>
      </c>
      <c r="L232" s="5"/>
      <c r="M232" s="5"/>
      <c r="N232" s="5" t="s">
        <v>811</v>
      </c>
    </row>
    <row r="233" spans="1:14">
      <c r="A233" s="5" t="s">
        <v>279</v>
      </c>
      <c r="B233" s="5" t="s">
        <v>631</v>
      </c>
      <c r="C233" s="5" t="s">
        <v>658</v>
      </c>
      <c r="D233" s="5" t="s">
        <v>666</v>
      </c>
      <c r="E233" s="5" t="s">
        <v>2617</v>
      </c>
      <c r="F233" s="5" t="s">
        <v>2618</v>
      </c>
      <c r="G233" s="5" t="s">
        <v>1922</v>
      </c>
      <c r="H233" s="5" t="s">
        <v>2612</v>
      </c>
      <c r="I233" s="5"/>
      <c r="J233" s="16" t="s">
        <v>1854</v>
      </c>
      <c r="K233" s="5" t="s">
        <v>2619</v>
      </c>
      <c r="L233" s="5"/>
      <c r="M233" s="5"/>
      <c r="N233" s="5" t="s">
        <v>811</v>
      </c>
    </row>
    <row r="234" spans="1:14">
      <c r="A234" s="5" t="s">
        <v>279</v>
      </c>
      <c r="B234" s="5" t="s">
        <v>631</v>
      </c>
      <c r="C234" s="5" t="s">
        <v>1088</v>
      </c>
      <c r="D234" s="5" t="s">
        <v>1098</v>
      </c>
      <c r="E234" s="5" t="s">
        <v>2620</v>
      </c>
      <c r="F234" s="5" t="s">
        <v>577</v>
      </c>
      <c r="G234" s="5" t="s">
        <v>2269</v>
      </c>
      <c r="H234" s="5" t="s">
        <v>1853</v>
      </c>
      <c r="I234" s="5"/>
      <c r="J234" s="16" t="s">
        <v>1854</v>
      </c>
      <c r="K234" s="5" t="s">
        <v>2621</v>
      </c>
      <c r="L234" s="5"/>
      <c r="M234" s="5"/>
      <c r="N234" s="5" t="s">
        <v>811</v>
      </c>
    </row>
    <row r="235" spans="1:14">
      <c r="A235" s="5" t="s">
        <v>279</v>
      </c>
      <c r="B235" s="5" t="s">
        <v>631</v>
      </c>
      <c r="C235" s="5" t="s">
        <v>1088</v>
      </c>
      <c r="D235" s="5" t="s">
        <v>1098</v>
      </c>
      <c r="E235" s="5" t="s">
        <v>2622</v>
      </c>
      <c r="F235" s="5" t="s">
        <v>2111</v>
      </c>
      <c r="G235" s="5" t="s">
        <v>1922</v>
      </c>
      <c r="H235" s="5" t="s">
        <v>1853</v>
      </c>
      <c r="I235" s="5"/>
      <c r="J235" s="16" t="s">
        <v>1854</v>
      </c>
      <c r="K235" s="5" t="s">
        <v>2623</v>
      </c>
      <c r="L235" s="5"/>
      <c r="M235" s="5"/>
      <c r="N235" s="5" t="s">
        <v>811</v>
      </c>
    </row>
    <row r="236" spans="1:14">
      <c r="A236" s="5" t="s">
        <v>279</v>
      </c>
      <c r="B236" s="5" t="s">
        <v>631</v>
      </c>
      <c r="C236" s="5" t="s">
        <v>1088</v>
      </c>
      <c r="D236" s="5" t="s">
        <v>1098</v>
      </c>
      <c r="E236" s="5" t="s">
        <v>2624</v>
      </c>
      <c r="F236" s="5" t="s">
        <v>2625</v>
      </c>
      <c r="G236" s="5" t="s">
        <v>2114</v>
      </c>
      <c r="H236" s="5" t="s">
        <v>2285</v>
      </c>
      <c r="I236" s="5"/>
      <c r="J236" s="16" t="s">
        <v>1854</v>
      </c>
      <c r="K236" s="5" t="s">
        <v>2626</v>
      </c>
      <c r="L236" s="5"/>
      <c r="M236" s="5"/>
      <c r="N236" s="5" t="s">
        <v>811</v>
      </c>
    </row>
    <row r="237" spans="1:14">
      <c r="A237" s="5" t="s">
        <v>279</v>
      </c>
      <c r="B237" s="5" t="s">
        <v>631</v>
      </c>
      <c r="C237" s="5" t="s">
        <v>1088</v>
      </c>
      <c r="D237" s="5" t="s">
        <v>1098</v>
      </c>
      <c r="E237" s="5" t="s">
        <v>2627</v>
      </c>
      <c r="F237" s="5" t="s">
        <v>2628</v>
      </c>
      <c r="G237" s="5" t="s">
        <v>1852</v>
      </c>
      <c r="H237" s="5" t="s">
        <v>2285</v>
      </c>
      <c r="I237" s="5"/>
      <c r="J237" s="16" t="s">
        <v>1854</v>
      </c>
      <c r="K237" s="5" t="s">
        <v>2629</v>
      </c>
      <c r="L237" s="5"/>
      <c r="M237" s="5"/>
      <c r="N237" s="5" t="s">
        <v>811</v>
      </c>
    </row>
    <row r="238" spans="1:14">
      <c r="A238" s="5" t="s">
        <v>279</v>
      </c>
      <c r="B238" s="5" t="s">
        <v>631</v>
      </c>
      <c r="C238" s="5" t="s">
        <v>1088</v>
      </c>
      <c r="D238" s="5" t="s">
        <v>1098</v>
      </c>
      <c r="E238" s="5" t="s">
        <v>2630</v>
      </c>
      <c r="F238" s="5" t="s">
        <v>1112</v>
      </c>
      <c r="G238" s="5" t="s">
        <v>2160</v>
      </c>
      <c r="H238" s="5" t="s">
        <v>2146</v>
      </c>
      <c r="I238" s="5"/>
      <c r="J238" s="16" t="s">
        <v>1854</v>
      </c>
      <c r="K238" s="5" t="s">
        <v>2631</v>
      </c>
      <c r="L238" s="5"/>
      <c r="M238" s="5" t="s">
        <v>1111</v>
      </c>
      <c r="N238" s="5" t="s">
        <v>811</v>
      </c>
    </row>
    <row r="239" spans="1:14">
      <c r="A239" s="5" t="s">
        <v>279</v>
      </c>
      <c r="B239" s="5" t="s">
        <v>631</v>
      </c>
      <c r="C239" s="5" t="s">
        <v>1088</v>
      </c>
      <c r="D239" s="5" t="s">
        <v>1098</v>
      </c>
      <c r="E239" s="5" t="s">
        <v>2632</v>
      </c>
      <c r="F239" s="5" t="s">
        <v>1089</v>
      </c>
      <c r="G239" s="5" t="s">
        <v>2239</v>
      </c>
      <c r="H239" s="5" t="s">
        <v>2285</v>
      </c>
      <c r="I239" s="5"/>
      <c r="J239" s="16" t="s">
        <v>1854</v>
      </c>
      <c r="K239" s="5" t="s">
        <v>2633</v>
      </c>
      <c r="L239" s="5" t="s">
        <v>2634</v>
      </c>
      <c r="M239" s="5" t="s">
        <v>2635</v>
      </c>
      <c r="N239" s="5" t="s">
        <v>811</v>
      </c>
    </row>
    <row r="240" spans="1:14">
      <c r="A240" s="5" t="s">
        <v>279</v>
      </c>
      <c r="B240" s="5" t="s">
        <v>631</v>
      </c>
      <c r="C240" s="5" t="s">
        <v>1088</v>
      </c>
      <c r="D240" s="5" t="s">
        <v>1098</v>
      </c>
      <c r="E240" s="5" t="s">
        <v>2636</v>
      </c>
      <c r="F240" s="5" t="s">
        <v>1776</v>
      </c>
      <c r="G240" s="5" t="s">
        <v>2239</v>
      </c>
      <c r="H240" s="5" t="s">
        <v>2146</v>
      </c>
      <c r="I240" s="5"/>
      <c r="J240" s="17" t="s">
        <v>1858</v>
      </c>
      <c r="K240" s="5" t="s">
        <v>2637</v>
      </c>
      <c r="L240" s="5"/>
      <c r="M240" s="5" t="s">
        <v>1775</v>
      </c>
      <c r="N240" s="5" t="s">
        <v>1721</v>
      </c>
    </row>
    <row r="241" spans="1:14">
      <c r="A241" s="5" t="s">
        <v>279</v>
      </c>
      <c r="B241" s="5" t="s">
        <v>631</v>
      </c>
      <c r="C241" s="5" t="s">
        <v>1088</v>
      </c>
      <c r="D241" s="5" t="s">
        <v>1098</v>
      </c>
      <c r="E241" s="5" t="s">
        <v>2638</v>
      </c>
      <c r="F241" s="5" t="s">
        <v>2639</v>
      </c>
      <c r="G241" s="5" t="s">
        <v>1922</v>
      </c>
      <c r="H241" s="5" t="s">
        <v>2146</v>
      </c>
      <c r="I241" s="5"/>
      <c r="J241" s="16" t="s">
        <v>1854</v>
      </c>
      <c r="K241" s="5" t="s">
        <v>2640</v>
      </c>
      <c r="L241" s="5"/>
      <c r="M241" s="5"/>
      <c r="N241" s="5" t="s">
        <v>811</v>
      </c>
    </row>
    <row r="242" spans="1:14">
      <c r="A242" s="5" t="s">
        <v>279</v>
      </c>
      <c r="B242" s="5" t="s">
        <v>631</v>
      </c>
      <c r="C242" s="5" t="s">
        <v>1088</v>
      </c>
      <c r="D242" s="5" t="s">
        <v>1098</v>
      </c>
      <c r="E242" s="5" t="s">
        <v>2641</v>
      </c>
      <c r="F242" s="5" t="s">
        <v>2642</v>
      </c>
      <c r="G242" s="5" t="s">
        <v>1922</v>
      </c>
      <c r="H242" s="5" t="s">
        <v>2146</v>
      </c>
      <c r="I242" s="5"/>
      <c r="J242" s="16" t="s">
        <v>1854</v>
      </c>
      <c r="K242" s="5" t="s">
        <v>2643</v>
      </c>
      <c r="L242" s="5"/>
      <c r="M242" s="5"/>
      <c r="N242" s="5" t="s">
        <v>811</v>
      </c>
    </row>
    <row r="243" spans="1:14">
      <c r="A243" s="5" t="s">
        <v>279</v>
      </c>
      <c r="B243" s="5" t="s">
        <v>631</v>
      </c>
      <c r="C243" s="5" t="s">
        <v>1088</v>
      </c>
      <c r="D243" s="5" t="s">
        <v>1098</v>
      </c>
      <c r="E243" s="5" t="s">
        <v>2644</v>
      </c>
      <c r="F243" s="5" t="s">
        <v>999</v>
      </c>
      <c r="G243" s="5" t="s">
        <v>2269</v>
      </c>
      <c r="H243" s="5" t="s">
        <v>2146</v>
      </c>
      <c r="I243" s="5"/>
      <c r="J243" s="17" t="s">
        <v>1858</v>
      </c>
      <c r="K243" s="5" t="s">
        <v>2645</v>
      </c>
      <c r="L243" s="5" t="s">
        <v>2646</v>
      </c>
      <c r="M243" s="5"/>
      <c r="N243" s="5" t="s">
        <v>811</v>
      </c>
    </row>
    <row r="244" spans="1:14">
      <c r="A244" s="5" t="s">
        <v>279</v>
      </c>
      <c r="B244" s="5" t="s">
        <v>631</v>
      </c>
      <c r="C244" s="5" t="s">
        <v>670</v>
      </c>
      <c r="D244" s="5" t="s">
        <v>679</v>
      </c>
      <c r="E244" s="5" t="s">
        <v>2647</v>
      </c>
      <c r="F244" s="5" t="s">
        <v>577</v>
      </c>
      <c r="G244" s="5" t="s">
        <v>2269</v>
      </c>
      <c r="H244" s="5" t="s">
        <v>1853</v>
      </c>
      <c r="I244" s="5"/>
      <c r="J244" s="16" t="s">
        <v>1854</v>
      </c>
      <c r="K244" s="5" t="s">
        <v>2648</v>
      </c>
      <c r="L244" s="5"/>
      <c r="M244" s="5"/>
      <c r="N244" s="5" t="s">
        <v>811</v>
      </c>
    </row>
    <row r="245" spans="1:14">
      <c r="A245" s="5" t="s">
        <v>279</v>
      </c>
      <c r="B245" s="5" t="s">
        <v>631</v>
      </c>
      <c r="C245" s="5" t="s">
        <v>670</v>
      </c>
      <c r="D245" s="5" t="s">
        <v>679</v>
      </c>
      <c r="E245" s="5" t="s">
        <v>2649</v>
      </c>
      <c r="F245" s="5" t="s">
        <v>2111</v>
      </c>
      <c r="G245" s="5" t="s">
        <v>1922</v>
      </c>
      <c r="H245" s="5" t="s">
        <v>1853</v>
      </c>
      <c r="I245" s="5"/>
      <c r="J245" s="16" t="s">
        <v>1854</v>
      </c>
      <c r="K245" s="5" t="s">
        <v>2650</v>
      </c>
      <c r="L245" s="5"/>
      <c r="M245" s="5"/>
      <c r="N245" s="5" t="s">
        <v>811</v>
      </c>
    </row>
    <row r="246" spans="1:14">
      <c r="A246" s="5" t="s">
        <v>279</v>
      </c>
      <c r="B246" s="5" t="s">
        <v>631</v>
      </c>
      <c r="C246" s="5" t="s">
        <v>670</v>
      </c>
      <c r="D246" s="5" t="s">
        <v>679</v>
      </c>
      <c r="E246" s="5" t="s">
        <v>2651</v>
      </c>
      <c r="F246" s="5" t="s">
        <v>2652</v>
      </c>
      <c r="G246" s="5" t="s">
        <v>2160</v>
      </c>
      <c r="H246" s="5" t="s">
        <v>2653</v>
      </c>
      <c r="I246" s="5"/>
      <c r="J246" s="16" t="s">
        <v>1854</v>
      </c>
      <c r="K246" s="5" t="s">
        <v>2654</v>
      </c>
      <c r="L246" s="5"/>
      <c r="M246" s="5"/>
      <c r="N246" s="5" t="s">
        <v>811</v>
      </c>
    </row>
    <row r="247" spans="1:14">
      <c r="A247" s="5" t="s">
        <v>279</v>
      </c>
      <c r="B247" s="5" t="s">
        <v>631</v>
      </c>
      <c r="C247" s="5" t="s">
        <v>670</v>
      </c>
      <c r="D247" s="5" t="s">
        <v>679</v>
      </c>
      <c r="E247" s="5" t="s">
        <v>2655</v>
      </c>
      <c r="F247" s="5" t="s">
        <v>2656</v>
      </c>
      <c r="G247" s="5" t="s">
        <v>2160</v>
      </c>
      <c r="H247" s="5" t="s">
        <v>2653</v>
      </c>
      <c r="I247" s="5"/>
      <c r="J247" s="16" t="s">
        <v>1854</v>
      </c>
      <c r="K247" s="5" t="s">
        <v>2657</v>
      </c>
      <c r="L247" s="5"/>
      <c r="M247" s="5"/>
      <c r="N247" s="5" t="s">
        <v>811</v>
      </c>
    </row>
    <row r="248" spans="1:14">
      <c r="A248" s="5" t="s">
        <v>279</v>
      </c>
      <c r="B248" s="5" t="s">
        <v>631</v>
      </c>
      <c r="C248" s="5" t="s">
        <v>670</v>
      </c>
      <c r="D248" s="5" t="s">
        <v>679</v>
      </c>
      <c r="E248" s="5" t="s">
        <v>2658</v>
      </c>
      <c r="F248" s="5" t="s">
        <v>2659</v>
      </c>
      <c r="G248" s="5" t="s">
        <v>2160</v>
      </c>
      <c r="H248" s="5" t="s">
        <v>2653</v>
      </c>
      <c r="I248" s="5"/>
      <c r="J248" s="16" t="s">
        <v>1854</v>
      </c>
      <c r="K248" s="5" t="s">
        <v>2660</v>
      </c>
      <c r="L248" s="5"/>
      <c r="M248" s="5"/>
      <c r="N248" s="5" t="s">
        <v>811</v>
      </c>
    </row>
    <row r="249" spans="1:14">
      <c r="A249" s="5" t="s">
        <v>279</v>
      </c>
      <c r="B249" s="5" t="s">
        <v>631</v>
      </c>
      <c r="C249" s="5" t="s">
        <v>670</v>
      </c>
      <c r="D249" s="5" t="s">
        <v>679</v>
      </c>
      <c r="E249" s="5" t="s">
        <v>2661</v>
      </c>
      <c r="F249" s="5" t="s">
        <v>2662</v>
      </c>
      <c r="G249" s="5" t="s">
        <v>2269</v>
      </c>
      <c r="H249" s="5" t="s">
        <v>2276</v>
      </c>
      <c r="I249" s="5"/>
      <c r="J249" s="17" t="s">
        <v>1858</v>
      </c>
      <c r="K249" s="5" t="s">
        <v>2663</v>
      </c>
      <c r="L249" s="5" t="s">
        <v>2664</v>
      </c>
      <c r="M249" s="5"/>
      <c r="N249" s="5" t="s">
        <v>811</v>
      </c>
    </row>
    <row r="250" spans="1:14">
      <c r="A250" s="5" t="s">
        <v>279</v>
      </c>
      <c r="B250" s="5" t="s">
        <v>631</v>
      </c>
      <c r="C250" s="5" t="s">
        <v>684</v>
      </c>
      <c r="D250" s="5" t="s">
        <v>692</v>
      </c>
      <c r="E250" s="5" t="s">
        <v>2665</v>
      </c>
      <c r="F250" s="5" t="s">
        <v>577</v>
      </c>
      <c r="G250" s="5" t="s">
        <v>2269</v>
      </c>
      <c r="H250" s="5" t="s">
        <v>1853</v>
      </c>
      <c r="I250" s="5"/>
      <c r="J250" s="16" t="s">
        <v>1854</v>
      </c>
      <c r="K250" s="5" t="s">
        <v>2666</v>
      </c>
      <c r="L250" s="5"/>
      <c r="M250" s="5"/>
      <c r="N250" s="5" t="s">
        <v>811</v>
      </c>
    </row>
    <row r="251" spans="1:14">
      <c r="A251" s="5" t="s">
        <v>279</v>
      </c>
      <c r="B251" s="5" t="s">
        <v>631</v>
      </c>
      <c r="C251" s="5" t="s">
        <v>684</v>
      </c>
      <c r="D251" s="5" t="s">
        <v>692</v>
      </c>
      <c r="E251" s="5" t="s">
        <v>2667</v>
      </c>
      <c r="F251" s="5" t="s">
        <v>2668</v>
      </c>
      <c r="G251" s="5" t="s">
        <v>1922</v>
      </c>
      <c r="H251" s="5" t="s">
        <v>1853</v>
      </c>
      <c r="I251" s="5"/>
      <c r="J251" s="16" t="s">
        <v>1854</v>
      </c>
      <c r="K251" s="5" t="s">
        <v>2669</v>
      </c>
      <c r="L251" s="5"/>
      <c r="M251" s="5"/>
      <c r="N251" s="5" t="s">
        <v>811</v>
      </c>
    </row>
    <row r="252" spans="1:14">
      <c r="A252" s="5" t="s">
        <v>279</v>
      </c>
      <c r="B252" s="5" t="s">
        <v>631</v>
      </c>
      <c r="C252" s="5" t="s">
        <v>684</v>
      </c>
      <c r="D252" s="5" t="s">
        <v>692</v>
      </c>
      <c r="E252" s="5" t="s">
        <v>2670</v>
      </c>
      <c r="F252" s="5" t="s">
        <v>2671</v>
      </c>
      <c r="G252" s="5" t="s">
        <v>1922</v>
      </c>
      <c r="H252" s="5" t="s">
        <v>2672</v>
      </c>
      <c r="I252" s="5"/>
      <c r="J252" s="16" t="s">
        <v>1854</v>
      </c>
      <c r="K252" s="5" t="s">
        <v>2673</v>
      </c>
      <c r="L252" s="5"/>
      <c r="M252" s="5"/>
      <c r="N252" s="5" t="s">
        <v>811</v>
      </c>
    </row>
    <row r="253" spans="1:14">
      <c r="A253" s="5" t="s">
        <v>279</v>
      </c>
      <c r="B253" s="5" t="s">
        <v>631</v>
      </c>
      <c r="C253" s="5" t="s">
        <v>684</v>
      </c>
      <c r="D253" s="5" t="s">
        <v>692</v>
      </c>
      <c r="E253" s="5" t="s">
        <v>2674</v>
      </c>
      <c r="F253" s="5" t="s">
        <v>2675</v>
      </c>
      <c r="G253" s="5" t="s">
        <v>1922</v>
      </c>
      <c r="H253" s="5" t="s">
        <v>2672</v>
      </c>
      <c r="I253" s="5"/>
      <c r="J253" s="19" t="s">
        <v>2411</v>
      </c>
      <c r="K253" s="5" t="s">
        <v>2676</v>
      </c>
      <c r="L253" s="5" t="s">
        <v>2677</v>
      </c>
      <c r="M253" s="5"/>
      <c r="N253" s="5" t="s">
        <v>811</v>
      </c>
    </row>
    <row r="254" spans="1:14">
      <c r="A254" s="5" t="s">
        <v>279</v>
      </c>
      <c r="B254" s="5" t="s">
        <v>631</v>
      </c>
      <c r="C254" s="5" t="s">
        <v>684</v>
      </c>
      <c r="D254" s="5" t="s">
        <v>692</v>
      </c>
      <c r="E254" s="5" t="s">
        <v>2678</v>
      </c>
      <c r="F254" s="5" t="s">
        <v>1154</v>
      </c>
      <c r="G254" s="5" t="s">
        <v>2160</v>
      </c>
      <c r="H254" s="5" t="s">
        <v>2672</v>
      </c>
      <c r="I254" s="5"/>
      <c r="J254" s="16" t="s">
        <v>1854</v>
      </c>
      <c r="K254" s="5" t="s">
        <v>2679</v>
      </c>
      <c r="L254" s="5" t="s">
        <v>2680</v>
      </c>
      <c r="M254" s="5" t="s">
        <v>1153</v>
      </c>
      <c r="N254" s="5" t="s">
        <v>811</v>
      </c>
    </row>
    <row r="255" spans="1:14">
      <c r="A255" s="5" t="s">
        <v>279</v>
      </c>
      <c r="B255" s="5" t="s">
        <v>631</v>
      </c>
      <c r="C255" s="5" t="s">
        <v>684</v>
      </c>
      <c r="D255" s="5" t="s">
        <v>692</v>
      </c>
      <c r="E255" s="5" t="s">
        <v>2681</v>
      </c>
      <c r="F255" s="5" t="s">
        <v>1135</v>
      </c>
      <c r="G255" s="5" t="s">
        <v>2239</v>
      </c>
      <c r="H255" s="5" t="s">
        <v>2672</v>
      </c>
      <c r="I255" s="5"/>
      <c r="J255" s="17" t="s">
        <v>1858</v>
      </c>
      <c r="K255" s="5" t="s">
        <v>2682</v>
      </c>
      <c r="L255" s="5" t="s">
        <v>2683</v>
      </c>
      <c r="M255" s="5" t="s">
        <v>2684</v>
      </c>
      <c r="N255" s="5" t="s">
        <v>1654</v>
      </c>
    </row>
    <row r="256" spans="1:14">
      <c r="A256" s="5" t="s">
        <v>279</v>
      </c>
      <c r="B256" s="5" t="s">
        <v>631</v>
      </c>
      <c r="C256" s="5" t="s">
        <v>684</v>
      </c>
      <c r="D256" s="5" t="s">
        <v>692</v>
      </c>
      <c r="E256" s="5" t="s">
        <v>2685</v>
      </c>
      <c r="F256" s="5" t="s">
        <v>2686</v>
      </c>
      <c r="G256" s="5" t="s">
        <v>1922</v>
      </c>
      <c r="H256" s="5" t="s">
        <v>2672</v>
      </c>
      <c r="I256" s="5"/>
      <c r="J256" s="16" t="s">
        <v>1854</v>
      </c>
      <c r="K256" s="5" t="s">
        <v>2687</v>
      </c>
      <c r="L256" s="5"/>
      <c r="M256" s="5"/>
      <c r="N256" s="5" t="s">
        <v>811</v>
      </c>
    </row>
    <row r="257" spans="1:14">
      <c r="A257" s="5" t="s">
        <v>279</v>
      </c>
      <c r="B257" s="5" t="s">
        <v>631</v>
      </c>
      <c r="C257" s="5" t="s">
        <v>684</v>
      </c>
      <c r="D257" s="5" t="s">
        <v>692</v>
      </c>
      <c r="E257" s="5" t="s">
        <v>2688</v>
      </c>
      <c r="F257" s="5" t="s">
        <v>1165</v>
      </c>
      <c r="G257" s="5" t="s">
        <v>2160</v>
      </c>
      <c r="H257" s="5" t="s">
        <v>2689</v>
      </c>
      <c r="I257" s="5"/>
      <c r="J257" s="17" t="s">
        <v>1858</v>
      </c>
      <c r="K257" s="5" t="s">
        <v>2690</v>
      </c>
      <c r="L257" s="5"/>
      <c r="M257" s="5" t="s">
        <v>2691</v>
      </c>
      <c r="N257" s="5" t="s">
        <v>1721</v>
      </c>
    </row>
    <row r="258" spans="1:14">
      <c r="A258" s="5" t="s">
        <v>279</v>
      </c>
      <c r="B258" s="5" t="s">
        <v>631</v>
      </c>
      <c r="C258" s="5" t="s">
        <v>684</v>
      </c>
      <c r="D258" s="5" t="s">
        <v>692</v>
      </c>
      <c r="E258" s="5" t="s">
        <v>2692</v>
      </c>
      <c r="F258" s="5" t="s">
        <v>1123</v>
      </c>
      <c r="G258" s="5" t="s">
        <v>2239</v>
      </c>
      <c r="H258" s="5" t="s">
        <v>2689</v>
      </c>
      <c r="I258" s="5"/>
      <c r="J258" s="16" t="s">
        <v>1854</v>
      </c>
      <c r="K258" s="5" t="s">
        <v>2693</v>
      </c>
      <c r="L258" s="5" t="s">
        <v>2694</v>
      </c>
      <c r="M258" s="5" t="s">
        <v>1122</v>
      </c>
      <c r="N258" s="5" t="s">
        <v>811</v>
      </c>
    </row>
    <row r="259" spans="1:14">
      <c r="A259" s="5" t="s">
        <v>279</v>
      </c>
      <c r="B259" s="5" t="s">
        <v>631</v>
      </c>
      <c r="C259" s="5" t="s">
        <v>684</v>
      </c>
      <c r="D259" s="5" t="s">
        <v>692</v>
      </c>
      <c r="E259" s="5" t="s">
        <v>2695</v>
      </c>
      <c r="F259" s="5" t="s">
        <v>2696</v>
      </c>
      <c r="G259" s="5" t="s">
        <v>1922</v>
      </c>
      <c r="H259" s="5" t="s">
        <v>2689</v>
      </c>
      <c r="I259" s="5"/>
      <c r="J259" s="16" t="s">
        <v>1854</v>
      </c>
      <c r="K259" s="5" t="s">
        <v>2697</v>
      </c>
      <c r="L259" s="5"/>
      <c r="M259" s="5"/>
      <c r="N259" s="5" t="s">
        <v>811</v>
      </c>
    </row>
    <row r="260" spans="1:14">
      <c r="A260" s="5" t="s">
        <v>279</v>
      </c>
      <c r="B260" s="5" t="s">
        <v>631</v>
      </c>
      <c r="C260" s="5" t="s">
        <v>696</v>
      </c>
      <c r="D260" s="5" t="s">
        <v>704</v>
      </c>
      <c r="E260" s="5" t="s">
        <v>2698</v>
      </c>
      <c r="F260" s="5" t="s">
        <v>577</v>
      </c>
      <c r="G260" s="5" t="s">
        <v>2269</v>
      </c>
      <c r="H260" s="5" t="s">
        <v>1853</v>
      </c>
      <c r="I260" s="5"/>
      <c r="J260" s="16" t="s">
        <v>1854</v>
      </c>
      <c r="K260" s="5" t="s">
        <v>2699</v>
      </c>
      <c r="L260" s="5"/>
      <c r="M260" s="5"/>
      <c r="N260" s="5" t="s">
        <v>811</v>
      </c>
    </row>
    <row r="261" spans="1:14">
      <c r="A261" s="5" t="s">
        <v>279</v>
      </c>
      <c r="B261" s="5" t="s">
        <v>631</v>
      </c>
      <c r="C261" s="5" t="s">
        <v>696</v>
      </c>
      <c r="D261" s="5" t="s">
        <v>704</v>
      </c>
      <c r="E261" s="5" t="s">
        <v>2700</v>
      </c>
      <c r="F261" s="5" t="s">
        <v>2668</v>
      </c>
      <c r="G261" s="5" t="s">
        <v>1922</v>
      </c>
      <c r="H261" s="5" t="s">
        <v>1853</v>
      </c>
      <c r="I261" s="5"/>
      <c r="J261" s="16" t="s">
        <v>1854</v>
      </c>
      <c r="K261" s="5" t="s">
        <v>2701</v>
      </c>
      <c r="L261" s="5"/>
      <c r="M261" s="5"/>
      <c r="N261" s="5" t="s">
        <v>811</v>
      </c>
    </row>
    <row r="262" spans="1:14">
      <c r="A262" s="5" t="s">
        <v>279</v>
      </c>
      <c r="B262" s="5" t="s">
        <v>631</v>
      </c>
      <c r="C262" s="5" t="s">
        <v>696</v>
      </c>
      <c r="D262" s="5" t="s">
        <v>704</v>
      </c>
      <c r="E262" s="5" t="s">
        <v>2702</v>
      </c>
      <c r="F262" s="5" t="s">
        <v>2703</v>
      </c>
      <c r="G262" s="5" t="s">
        <v>2239</v>
      </c>
      <c r="H262" s="5" t="s">
        <v>2704</v>
      </c>
      <c r="I262" s="5"/>
      <c r="J262" s="16" t="s">
        <v>1854</v>
      </c>
      <c r="K262" s="5" t="s">
        <v>2705</v>
      </c>
      <c r="L262" s="5"/>
      <c r="M262" s="5"/>
      <c r="N262" s="5" t="s">
        <v>811</v>
      </c>
    </row>
    <row r="263" spans="1:14">
      <c r="A263" s="5" t="s">
        <v>279</v>
      </c>
      <c r="B263" s="5" t="s">
        <v>631</v>
      </c>
      <c r="C263" s="5" t="s">
        <v>696</v>
      </c>
      <c r="D263" s="5" t="s">
        <v>704</v>
      </c>
      <c r="E263" s="5" t="s">
        <v>2706</v>
      </c>
      <c r="F263" s="5" t="s">
        <v>2707</v>
      </c>
      <c r="G263" s="5" t="s">
        <v>1922</v>
      </c>
      <c r="H263" s="5" t="s">
        <v>2704</v>
      </c>
      <c r="I263" s="5"/>
      <c r="J263" s="16" t="s">
        <v>1854</v>
      </c>
      <c r="K263" s="5" t="s">
        <v>2708</v>
      </c>
      <c r="L263" s="5"/>
      <c r="M263" s="5"/>
      <c r="N263" s="5" t="s">
        <v>811</v>
      </c>
    </row>
    <row r="264" spans="1:14">
      <c r="A264" s="5" t="s">
        <v>279</v>
      </c>
      <c r="B264" s="5" t="s">
        <v>631</v>
      </c>
      <c r="C264" s="5" t="s">
        <v>696</v>
      </c>
      <c r="D264" s="5" t="s">
        <v>704</v>
      </c>
      <c r="E264" s="5" t="s">
        <v>2709</v>
      </c>
      <c r="F264" s="5" t="s">
        <v>1175</v>
      </c>
      <c r="G264" s="5" t="s">
        <v>2239</v>
      </c>
      <c r="H264" s="5" t="s">
        <v>2710</v>
      </c>
      <c r="I264" s="5"/>
      <c r="J264" s="17" t="s">
        <v>1858</v>
      </c>
      <c r="K264" s="5" t="s">
        <v>2711</v>
      </c>
      <c r="L264" s="5" t="s">
        <v>2712</v>
      </c>
      <c r="M264" s="5" t="s">
        <v>2713</v>
      </c>
      <c r="N264" s="5" t="s">
        <v>1721</v>
      </c>
    </row>
    <row r="265" spans="1:14">
      <c r="A265" s="5" t="s">
        <v>279</v>
      </c>
      <c r="B265" s="5" t="s">
        <v>631</v>
      </c>
      <c r="C265" s="5" t="s">
        <v>696</v>
      </c>
      <c r="D265" s="5" t="s">
        <v>704</v>
      </c>
      <c r="E265" s="5" t="s">
        <v>2714</v>
      </c>
      <c r="F265" s="5" t="s">
        <v>2715</v>
      </c>
      <c r="G265" s="5" t="s">
        <v>2269</v>
      </c>
      <c r="H265" s="5" t="s">
        <v>2716</v>
      </c>
      <c r="I265" s="5"/>
      <c r="J265" s="16" t="s">
        <v>1854</v>
      </c>
      <c r="K265" s="5" t="s">
        <v>2717</v>
      </c>
      <c r="L265" s="5"/>
      <c r="M265" s="5"/>
      <c r="N265" s="5" t="s">
        <v>811</v>
      </c>
    </row>
    <row r="266" spans="1:14">
      <c r="A266" s="5" t="s">
        <v>279</v>
      </c>
      <c r="B266" s="5" t="s">
        <v>708</v>
      </c>
      <c r="C266" s="5" t="s">
        <v>1186</v>
      </c>
      <c r="D266" s="5" t="s">
        <v>1196</v>
      </c>
      <c r="E266" s="5" t="s">
        <v>2718</v>
      </c>
      <c r="F266" s="5" t="s">
        <v>577</v>
      </c>
      <c r="G266" s="5" t="s">
        <v>2269</v>
      </c>
      <c r="H266" s="5" t="s">
        <v>1853</v>
      </c>
      <c r="I266" s="5"/>
      <c r="J266" s="16" t="s">
        <v>1854</v>
      </c>
      <c r="K266" s="5" t="s">
        <v>2719</v>
      </c>
      <c r="L266" s="5"/>
      <c r="M266" s="5"/>
      <c r="N266" s="5" t="s">
        <v>811</v>
      </c>
    </row>
    <row r="267" spans="1:14">
      <c r="A267" s="5" t="s">
        <v>279</v>
      </c>
      <c r="B267" s="5" t="s">
        <v>708</v>
      </c>
      <c r="C267" s="5" t="s">
        <v>1186</v>
      </c>
      <c r="D267" s="5" t="s">
        <v>1196</v>
      </c>
      <c r="E267" s="5" t="s">
        <v>2720</v>
      </c>
      <c r="F267" s="5" t="s">
        <v>2111</v>
      </c>
      <c r="G267" s="5" t="s">
        <v>1922</v>
      </c>
      <c r="H267" s="5" t="s">
        <v>1853</v>
      </c>
      <c r="I267" s="5"/>
      <c r="J267" s="16" t="s">
        <v>1854</v>
      </c>
      <c r="K267" s="5" t="s">
        <v>2721</v>
      </c>
      <c r="L267" s="5"/>
      <c r="M267" s="5"/>
      <c r="N267" s="5" t="s">
        <v>811</v>
      </c>
    </row>
    <row r="268" spans="1:14">
      <c r="A268" s="5" t="s">
        <v>279</v>
      </c>
      <c r="B268" s="5" t="s">
        <v>708</v>
      </c>
      <c r="C268" s="5" t="s">
        <v>1186</v>
      </c>
      <c r="D268" s="5" t="s">
        <v>1196</v>
      </c>
      <c r="E268" s="5" t="s">
        <v>2722</v>
      </c>
      <c r="F268" s="5" t="s">
        <v>2723</v>
      </c>
      <c r="G268" s="5" t="s">
        <v>2269</v>
      </c>
      <c r="H268" s="5" t="s">
        <v>1853</v>
      </c>
      <c r="I268" s="5"/>
      <c r="J268" s="16" t="s">
        <v>1854</v>
      </c>
      <c r="K268" s="5" t="s">
        <v>2724</v>
      </c>
      <c r="L268" s="5"/>
      <c r="M268" s="5"/>
      <c r="N268" s="5" t="s">
        <v>811</v>
      </c>
    </row>
    <row r="269" spans="1:14">
      <c r="A269" s="5" t="s">
        <v>279</v>
      </c>
      <c r="B269" s="5" t="s">
        <v>708</v>
      </c>
      <c r="C269" s="5" t="s">
        <v>1186</v>
      </c>
      <c r="D269" s="5" t="s">
        <v>1196</v>
      </c>
      <c r="E269" s="5" t="s">
        <v>2725</v>
      </c>
      <c r="F269" s="5" t="s">
        <v>1200</v>
      </c>
      <c r="G269" s="5" t="s">
        <v>2114</v>
      </c>
      <c r="H269" s="5" t="s">
        <v>2285</v>
      </c>
      <c r="I269" s="5"/>
      <c r="J269" s="16" t="s">
        <v>1854</v>
      </c>
      <c r="K269" s="5" t="s">
        <v>2726</v>
      </c>
      <c r="L269" s="5" t="s">
        <v>2727</v>
      </c>
      <c r="M269" s="5" t="s">
        <v>1199</v>
      </c>
      <c r="N269" s="5" t="s">
        <v>1654</v>
      </c>
    </row>
    <row r="270" spans="1:14">
      <c r="A270" s="5" t="s">
        <v>279</v>
      </c>
      <c r="B270" s="5" t="s">
        <v>708</v>
      </c>
      <c r="C270" s="5" t="s">
        <v>1186</v>
      </c>
      <c r="D270" s="5" t="s">
        <v>1196</v>
      </c>
      <c r="E270" s="5" t="s">
        <v>2728</v>
      </c>
      <c r="F270" s="5" t="s">
        <v>2729</v>
      </c>
      <c r="G270" s="5" t="s">
        <v>2294</v>
      </c>
      <c r="H270" s="5" t="s">
        <v>2285</v>
      </c>
      <c r="I270" s="5"/>
      <c r="J270" s="16" t="s">
        <v>1854</v>
      </c>
      <c r="K270" s="5" t="s">
        <v>2730</v>
      </c>
      <c r="L270" s="5"/>
      <c r="M270" s="5"/>
      <c r="N270" s="5" t="s">
        <v>811</v>
      </c>
    </row>
    <row r="271" spans="1:14">
      <c r="A271" s="5" t="s">
        <v>279</v>
      </c>
      <c r="B271" s="5" t="s">
        <v>708</v>
      </c>
      <c r="C271" s="5" t="s">
        <v>1186</v>
      </c>
      <c r="D271" s="5" t="s">
        <v>1196</v>
      </c>
      <c r="E271" s="5" t="s">
        <v>2731</v>
      </c>
      <c r="F271" s="5" t="s">
        <v>2494</v>
      </c>
      <c r="G271" s="5" t="s">
        <v>1922</v>
      </c>
      <c r="H271" s="5" t="s">
        <v>2285</v>
      </c>
      <c r="I271" s="5"/>
      <c r="J271" s="17" t="s">
        <v>1858</v>
      </c>
      <c r="K271" s="5" t="s">
        <v>2732</v>
      </c>
      <c r="L271" s="5" t="s">
        <v>2733</v>
      </c>
      <c r="M271" s="5"/>
      <c r="N271" s="5" t="s">
        <v>811</v>
      </c>
    </row>
    <row r="272" spans="1:14">
      <c r="A272" s="5" t="s">
        <v>279</v>
      </c>
      <c r="B272" s="5" t="s">
        <v>708</v>
      </c>
      <c r="C272" s="5" t="s">
        <v>1186</v>
      </c>
      <c r="D272" s="5" t="s">
        <v>1196</v>
      </c>
      <c r="E272" s="5" t="s">
        <v>2734</v>
      </c>
      <c r="F272" s="5" t="s">
        <v>1187</v>
      </c>
      <c r="G272" s="5" t="s">
        <v>2239</v>
      </c>
      <c r="H272" s="5" t="s">
        <v>2606</v>
      </c>
      <c r="I272" s="5"/>
      <c r="J272" s="17" t="s">
        <v>1858</v>
      </c>
      <c r="K272" s="5" t="s">
        <v>2735</v>
      </c>
      <c r="L272" s="5" t="s">
        <v>2736</v>
      </c>
      <c r="M272" s="5" t="s">
        <v>2737</v>
      </c>
      <c r="N272" s="5" t="s">
        <v>1654</v>
      </c>
    </row>
    <row r="273" spans="1:14">
      <c r="A273" s="5" t="s">
        <v>279</v>
      </c>
      <c r="B273" s="5" t="s">
        <v>708</v>
      </c>
      <c r="C273" s="5" t="s">
        <v>1186</v>
      </c>
      <c r="D273" s="5" t="s">
        <v>1196</v>
      </c>
      <c r="E273" s="5" t="s">
        <v>2738</v>
      </c>
      <c r="F273" s="5" t="s">
        <v>2739</v>
      </c>
      <c r="G273" s="5" t="s">
        <v>2160</v>
      </c>
      <c r="H273" s="5" t="s">
        <v>2146</v>
      </c>
      <c r="I273" s="5"/>
      <c r="J273" s="16" t="s">
        <v>1854</v>
      </c>
      <c r="K273" s="5" t="s">
        <v>2740</v>
      </c>
      <c r="L273" s="5"/>
      <c r="M273" s="5"/>
      <c r="N273" s="5" t="s">
        <v>811</v>
      </c>
    </row>
    <row r="274" spans="1:14">
      <c r="A274" s="5" t="s">
        <v>279</v>
      </c>
      <c r="B274" s="5" t="s">
        <v>708</v>
      </c>
      <c r="C274" s="5" t="s">
        <v>1186</v>
      </c>
      <c r="D274" s="5" t="s">
        <v>1196</v>
      </c>
      <c r="E274" s="5" t="s">
        <v>2741</v>
      </c>
      <c r="F274" s="5" t="s">
        <v>2742</v>
      </c>
      <c r="G274" s="5" t="s">
        <v>2239</v>
      </c>
      <c r="H274" s="5" t="s">
        <v>2606</v>
      </c>
      <c r="I274" s="5"/>
      <c r="J274" s="16" t="s">
        <v>1854</v>
      </c>
      <c r="K274" s="5" t="s">
        <v>2743</v>
      </c>
      <c r="L274" s="5"/>
      <c r="M274" s="5"/>
      <c r="N274" s="5" t="s">
        <v>811</v>
      </c>
    </row>
    <row r="275" spans="1:14">
      <c r="A275" s="5" t="s">
        <v>279</v>
      </c>
      <c r="B275" s="5" t="s">
        <v>708</v>
      </c>
      <c r="C275" s="5" t="s">
        <v>1186</v>
      </c>
      <c r="D275" s="5" t="s">
        <v>1196</v>
      </c>
      <c r="E275" s="5" t="s">
        <v>2744</v>
      </c>
      <c r="F275" s="5" t="s">
        <v>2745</v>
      </c>
      <c r="G275" s="5" t="s">
        <v>1922</v>
      </c>
      <c r="H275" s="5" t="s">
        <v>2146</v>
      </c>
      <c r="I275" s="5"/>
      <c r="J275" s="16" t="s">
        <v>1854</v>
      </c>
      <c r="K275" s="5" t="s">
        <v>2746</v>
      </c>
      <c r="L275" s="5"/>
      <c r="M275" s="5"/>
      <c r="N275" s="5" t="s">
        <v>811</v>
      </c>
    </row>
    <row r="276" spans="1:14">
      <c r="A276" s="5" t="s">
        <v>279</v>
      </c>
      <c r="B276" s="5" t="s">
        <v>708</v>
      </c>
      <c r="C276" s="5" t="s">
        <v>709</v>
      </c>
      <c r="D276" s="5" t="s">
        <v>717</v>
      </c>
      <c r="E276" s="5" t="s">
        <v>2747</v>
      </c>
      <c r="F276" s="5" t="s">
        <v>577</v>
      </c>
      <c r="G276" s="5" t="s">
        <v>2269</v>
      </c>
      <c r="H276" s="5" t="s">
        <v>1853</v>
      </c>
      <c r="I276" s="5"/>
      <c r="J276" s="16" t="s">
        <v>1854</v>
      </c>
      <c r="K276" s="5" t="s">
        <v>2748</v>
      </c>
      <c r="L276" s="5"/>
      <c r="M276" s="5"/>
      <c r="N276" s="5" t="s">
        <v>811</v>
      </c>
    </row>
    <row r="277" spans="1:14">
      <c r="A277" s="5" t="s">
        <v>279</v>
      </c>
      <c r="B277" s="5" t="s">
        <v>708</v>
      </c>
      <c r="C277" s="5" t="s">
        <v>709</v>
      </c>
      <c r="D277" s="5" t="s">
        <v>717</v>
      </c>
      <c r="E277" s="5" t="s">
        <v>2749</v>
      </c>
      <c r="F277" s="5" t="s">
        <v>2111</v>
      </c>
      <c r="G277" s="5" t="s">
        <v>1922</v>
      </c>
      <c r="H277" s="5" t="s">
        <v>1853</v>
      </c>
      <c r="I277" s="5"/>
      <c r="J277" s="16" t="s">
        <v>1854</v>
      </c>
      <c r="K277" s="5" t="s">
        <v>2750</v>
      </c>
      <c r="L277" s="5"/>
      <c r="M277" s="5"/>
      <c r="N277" s="5" t="s">
        <v>811</v>
      </c>
    </row>
    <row r="278" spans="1:14">
      <c r="A278" s="5" t="s">
        <v>279</v>
      </c>
      <c r="B278" s="5" t="s">
        <v>708</v>
      </c>
      <c r="C278" s="5" t="s">
        <v>709</v>
      </c>
      <c r="D278" s="5" t="s">
        <v>717</v>
      </c>
      <c r="E278" s="5" t="s">
        <v>2751</v>
      </c>
      <c r="F278" s="5" t="s">
        <v>2752</v>
      </c>
      <c r="G278" s="5" t="s">
        <v>2160</v>
      </c>
      <c r="H278" s="5" t="s">
        <v>2146</v>
      </c>
      <c r="I278" s="5"/>
      <c r="J278" s="16" t="s">
        <v>1854</v>
      </c>
      <c r="K278" s="5" t="s">
        <v>2753</v>
      </c>
      <c r="L278" s="5"/>
      <c r="M278" s="5"/>
      <c r="N278" s="5" t="s">
        <v>811</v>
      </c>
    </row>
    <row r="279" spans="1:14">
      <c r="A279" s="5" t="s">
        <v>279</v>
      </c>
      <c r="B279" s="5" t="s">
        <v>708</v>
      </c>
      <c r="C279" s="5" t="s">
        <v>709</v>
      </c>
      <c r="D279" s="5" t="s">
        <v>717</v>
      </c>
      <c r="E279" s="5" t="s">
        <v>2754</v>
      </c>
      <c r="F279" s="5" t="s">
        <v>2755</v>
      </c>
      <c r="G279" s="5" t="s">
        <v>2269</v>
      </c>
      <c r="H279" s="5" t="s">
        <v>2276</v>
      </c>
      <c r="I279" s="5"/>
      <c r="J279" s="16" t="s">
        <v>1854</v>
      </c>
      <c r="K279" s="5" t="s">
        <v>2756</v>
      </c>
      <c r="L279" s="5"/>
      <c r="M279" s="5"/>
      <c r="N279" s="5" t="s">
        <v>811</v>
      </c>
    </row>
    <row r="280" spans="1:14">
      <c r="A280" s="5" t="s">
        <v>279</v>
      </c>
      <c r="B280" s="5" t="s">
        <v>708</v>
      </c>
      <c r="C280" s="5" t="s">
        <v>2757</v>
      </c>
      <c r="D280" s="5" t="s">
        <v>2758</v>
      </c>
      <c r="E280" s="5" t="s">
        <v>2759</v>
      </c>
      <c r="F280" s="5" t="s">
        <v>577</v>
      </c>
      <c r="G280" s="5" t="s">
        <v>2269</v>
      </c>
      <c r="H280" s="5" t="s">
        <v>1853</v>
      </c>
      <c r="I280" s="5"/>
      <c r="J280" s="16" t="s">
        <v>1854</v>
      </c>
      <c r="K280" s="5" t="s">
        <v>2760</v>
      </c>
      <c r="L280" s="5"/>
      <c r="M280" s="5"/>
      <c r="N280" s="5" t="s">
        <v>811</v>
      </c>
    </row>
    <row r="281" spans="1:14">
      <c r="A281" s="5" t="s">
        <v>279</v>
      </c>
      <c r="B281" s="5" t="s">
        <v>708</v>
      </c>
      <c r="C281" s="5" t="s">
        <v>2757</v>
      </c>
      <c r="D281" s="5" t="s">
        <v>2758</v>
      </c>
      <c r="E281" s="5" t="s">
        <v>2761</v>
      </c>
      <c r="F281" s="5" t="s">
        <v>2111</v>
      </c>
      <c r="G281" s="5" t="s">
        <v>1922</v>
      </c>
      <c r="H281" s="5" t="s">
        <v>1853</v>
      </c>
      <c r="I281" s="5"/>
      <c r="J281" s="16" t="s">
        <v>1854</v>
      </c>
      <c r="K281" s="5" t="s">
        <v>2762</v>
      </c>
      <c r="L281" s="5"/>
      <c r="M281" s="5"/>
      <c r="N281" s="5" t="s">
        <v>811</v>
      </c>
    </row>
    <row r="282" spans="1:14">
      <c r="A282" s="5" t="s">
        <v>279</v>
      </c>
      <c r="B282" s="5" t="s">
        <v>708</v>
      </c>
      <c r="C282" s="5" t="s">
        <v>2757</v>
      </c>
      <c r="D282" s="5" t="s">
        <v>2758</v>
      </c>
      <c r="E282" s="5" t="s">
        <v>2763</v>
      </c>
      <c r="F282" s="5" t="s">
        <v>2764</v>
      </c>
      <c r="G282" s="5" t="s">
        <v>2160</v>
      </c>
      <c r="H282" s="5" t="s">
        <v>2146</v>
      </c>
      <c r="I282" s="5"/>
      <c r="J282" s="16" t="s">
        <v>1854</v>
      </c>
      <c r="K282" s="5" t="s">
        <v>2765</v>
      </c>
      <c r="L282" s="5"/>
      <c r="M282" s="5"/>
      <c r="N282" s="5" t="s">
        <v>811</v>
      </c>
    </row>
    <row r="283" spans="1:14">
      <c r="A283" s="5" t="s">
        <v>279</v>
      </c>
      <c r="B283" s="5" t="s">
        <v>708</v>
      </c>
      <c r="C283" s="5" t="s">
        <v>1444</v>
      </c>
      <c r="D283" s="5" t="s">
        <v>1452</v>
      </c>
      <c r="E283" s="5" t="s">
        <v>2766</v>
      </c>
      <c r="F283" s="5" t="s">
        <v>577</v>
      </c>
      <c r="G283" s="5" t="s">
        <v>2269</v>
      </c>
      <c r="H283" s="5" t="s">
        <v>1853</v>
      </c>
      <c r="I283" s="5"/>
      <c r="J283" s="16" t="s">
        <v>1854</v>
      </c>
      <c r="K283" s="5" t="s">
        <v>2767</v>
      </c>
      <c r="L283" s="5"/>
      <c r="M283" s="5" t="s">
        <v>1443</v>
      </c>
      <c r="N283" s="5" t="s">
        <v>811</v>
      </c>
    </row>
    <row r="284" spans="1:14">
      <c r="A284" s="5" t="s">
        <v>279</v>
      </c>
      <c r="B284" s="5" t="s">
        <v>708</v>
      </c>
      <c r="C284" s="5" t="s">
        <v>1444</v>
      </c>
      <c r="D284" s="5" t="s">
        <v>1452</v>
      </c>
      <c r="E284" s="5" t="s">
        <v>2768</v>
      </c>
      <c r="F284" s="5" t="s">
        <v>2111</v>
      </c>
      <c r="G284" s="5" t="s">
        <v>1922</v>
      </c>
      <c r="H284" s="5" t="s">
        <v>1853</v>
      </c>
      <c r="I284" s="5"/>
      <c r="J284" s="16" t="s">
        <v>1854</v>
      </c>
      <c r="K284" s="5" t="s">
        <v>2769</v>
      </c>
      <c r="L284" s="5"/>
      <c r="M284" s="5"/>
      <c r="N284" s="5" t="s">
        <v>811</v>
      </c>
    </row>
    <row r="285" spans="1:14">
      <c r="A285" s="5" t="s">
        <v>279</v>
      </c>
      <c r="B285" s="5" t="s">
        <v>708</v>
      </c>
      <c r="C285" s="5" t="s">
        <v>1444</v>
      </c>
      <c r="D285" s="5" t="s">
        <v>1452</v>
      </c>
      <c r="E285" s="5" t="s">
        <v>2770</v>
      </c>
      <c r="F285" s="5" t="s">
        <v>2771</v>
      </c>
      <c r="G285" s="5" t="s">
        <v>2160</v>
      </c>
      <c r="H285" s="5" t="s">
        <v>2146</v>
      </c>
      <c r="I285" s="5"/>
      <c r="J285" s="16" t="s">
        <v>1854</v>
      </c>
      <c r="K285" s="5" t="s">
        <v>2772</v>
      </c>
      <c r="L285" s="5"/>
      <c r="M285" s="5"/>
      <c r="N285" s="5" t="s">
        <v>811</v>
      </c>
    </row>
    <row r="286" spans="1:14">
      <c r="A286" s="5" t="s">
        <v>279</v>
      </c>
      <c r="B286" s="5" t="s">
        <v>1221</v>
      </c>
      <c r="C286" s="5" t="s">
        <v>1222</v>
      </c>
      <c r="D286" s="5" t="s">
        <v>1232</v>
      </c>
      <c r="E286" s="5" t="s">
        <v>2773</v>
      </c>
      <c r="F286" s="5" t="s">
        <v>577</v>
      </c>
      <c r="G286" s="5" t="s">
        <v>2269</v>
      </c>
      <c r="H286" s="5" t="s">
        <v>1853</v>
      </c>
      <c r="I286" s="5"/>
      <c r="J286" s="16" t="s">
        <v>1854</v>
      </c>
      <c r="K286" s="5" t="s">
        <v>2774</v>
      </c>
      <c r="L286" s="5"/>
      <c r="M286" s="5"/>
      <c r="N286" s="5" t="s">
        <v>811</v>
      </c>
    </row>
    <row r="287" spans="1:14">
      <c r="A287" s="5" t="s">
        <v>279</v>
      </c>
      <c r="B287" s="5" t="s">
        <v>1221</v>
      </c>
      <c r="C287" s="5" t="s">
        <v>1222</v>
      </c>
      <c r="D287" s="5" t="s">
        <v>1232</v>
      </c>
      <c r="E287" s="5" t="s">
        <v>2775</v>
      </c>
      <c r="F287" s="5" t="s">
        <v>2111</v>
      </c>
      <c r="G287" s="5" t="s">
        <v>1922</v>
      </c>
      <c r="H287" s="5" t="s">
        <v>1853</v>
      </c>
      <c r="I287" s="5"/>
      <c r="J287" s="16" t="s">
        <v>1854</v>
      </c>
      <c r="K287" s="5" t="s">
        <v>2776</v>
      </c>
      <c r="L287" s="5"/>
      <c r="M287" s="5"/>
      <c r="N287" s="5" t="s">
        <v>811</v>
      </c>
    </row>
    <row r="288" spans="1:14">
      <c r="A288" s="5" t="s">
        <v>279</v>
      </c>
      <c r="B288" s="5" t="s">
        <v>1221</v>
      </c>
      <c r="C288" s="5" t="s">
        <v>1222</v>
      </c>
      <c r="D288" s="5" t="s">
        <v>1232</v>
      </c>
      <c r="E288" s="5" t="s">
        <v>2777</v>
      </c>
      <c r="F288" s="5" t="s">
        <v>2778</v>
      </c>
      <c r="G288" s="5" t="s">
        <v>2114</v>
      </c>
      <c r="H288" s="5" t="s">
        <v>2285</v>
      </c>
      <c r="I288" s="5"/>
      <c r="J288" s="16" t="s">
        <v>1854</v>
      </c>
      <c r="K288" s="5" t="s">
        <v>2779</v>
      </c>
      <c r="L288" s="5" t="s">
        <v>2780</v>
      </c>
      <c r="M288" s="5"/>
      <c r="N288" s="5" t="s">
        <v>811</v>
      </c>
    </row>
    <row r="289" spans="1:14">
      <c r="A289" s="5" t="s">
        <v>279</v>
      </c>
      <c r="B289" s="5" t="s">
        <v>1221</v>
      </c>
      <c r="C289" s="5" t="s">
        <v>1222</v>
      </c>
      <c r="D289" s="5" t="s">
        <v>1232</v>
      </c>
      <c r="E289" s="5" t="s">
        <v>2781</v>
      </c>
      <c r="F289" s="5" t="s">
        <v>1257</v>
      </c>
      <c r="G289" s="5" t="s">
        <v>2160</v>
      </c>
      <c r="H289" s="5" t="s">
        <v>2146</v>
      </c>
      <c r="I289" s="5"/>
      <c r="J289" s="17" t="s">
        <v>1858</v>
      </c>
      <c r="K289" s="5" t="s">
        <v>2782</v>
      </c>
      <c r="L289" s="5" t="s">
        <v>2783</v>
      </c>
      <c r="M289" s="5" t="s">
        <v>1256</v>
      </c>
      <c r="N289" s="5" t="s">
        <v>1654</v>
      </c>
    </row>
    <row r="290" spans="1:14">
      <c r="A290" s="5" t="s">
        <v>279</v>
      </c>
      <c r="B290" s="5" t="s">
        <v>1221</v>
      </c>
      <c r="C290" s="5" t="s">
        <v>1222</v>
      </c>
      <c r="D290" s="5" t="s">
        <v>1232</v>
      </c>
      <c r="E290" s="5" t="s">
        <v>2784</v>
      </c>
      <c r="F290" s="5" t="s">
        <v>2785</v>
      </c>
      <c r="G290" s="5" t="s">
        <v>2239</v>
      </c>
      <c r="H290" s="5" t="s">
        <v>2786</v>
      </c>
      <c r="I290" s="5"/>
      <c r="J290" s="16" t="s">
        <v>1854</v>
      </c>
      <c r="K290" s="5" t="s">
        <v>2787</v>
      </c>
      <c r="L290" s="5"/>
      <c r="M290" s="5"/>
      <c r="N290" s="5" t="s">
        <v>811</v>
      </c>
    </row>
    <row r="291" spans="1:14">
      <c r="A291" s="5" t="s">
        <v>279</v>
      </c>
      <c r="B291" s="5" t="s">
        <v>1221</v>
      </c>
      <c r="C291" s="5" t="s">
        <v>1222</v>
      </c>
      <c r="D291" s="5" t="s">
        <v>1232</v>
      </c>
      <c r="E291" s="5" t="s">
        <v>2788</v>
      </c>
      <c r="F291" s="5" t="s">
        <v>1223</v>
      </c>
      <c r="G291" s="5" t="s">
        <v>2789</v>
      </c>
      <c r="H291" s="5" t="s">
        <v>2786</v>
      </c>
      <c r="I291" s="5"/>
      <c r="J291" s="17" t="s">
        <v>1858</v>
      </c>
      <c r="K291" s="5" t="s">
        <v>2790</v>
      </c>
      <c r="L291" s="5" t="s">
        <v>2791</v>
      </c>
      <c r="M291" s="5" t="s">
        <v>1220</v>
      </c>
      <c r="N291" s="5" t="s">
        <v>811</v>
      </c>
    </row>
    <row r="292" spans="1:14">
      <c r="A292" s="5" t="s">
        <v>279</v>
      </c>
      <c r="B292" s="5" t="s">
        <v>1221</v>
      </c>
      <c r="C292" s="5" t="s">
        <v>1222</v>
      </c>
      <c r="D292" s="5" t="s">
        <v>1232</v>
      </c>
      <c r="E292" s="5" t="s">
        <v>2792</v>
      </c>
      <c r="F292" s="5" t="s">
        <v>1236</v>
      </c>
      <c r="G292" s="5" t="s">
        <v>1862</v>
      </c>
      <c r="H292" s="5" t="s">
        <v>2786</v>
      </c>
      <c r="I292" s="5"/>
      <c r="J292" s="16" t="s">
        <v>1854</v>
      </c>
      <c r="K292" s="5" t="s">
        <v>2793</v>
      </c>
      <c r="L292" s="5" t="s">
        <v>2794</v>
      </c>
      <c r="M292" s="5" t="s">
        <v>1235</v>
      </c>
      <c r="N292" s="5" t="s">
        <v>811</v>
      </c>
    </row>
    <row r="293" spans="1:14">
      <c r="A293" s="5" t="s">
        <v>279</v>
      </c>
      <c r="B293" s="5" t="s">
        <v>1221</v>
      </c>
      <c r="C293" s="5" t="s">
        <v>1222</v>
      </c>
      <c r="D293" s="5" t="s">
        <v>1232</v>
      </c>
      <c r="E293" s="5" t="s">
        <v>2795</v>
      </c>
      <c r="F293" s="5" t="s">
        <v>2796</v>
      </c>
      <c r="G293" s="5" t="s">
        <v>1862</v>
      </c>
      <c r="H293" s="5" t="s">
        <v>2786</v>
      </c>
      <c r="I293" s="5"/>
      <c r="J293" s="16" t="s">
        <v>1854</v>
      </c>
      <c r="K293" s="5" t="s">
        <v>2797</v>
      </c>
      <c r="L293" s="5"/>
      <c r="M293" s="5"/>
      <c r="N293" s="5" t="s">
        <v>811</v>
      </c>
    </row>
    <row r="294" spans="1:14">
      <c r="A294" s="5" t="s">
        <v>279</v>
      </c>
      <c r="B294" s="5" t="s">
        <v>1221</v>
      </c>
      <c r="C294" s="5" t="s">
        <v>1222</v>
      </c>
      <c r="D294" s="5" t="s">
        <v>1232</v>
      </c>
      <c r="E294" s="5" t="s">
        <v>2798</v>
      </c>
      <c r="F294" s="5" t="s">
        <v>2799</v>
      </c>
      <c r="G294" s="5" t="s">
        <v>2269</v>
      </c>
      <c r="H294" s="5" t="s">
        <v>2786</v>
      </c>
      <c r="I294" s="5"/>
      <c r="J294" s="16" t="s">
        <v>1854</v>
      </c>
      <c r="K294" s="5" t="s">
        <v>2800</v>
      </c>
      <c r="L294" s="5"/>
      <c r="M294" s="5"/>
      <c r="N294" s="5" t="s">
        <v>811</v>
      </c>
    </row>
    <row r="295" spans="1:14">
      <c r="A295" s="5" t="s">
        <v>279</v>
      </c>
      <c r="B295" s="5" t="s">
        <v>1221</v>
      </c>
      <c r="C295" s="5" t="s">
        <v>1222</v>
      </c>
      <c r="D295" s="5" t="s">
        <v>1232</v>
      </c>
      <c r="E295" s="5" t="s">
        <v>2801</v>
      </c>
      <c r="F295" s="5" t="s">
        <v>2802</v>
      </c>
      <c r="G295" s="5" t="s">
        <v>1922</v>
      </c>
      <c r="H295" s="5" t="s">
        <v>2786</v>
      </c>
      <c r="I295" s="5"/>
      <c r="J295" s="17" t="s">
        <v>1858</v>
      </c>
      <c r="K295" s="5" t="s">
        <v>2803</v>
      </c>
      <c r="L295" s="5" t="s">
        <v>2804</v>
      </c>
      <c r="M295" s="5"/>
      <c r="N295" s="5" t="s">
        <v>811</v>
      </c>
    </row>
    <row r="296" spans="1:14">
      <c r="A296" s="5" t="s">
        <v>279</v>
      </c>
      <c r="B296" s="5" t="s">
        <v>1221</v>
      </c>
      <c r="C296" s="5" t="s">
        <v>1222</v>
      </c>
      <c r="D296" s="5" t="s">
        <v>1232</v>
      </c>
      <c r="E296" s="5" t="s">
        <v>2805</v>
      </c>
      <c r="F296" s="5" t="s">
        <v>1246</v>
      </c>
      <c r="G296" s="5" t="s">
        <v>2239</v>
      </c>
      <c r="H296" s="5" t="s">
        <v>2146</v>
      </c>
      <c r="I296" s="5"/>
      <c r="J296" s="16" t="s">
        <v>1854</v>
      </c>
      <c r="K296" s="5" t="s">
        <v>2806</v>
      </c>
      <c r="L296" s="5" t="s">
        <v>2807</v>
      </c>
      <c r="M296" s="5" t="s">
        <v>1245</v>
      </c>
      <c r="N296" s="5" t="s">
        <v>811</v>
      </c>
    </row>
    <row r="297" spans="1:14">
      <c r="A297" s="5" t="s">
        <v>279</v>
      </c>
      <c r="B297" s="5" t="s">
        <v>1221</v>
      </c>
      <c r="C297" s="5" t="s">
        <v>1222</v>
      </c>
      <c r="D297" s="5" t="s">
        <v>1232</v>
      </c>
      <c r="E297" s="5" t="s">
        <v>2808</v>
      </c>
      <c r="F297" s="5" t="s">
        <v>1614</v>
      </c>
      <c r="G297" s="5" t="s">
        <v>1922</v>
      </c>
      <c r="H297" s="5" t="s">
        <v>2146</v>
      </c>
      <c r="I297" s="5"/>
      <c r="J297" s="16" t="s">
        <v>1854</v>
      </c>
      <c r="K297" s="5" t="s">
        <v>2809</v>
      </c>
      <c r="L297" s="5"/>
      <c r="M297" s="5"/>
      <c r="N297" s="5" t="s">
        <v>811</v>
      </c>
    </row>
    <row r="298" spans="1:14">
      <c r="A298" s="5" t="s">
        <v>279</v>
      </c>
      <c r="B298" s="5" t="s">
        <v>1221</v>
      </c>
      <c r="C298" s="5" t="s">
        <v>1269</v>
      </c>
      <c r="D298" s="5" t="s">
        <v>1279</v>
      </c>
      <c r="E298" s="5" t="s">
        <v>2810</v>
      </c>
      <c r="F298" s="5" t="s">
        <v>577</v>
      </c>
      <c r="G298" s="5" t="s">
        <v>2269</v>
      </c>
      <c r="H298" s="5" t="s">
        <v>1853</v>
      </c>
      <c r="I298" s="5"/>
      <c r="J298" s="16" t="s">
        <v>1854</v>
      </c>
      <c r="K298" s="5" t="s">
        <v>2811</v>
      </c>
      <c r="L298" s="5"/>
      <c r="M298" s="5"/>
      <c r="N298" s="5" t="s">
        <v>811</v>
      </c>
    </row>
    <row r="299" spans="1:14">
      <c r="A299" s="5" t="s">
        <v>279</v>
      </c>
      <c r="B299" s="5" t="s">
        <v>1221</v>
      </c>
      <c r="C299" s="5" t="s">
        <v>1269</v>
      </c>
      <c r="D299" s="5" t="s">
        <v>1279</v>
      </c>
      <c r="E299" s="5" t="s">
        <v>2812</v>
      </c>
      <c r="F299" s="5" t="s">
        <v>2111</v>
      </c>
      <c r="G299" s="5" t="s">
        <v>1922</v>
      </c>
      <c r="H299" s="5" t="s">
        <v>1853</v>
      </c>
      <c r="I299" s="5"/>
      <c r="J299" s="16" t="s">
        <v>1854</v>
      </c>
      <c r="K299" s="5" t="s">
        <v>2813</v>
      </c>
      <c r="L299" s="5"/>
      <c r="M299" s="5"/>
      <c r="N299" s="5" t="s">
        <v>811</v>
      </c>
    </row>
    <row r="300" spans="1:14">
      <c r="A300" s="5" t="s">
        <v>279</v>
      </c>
      <c r="B300" s="5" t="s">
        <v>1221</v>
      </c>
      <c r="C300" s="5" t="s">
        <v>1269</v>
      </c>
      <c r="D300" s="5" t="s">
        <v>1279</v>
      </c>
      <c r="E300" s="5" t="s">
        <v>2814</v>
      </c>
      <c r="F300" s="5" t="s">
        <v>2815</v>
      </c>
      <c r="G300" s="5" t="s">
        <v>2816</v>
      </c>
      <c r="H300" s="5" t="s">
        <v>2285</v>
      </c>
      <c r="I300" s="5"/>
      <c r="J300" s="17" t="s">
        <v>1858</v>
      </c>
      <c r="K300" s="5" t="s">
        <v>2817</v>
      </c>
      <c r="L300" s="5" t="s">
        <v>2818</v>
      </c>
      <c r="M300" s="5"/>
      <c r="N300" s="5" t="s">
        <v>811</v>
      </c>
    </row>
    <row r="301" spans="1:14">
      <c r="A301" s="5" t="s">
        <v>279</v>
      </c>
      <c r="B301" s="5" t="s">
        <v>1221</v>
      </c>
      <c r="C301" s="5" t="s">
        <v>1269</v>
      </c>
      <c r="D301" s="5" t="s">
        <v>1279</v>
      </c>
      <c r="E301" s="5" t="s">
        <v>2819</v>
      </c>
      <c r="F301" s="5" t="s">
        <v>2820</v>
      </c>
      <c r="G301" s="5" t="s">
        <v>2160</v>
      </c>
      <c r="H301" s="5" t="s">
        <v>2146</v>
      </c>
      <c r="I301" s="5"/>
      <c r="J301" s="16" t="s">
        <v>1854</v>
      </c>
      <c r="K301" s="5" t="s">
        <v>2821</v>
      </c>
      <c r="L301" s="5"/>
      <c r="M301" s="5"/>
      <c r="N301" s="5" t="s">
        <v>811</v>
      </c>
    </row>
    <row r="302" spans="1:14">
      <c r="A302" s="5" t="s">
        <v>279</v>
      </c>
      <c r="B302" s="5" t="s">
        <v>1221</v>
      </c>
      <c r="C302" s="5" t="s">
        <v>1269</v>
      </c>
      <c r="D302" s="5" t="s">
        <v>1279</v>
      </c>
      <c r="E302" s="5" t="s">
        <v>2822</v>
      </c>
      <c r="F302" s="5" t="s">
        <v>1283</v>
      </c>
      <c r="G302" s="5" t="s">
        <v>1862</v>
      </c>
      <c r="H302" s="5" t="s">
        <v>2823</v>
      </c>
      <c r="I302" s="5"/>
      <c r="J302" s="17" t="s">
        <v>1858</v>
      </c>
      <c r="K302" s="5" t="s">
        <v>2824</v>
      </c>
      <c r="L302" s="5" t="s">
        <v>2825</v>
      </c>
      <c r="M302" s="5" t="s">
        <v>1282</v>
      </c>
      <c r="N302" s="5" t="s">
        <v>811</v>
      </c>
    </row>
    <row r="303" spans="1:14">
      <c r="A303" s="5" t="s">
        <v>279</v>
      </c>
      <c r="B303" s="5" t="s">
        <v>1221</v>
      </c>
      <c r="C303" s="5" t="s">
        <v>1269</v>
      </c>
      <c r="D303" s="5" t="s">
        <v>1279</v>
      </c>
      <c r="E303" s="5" t="s">
        <v>2826</v>
      </c>
      <c r="F303" s="5" t="s">
        <v>1294</v>
      </c>
      <c r="G303" s="5" t="s">
        <v>1862</v>
      </c>
      <c r="H303" s="5" t="s">
        <v>2823</v>
      </c>
      <c r="I303" s="5"/>
      <c r="J303" s="16" t="s">
        <v>1854</v>
      </c>
      <c r="K303" s="5" t="s">
        <v>2827</v>
      </c>
      <c r="L303" s="5" t="s">
        <v>2828</v>
      </c>
      <c r="M303" s="5" t="s">
        <v>1293</v>
      </c>
      <c r="N303" s="5" t="s">
        <v>811</v>
      </c>
    </row>
    <row r="304" spans="1:14">
      <c r="A304" s="5" t="s">
        <v>279</v>
      </c>
      <c r="B304" s="5" t="s">
        <v>1221</v>
      </c>
      <c r="C304" s="5" t="s">
        <v>1269</v>
      </c>
      <c r="D304" s="5" t="s">
        <v>1279</v>
      </c>
      <c r="E304" s="5" t="s">
        <v>2829</v>
      </c>
      <c r="F304" s="5" t="s">
        <v>2830</v>
      </c>
      <c r="G304" s="5" t="s">
        <v>2816</v>
      </c>
      <c r="H304" s="5" t="s">
        <v>2823</v>
      </c>
      <c r="I304" s="5"/>
      <c r="J304" s="17" t="s">
        <v>1858</v>
      </c>
      <c r="K304" s="5" t="s">
        <v>2831</v>
      </c>
      <c r="L304" s="5" t="s">
        <v>2832</v>
      </c>
      <c r="M304" s="5"/>
      <c r="N304" s="5" t="s">
        <v>811</v>
      </c>
    </row>
    <row r="305" spans="1:14">
      <c r="A305" s="5" t="s">
        <v>279</v>
      </c>
      <c r="B305" s="5" t="s">
        <v>1221</v>
      </c>
      <c r="C305" s="5" t="s">
        <v>1269</v>
      </c>
      <c r="D305" s="5" t="s">
        <v>1279</v>
      </c>
      <c r="E305" s="5" t="s">
        <v>2833</v>
      </c>
      <c r="F305" s="5" t="s">
        <v>2834</v>
      </c>
      <c r="G305" s="5" t="s">
        <v>1862</v>
      </c>
      <c r="H305" s="5" t="s">
        <v>2823</v>
      </c>
      <c r="I305" s="5"/>
      <c r="J305" s="16" t="s">
        <v>1854</v>
      </c>
      <c r="K305" s="5" t="s">
        <v>2835</v>
      </c>
      <c r="L305" s="5"/>
      <c r="M305" s="5"/>
      <c r="N305" s="5" t="s">
        <v>811</v>
      </c>
    </row>
    <row r="306" spans="1:14">
      <c r="A306" s="5" t="s">
        <v>279</v>
      </c>
      <c r="B306" s="5" t="s">
        <v>1221</v>
      </c>
      <c r="C306" s="5" t="s">
        <v>1269</v>
      </c>
      <c r="D306" s="5" t="s">
        <v>1279</v>
      </c>
      <c r="E306" s="5" t="s">
        <v>2836</v>
      </c>
      <c r="F306" s="5" t="s">
        <v>2837</v>
      </c>
      <c r="G306" s="5" t="s">
        <v>2227</v>
      </c>
      <c r="H306" s="5" t="s">
        <v>2823</v>
      </c>
      <c r="I306" s="5"/>
      <c r="J306" s="16" t="s">
        <v>1854</v>
      </c>
      <c r="K306" s="5" t="s">
        <v>2838</v>
      </c>
      <c r="L306" s="5" t="s">
        <v>2839</v>
      </c>
      <c r="M306" s="5"/>
      <c r="N306" s="5" t="s">
        <v>811</v>
      </c>
    </row>
    <row r="307" spans="1:14">
      <c r="A307" s="5" t="s">
        <v>279</v>
      </c>
      <c r="B307" s="5" t="s">
        <v>1221</v>
      </c>
      <c r="C307" s="5" t="s">
        <v>1269</v>
      </c>
      <c r="D307" s="5" t="s">
        <v>1279</v>
      </c>
      <c r="E307" s="5" t="s">
        <v>2840</v>
      </c>
      <c r="F307" s="5" t="s">
        <v>2841</v>
      </c>
      <c r="G307" s="5" t="s">
        <v>1922</v>
      </c>
      <c r="H307" s="5" t="s">
        <v>2823</v>
      </c>
      <c r="I307" s="5"/>
      <c r="J307" s="17" t="s">
        <v>1858</v>
      </c>
      <c r="K307" s="5" t="s">
        <v>2842</v>
      </c>
      <c r="L307" s="5" t="s">
        <v>2843</v>
      </c>
      <c r="M307" s="5"/>
      <c r="N307" s="5" t="s">
        <v>811</v>
      </c>
    </row>
    <row r="308" spans="1:14">
      <c r="A308" s="5" t="s">
        <v>279</v>
      </c>
      <c r="B308" s="5" t="s">
        <v>1221</v>
      </c>
      <c r="C308" s="5" t="s">
        <v>1269</v>
      </c>
      <c r="D308" s="5" t="s">
        <v>1279</v>
      </c>
      <c r="E308" s="5" t="s">
        <v>2844</v>
      </c>
      <c r="F308" s="5" t="s">
        <v>1270</v>
      </c>
      <c r="G308" s="5" t="s">
        <v>1922</v>
      </c>
      <c r="H308" s="5" t="s">
        <v>2146</v>
      </c>
      <c r="I308" s="5"/>
      <c r="J308" s="17" t="s">
        <v>1858</v>
      </c>
      <c r="K308" s="5" t="s">
        <v>2845</v>
      </c>
      <c r="L308" s="5" t="s">
        <v>2846</v>
      </c>
      <c r="M308" s="5" t="s">
        <v>1268</v>
      </c>
      <c r="N308" s="5" t="s">
        <v>811</v>
      </c>
    </row>
    <row r="309" spans="1:14">
      <c r="A309" s="5" t="s">
        <v>279</v>
      </c>
      <c r="B309" s="5" t="s">
        <v>1221</v>
      </c>
      <c r="C309" s="5" t="s">
        <v>1269</v>
      </c>
      <c r="D309" s="5" t="s">
        <v>1279</v>
      </c>
      <c r="E309" s="5" t="s">
        <v>2847</v>
      </c>
      <c r="F309" s="5" t="s">
        <v>2848</v>
      </c>
      <c r="G309" s="5" t="s">
        <v>1922</v>
      </c>
      <c r="H309" s="5" t="s">
        <v>2146</v>
      </c>
      <c r="I309" s="5"/>
      <c r="J309" s="17" t="s">
        <v>1858</v>
      </c>
      <c r="K309" s="5" t="s">
        <v>2849</v>
      </c>
      <c r="L309" s="5" t="s">
        <v>2846</v>
      </c>
      <c r="M309" s="5"/>
      <c r="N309" s="5" t="s">
        <v>811</v>
      </c>
    </row>
    <row r="310" spans="1:14">
      <c r="A310" s="5" t="s">
        <v>279</v>
      </c>
      <c r="B310" s="5" t="s">
        <v>1221</v>
      </c>
      <c r="C310" s="5" t="s">
        <v>1269</v>
      </c>
      <c r="D310" s="5" t="s">
        <v>1279</v>
      </c>
      <c r="E310" s="5" t="s">
        <v>2850</v>
      </c>
      <c r="F310" s="5" t="s">
        <v>2851</v>
      </c>
      <c r="G310" s="5" t="s">
        <v>1922</v>
      </c>
      <c r="H310" s="5" t="s">
        <v>2146</v>
      </c>
      <c r="I310" s="5"/>
      <c r="J310" s="17" t="s">
        <v>1858</v>
      </c>
      <c r="K310" s="5" t="s">
        <v>2852</v>
      </c>
      <c r="L310" s="5" t="s">
        <v>2521</v>
      </c>
      <c r="M310" s="5"/>
      <c r="N310" s="5" t="s">
        <v>811</v>
      </c>
    </row>
    <row r="311" spans="1:14">
      <c r="A311" s="5" t="s">
        <v>279</v>
      </c>
      <c r="B311" s="5" t="s">
        <v>1221</v>
      </c>
      <c r="C311" s="5" t="s">
        <v>1269</v>
      </c>
      <c r="D311" s="5" t="s">
        <v>1279</v>
      </c>
      <c r="E311" s="5" t="s">
        <v>2853</v>
      </c>
      <c r="F311" s="5" t="s">
        <v>2854</v>
      </c>
      <c r="G311" s="5" t="s">
        <v>2269</v>
      </c>
      <c r="H311" s="5" t="s">
        <v>2855</v>
      </c>
      <c r="I311" s="5"/>
      <c r="J311" s="16" t="s">
        <v>1854</v>
      </c>
      <c r="K311" s="5" t="s">
        <v>2856</v>
      </c>
      <c r="L311" s="5" t="s">
        <v>2857</v>
      </c>
      <c r="M311" s="5"/>
      <c r="N311" s="5" t="s">
        <v>811</v>
      </c>
    </row>
    <row r="312" spans="1:14">
      <c r="A312" s="5" t="s">
        <v>279</v>
      </c>
      <c r="B312" s="5" t="s">
        <v>1221</v>
      </c>
      <c r="C312" s="5" t="s">
        <v>1304</v>
      </c>
      <c r="D312" s="5" t="s">
        <v>1314</v>
      </c>
      <c r="E312" s="5" t="s">
        <v>2858</v>
      </c>
      <c r="F312" s="5" t="s">
        <v>577</v>
      </c>
      <c r="G312" s="5" t="s">
        <v>2269</v>
      </c>
      <c r="H312" s="5" t="s">
        <v>1853</v>
      </c>
      <c r="I312" s="5"/>
      <c r="J312" s="16" t="s">
        <v>1854</v>
      </c>
      <c r="K312" s="5" t="s">
        <v>2859</v>
      </c>
      <c r="L312" s="5"/>
      <c r="M312" s="5"/>
      <c r="N312" s="5" t="s">
        <v>811</v>
      </c>
    </row>
    <row r="313" spans="1:14">
      <c r="A313" s="5" t="s">
        <v>279</v>
      </c>
      <c r="B313" s="5" t="s">
        <v>1221</v>
      </c>
      <c r="C313" s="5" t="s">
        <v>1304</v>
      </c>
      <c r="D313" s="5" t="s">
        <v>1314</v>
      </c>
      <c r="E313" s="5" t="s">
        <v>2860</v>
      </c>
      <c r="F313" s="5" t="s">
        <v>2111</v>
      </c>
      <c r="G313" s="5" t="s">
        <v>1922</v>
      </c>
      <c r="H313" s="5" t="s">
        <v>1853</v>
      </c>
      <c r="I313" s="5"/>
      <c r="J313" s="16" t="s">
        <v>1854</v>
      </c>
      <c r="K313" s="5" t="s">
        <v>2861</v>
      </c>
      <c r="L313" s="5"/>
      <c r="M313" s="5"/>
      <c r="N313" s="5" t="s">
        <v>811</v>
      </c>
    </row>
    <row r="314" spans="1:14">
      <c r="A314" s="5" t="s">
        <v>279</v>
      </c>
      <c r="B314" s="5" t="s">
        <v>1221</v>
      </c>
      <c r="C314" s="5" t="s">
        <v>1304</v>
      </c>
      <c r="D314" s="5" t="s">
        <v>1314</v>
      </c>
      <c r="E314" s="5" t="s">
        <v>2862</v>
      </c>
      <c r="F314" s="5" t="s">
        <v>2863</v>
      </c>
      <c r="G314" s="5" t="s">
        <v>2049</v>
      </c>
      <c r="H314" s="5" t="s">
        <v>2653</v>
      </c>
      <c r="I314" s="5"/>
      <c r="J314" s="16" t="s">
        <v>1854</v>
      </c>
      <c r="K314" s="5" t="s">
        <v>2864</v>
      </c>
      <c r="L314" s="5"/>
      <c r="M314" s="5"/>
      <c r="N314" s="5" t="s">
        <v>811</v>
      </c>
    </row>
    <row r="315" spans="1:14">
      <c r="A315" s="5" t="s">
        <v>279</v>
      </c>
      <c r="B315" s="5" t="s">
        <v>1221</v>
      </c>
      <c r="C315" s="5" t="s">
        <v>1304</v>
      </c>
      <c r="D315" s="5" t="s">
        <v>1314</v>
      </c>
      <c r="E315" s="5" t="s">
        <v>2865</v>
      </c>
      <c r="F315" s="5" t="s">
        <v>2866</v>
      </c>
      <c r="G315" s="5" t="s">
        <v>2114</v>
      </c>
      <c r="H315" s="5" t="s">
        <v>1304</v>
      </c>
      <c r="I315" s="5"/>
      <c r="J315" s="16" t="s">
        <v>1854</v>
      </c>
      <c r="K315" s="5" t="s">
        <v>2867</v>
      </c>
      <c r="L315" s="5"/>
      <c r="M315" s="5"/>
      <c r="N315" s="5" t="s">
        <v>811</v>
      </c>
    </row>
    <row r="316" spans="1:14">
      <c r="A316" s="5" t="s">
        <v>279</v>
      </c>
      <c r="B316" s="5" t="s">
        <v>1221</v>
      </c>
      <c r="C316" s="5" t="s">
        <v>1304</v>
      </c>
      <c r="D316" s="5" t="s">
        <v>1314</v>
      </c>
      <c r="E316" s="5" t="s">
        <v>2868</v>
      </c>
      <c r="F316" s="5" t="s">
        <v>2869</v>
      </c>
      <c r="G316" s="5" t="s">
        <v>2160</v>
      </c>
      <c r="H316" s="5" t="s">
        <v>1304</v>
      </c>
      <c r="I316" s="5"/>
      <c r="J316" s="16" t="s">
        <v>1854</v>
      </c>
      <c r="K316" s="5" t="s">
        <v>2870</v>
      </c>
      <c r="L316" s="5"/>
      <c r="M316" s="5"/>
      <c r="N316" s="5" t="s">
        <v>811</v>
      </c>
    </row>
    <row r="317" spans="1:14">
      <c r="A317" s="5" t="s">
        <v>279</v>
      </c>
      <c r="B317" s="5" t="s">
        <v>1221</v>
      </c>
      <c r="C317" s="5" t="s">
        <v>1304</v>
      </c>
      <c r="D317" s="5" t="s">
        <v>1314</v>
      </c>
      <c r="E317" s="5" t="s">
        <v>2871</v>
      </c>
      <c r="F317" s="5" t="s">
        <v>2872</v>
      </c>
      <c r="G317" s="5" t="s">
        <v>1862</v>
      </c>
      <c r="H317" s="5" t="s">
        <v>2873</v>
      </c>
      <c r="I317" s="5"/>
      <c r="J317" s="16" t="s">
        <v>1854</v>
      </c>
      <c r="K317" s="5" t="s">
        <v>2874</v>
      </c>
      <c r="L317" s="5"/>
      <c r="M317" s="5"/>
      <c r="N317" s="5" t="s">
        <v>811</v>
      </c>
    </row>
    <row r="318" spans="1:14">
      <c r="A318" s="5" t="s">
        <v>279</v>
      </c>
      <c r="B318" s="5" t="s">
        <v>1221</v>
      </c>
      <c r="C318" s="5" t="s">
        <v>1304</v>
      </c>
      <c r="D318" s="5" t="s">
        <v>1314</v>
      </c>
      <c r="E318" s="5" t="s">
        <v>2875</v>
      </c>
      <c r="F318" s="5" t="s">
        <v>1305</v>
      </c>
      <c r="G318" s="5" t="s">
        <v>1862</v>
      </c>
      <c r="H318" s="5" t="s">
        <v>2873</v>
      </c>
      <c r="I318" s="5"/>
      <c r="J318" s="16" t="s">
        <v>1854</v>
      </c>
      <c r="K318" s="5" t="s">
        <v>2876</v>
      </c>
      <c r="L318" s="5" t="s">
        <v>2877</v>
      </c>
      <c r="M318" s="5" t="s">
        <v>1303</v>
      </c>
      <c r="N318" s="5" t="s">
        <v>811</v>
      </c>
    </row>
    <row r="319" spans="1:14">
      <c r="A319" s="5" t="s">
        <v>279</v>
      </c>
      <c r="B319" s="5" t="s">
        <v>1221</v>
      </c>
      <c r="C319" s="5" t="s">
        <v>1304</v>
      </c>
      <c r="D319" s="5" t="s">
        <v>1314</v>
      </c>
      <c r="E319" s="5" t="s">
        <v>2878</v>
      </c>
      <c r="F319" s="5" t="s">
        <v>2879</v>
      </c>
      <c r="G319" s="5" t="s">
        <v>1862</v>
      </c>
      <c r="H319" s="5" t="s">
        <v>2873</v>
      </c>
      <c r="I319" s="5"/>
      <c r="J319" s="16" t="s">
        <v>1854</v>
      </c>
      <c r="K319" s="5" t="s">
        <v>2880</v>
      </c>
      <c r="L319" s="5"/>
      <c r="M319" s="5"/>
      <c r="N319" s="5" t="s">
        <v>811</v>
      </c>
    </row>
    <row r="320" spans="1:14">
      <c r="A320" s="5" t="s">
        <v>279</v>
      </c>
      <c r="B320" s="5" t="s">
        <v>1221</v>
      </c>
      <c r="C320" s="5" t="s">
        <v>1304</v>
      </c>
      <c r="D320" s="5" t="s">
        <v>1314</v>
      </c>
      <c r="E320" s="5" t="s">
        <v>2881</v>
      </c>
      <c r="F320" s="5" t="s">
        <v>2882</v>
      </c>
      <c r="G320" s="5" t="s">
        <v>2816</v>
      </c>
      <c r="H320" s="5" t="s">
        <v>2873</v>
      </c>
      <c r="I320" s="5"/>
      <c r="J320" s="16" t="s">
        <v>1854</v>
      </c>
      <c r="K320" s="5" t="s">
        <v>2883</v>
      </c>
      <c r="L320" s="5"/>
      <c r="M320" s="5"/>
      <c r="N320" s="5" t="s">
        <v>811</v>
      </c>
    </row>
    <row r="321" spans="1:14">
      <c r="A321" s="5" t="s">
        <v>279</v>
      </c>
      <c r="B321" s="5" t="s">
        <v>1221</v>
      </c>
      <c r="C321" s="5" t="s">
        <v>1304</v>
      </c>
      <c r="D321" s="5" t="s">
        <v>1314</v>
      </c>
      <c r="E321" s="5" t="s">
        <v>2884</v>
      </c>
      <c r="F321" s="5" t="s">
        <v>2885</v>
      </c>
      <c r="G321" s="5" t="s">
        <v>1922</v>
      </c>
      <c r="H321" s="5" t="s">
        <v>2873</v>
      </c>
      <c r="I321" s="5"/>
      <c r="J321" s="16" t="s">
        <v>1854</v>
      </c>
      <c r="K321" s="5" t="s">
        <v>2886</v>
      </c>
      <c r="L321" s="5"/>
      <c r="M321" s="5"/>
      <c r="N321" s="5" t="s">
        <v>811</v>
      </c>
    </row>
    <row r="322" spans="1:14">
      <c r="A322" s="5" t="s">
        <v>279</v>
      </c>
      <c r="B322" s="5" t="s">
        <v>1221</v>
      </c>
      <c r="C322" s="5" t="s">
        <v>1304</v>
      </c>
      <c r="D322" s="5" t="s">
        <v>1314</v>
      </c>
      <c r="E322" s="5" t="s">
        <v>2887</v>
      </c>
      <c r="F322" s="5" t="s">
        <v>2888</v>
      </c>
      <c r="G322" s="5" t="s">
        <v>2269</v>
      </c>
      <c r="H322" s="5" t="s">
        <v>2873</v>
      </c>
      <c r="I322" s="5"/>
      <c r="J322" s="16" t="s">
        <v>1854</v>
      </c>
      <c r="K322" s="5" t="s">
        <v>2889</v>
      </c>
      <c r="L322" s="5"/>
      <c r="M322" s="5"/>
      <c r="N322" s="5" t="s">
        <v>811</v>
      </c>
    </row>
    <row r="323" spans="1:14">
      <c r="A323" s="5" t="s">
        <v>279</v>
      </c>
      <c r="B323" s="5" t="s">
        <v>1221</v>
      </c>
      <c r="C323" s="5" t="s">
        <v>1304</v>
      </c>
      <c r="D323" s="5" t="s">
        <v>1314</v>
      </c>
      <c r="E323" s="5" t="s">
        <v>2890</v>
      </c>
      <c r="F323" s="5" t="s">
        <v>2891</v>
      </c>
      <c r="G323" s="5" t="s">
        <v>1922</v>
      </c>
      <c r="H323" s="5" t="s">
        <v>2873</v>
      </c>
      <c r="I323" s="5"/>
      <c r="J323" s="16" t="s">
        <v>1854</v>
      </c>
      <c r="K323" s="5" t="s">
        <v>2892</v>
      </c>
      <c r="L323" s="5"/>
      <c r="M323" s="5"/>
      <c r="N323" s="5" t="s">
        <v>811</v>
      </c>
    </row>
    <row r="324" spans="1:14">
      <c r="A324" s="5" t="s">
        <v>279</v>
      </c>
      <c r="B324" s="5" t="s">
        <v>1221</v>
      </c>
      <c r="C324" s="5" t="s">
        <v>1304</v>
      </c>
      <c r="D324" s="5" t="s">
        <v>1314</v>
      </c>
      <c r="E324" s="5" t="s">
        <v>2893</v>
      </c>
      <c r="F324" s="5" t="s">
        <v>2894</v>
      </c>
      <c r="G324" s="5" t="s">
        <v>1922</v>
      </c>
      <c r="H324" s="5" t="s">
        <v>1304</v>
      </c>
      <c r="I324" s="5"/>
      <c r="J324" s="16" t="s">
        <v>1854</v>
      </c>
      <c r="K324" s="5" t="s">
        <v>2895</v>
      </c>
      <c r="L324" s="5" t="s">
        <v>2896</v>
      </c>
      <c r="M324" s="5"/>
      <c r="N324" s="5" t="s">
        <v>811</v>
      </c>
    </row>
    <row r="325" spans="1:14">
      <c r="A325" s="5" t="s">
        <v>279</v>
      </c>
      <c r="B325" s="5" t="s">
        <v>1221</v>
      </c>
      <c r="C325" s="5" t="s">
        <v>1304</v>
      </c>
      <c r="D325" s="5" t="s">
        <v>1314</v>
      </c>
      <c r="E325" s="5" t="s">
        <v>2897</v>
      </c>
      <c r="F325" s="5" t="s">
        <v>1318</v>
      </c>
      <c r="G325" s="5" t="s">
        <v>1922</v>
      </c>
      <c r="H325" s="5" t="s">
        <v>1304</v>
      </c>
      <c r="I325" s="5"/>
      <c r="J325" s="16" t="s">
        <v>1854</v>
      </c>
      <c r="K325" s="5" t="s">
        <v>2898</v>
      </c>
      <c r="L325" s="5" t="s">
        <v>2899</v>
      </c>
      <c r="M325" s="5" t="s">
        <v>1317</v>
      </c>
      <c r="N325" s="5" t="s">
        <v>811</v>
      </c>
    </row>
    <row r="326" spans="1:14">
      <c r="A326" s="5" t="s">
        <v>279</v>
      </c>
      <c r="B326" s="5" t="s">
        <v>1221</v>
      </c>
      <c r="C326" s="5" t="s">
        <v>1304</v>
      </c>
      <c r="D326" s="5" t="s">
        <v>1314</v>
      </c>
      <c r="E326" s="5" t="s">
        <v>2900</v>
      </c>
      <c r="F326" s="5" t="s">
        <v>2901</v>
      </c>
      <c r="G326" s="5" t="s">
        <v>1922</v>
      </c>
      <c r="H326" s="5" t="s">
        <v>1304</v>
      </c>
      <c r="I326" s="5"/>
      <c r="J326" s="16" t="s">
        <v>1854</v>
      </c>
      <c r="K326" s="5" t="s">
        <v>2902</v>
      </c>
      <c r="L326" s="5"/>
      <c r="M326" s="5"/>
      <c r="N326" s="5" t="s">
        <v>811</v>
      </c>
    </row>
    <row r="327" spans="1:14">
      <c r="A327" s="5" t="s">
        <v>279</v>
      </c>
      <c r="B327" s="5" t="s">
        <v>1221</v>
      </c>
      <c r="C327" s="5" t="s">
        <v>1304</v>
      </c>
      <c r="D327" s="5" t="s">
        <v>1314</v>
      </c>
      <c r="E327" s="5" t="s">
        <v>2903</v>
      </c>
      <c r="F327" s="5" t="s">
        <v>2904</v>
      </c>
      <c r="G327" s="5" t="s">
        <v>2269</v>
      </c>
      <c r="H327" s="5" t="s">
        <v>1304</v>
      </c>
      <c r="I327" s="5"/>
      <c r="J327" s="16" t="s">
        <v>1854</v>
      </c>
      <c r="K327" s="5" t="s">
        <v>2905</v>
      </c>
      <c r="L327" s="5" t="s">
        <v>2906</v>
      </c>
      <c r="M327" s="5"/>
      <c r="N327" s="5" t="s">
        <v>811</v>
      </c>
    </row>
    <row r="328" spans="1:14">
      <c r="A328" s="5" t="s">
        <v>279</v>
      </c>
      <c r="B328" s="5" t="s">
        <v>1221</v>
      </c>
      <c r="C328" s="5" t="s">
        <v>1304</v>
      </c>
      <c r="D328" s="5" t="s">
        <v>1314</v>
      </c>
      <c r="E328" s="5" t="s">
        <v>2907</v>
      </c>
      <c r="F328" s="5" t="s">
        <v>1340</v>
      </c>
      <c r="G328" s="5" t="s">
        <v>2239</v>
      </c>
      <c r="H328" s="5" t="s">
        <v>2908</v>
      </c>
      <c r="I328" s="5"/>
      <c r="J328" s="16" t="s">
        <v>1854</v>
      </c>
      <c r="K328" s="5" t="s">
        <v>2909</v>
      </c>
      <c r="L328" s="5" t="s">
        <v>2910</v>
      </c>
      <c r="M328" s="5" t="s">
        <v>2911</v>
      </c>
      <c r="N328" s="5" t="s">
        <v>811</v>
      </c>
    </row>
    <row r="329" spans="1:14">
      <c r="A329" s="5" t="s">
        <v>279</v>
      </c>
      <c r="B329" s="5" t="s">
        <v>1221</v>
      </c>
      <c r="C329" s="5" t="s">
        <v>1304</v>
      </c>
      <c r="D329" s="5" t="s">
        <v>1314</v>
      </c>
      <c r="E329" s="5" t="s">
        <v>2912</v>
      </c>
      <c r="F329" s="5" t="s">
        <v>2913</v>
      </c>
      <c r="G329" s="5" t="s">
        <v>1922</v>
      </c>
      <c r="H329" s="5" t="s">
        <v>2908</v>
      </c>
      <c r="I329" s="5"/>
      <c r="J329" s="16" t="s">
        <v>1854</v>
      </c>
      <c r="K329" s="5" t="s">
        <v>2914</v>
      </c>
      <c r="L329" s="5" t="s">
        <v>2915</v>
      </c>
      <c r="M329" s="5"/>
      <c r="N329" s="5" t="s">
        <v>811</v>
      </c>
    </row>
    <row r="330" spans="1:14">
      <c r="A330" s="5" t="s">
        <v>279</v>
      </c>
      <c r="B330" s="5" t="s">
        <v>1221</v>
      </c>
      <c r="C330" s="5" t="s">
        <v>1304</v>
      </c>
      <c r="D330" s="5" t="s">
        <v>1314</v>
      </c>
      <c r="E330" s="5" t="s">
        <v>2916</v>
      </c>
      <c r="F330" s="5" t="s">
        <v>1329</v>
      </c>
      <c r="G330" s="5" t="s">
        <v>2160</v>
      </c>
      <c r="H330" s="5" t="s">
        <v>2917</v>
      </c>
      <c r="I330" s="5"/>
      <c r="J330" s="16" t="s">
        <v>1854</v>
      </c>
      <c r="K330" s="5" t="s">
        <v>2918</v>
      </c>
      <c r="L330" s="5" t="s">
        <v>2919</v>
      </c>
      <c r="M330" s="5" t="s">
        <v>1328</v>
      </c>
      <c r="N330" s="5" t="s">
        <v>811</v>
      </c>
    </row>
    <row r="331" spans="1:14">
      <c r="A331" s="5" t="s">
        <v>279</v>
      </c>
      <c r="B331" s="5" t="s">
        <v>1221</v>
      </c>
      <c r="C331" s="5" t="s">
        <v>1304</v>
      </c>
      <c r="D331" s="5" t="s">
        <v>1314</v>
      </c>
      <c r="E331" s="5" t="s">
        <v>2920</v>
      </c>
      <c r="F331" s="5" t="s">
        <v>2921</v>
      </c>
      <c r="G331" s="5" t="s">
        <v>2160</v>
      </c>
      <c r="H331" s="5" t="s">
        <v>2922</v>
      </c>
      <c r="I331" s="5"/>
      <c r="J331" s="17" t="s">
        <v>1858</v>
      </c>
      <c r="K331" s="5" t="s">
        <v>2923</v>
      </c>
      <c r="L331" s="5" t="s">
        <v>2924</v>
      </c>
      <c r="M331" s="5"/>
      <c r="N331" s="5" t="s">
        <v>811</v>
      </c>
    </row>
    <row r="332" spans="1:14">
      <c r="A332" s="5" t="s">
        <v>279</v>
      </c>
      <c r="B332" s="5" t="s">
        <v>1221</v>
      </c>
      <c r="C332" s="5" t="s">
        <v>1304</v>
      </c>
      <c r="D332" s="5" t="s">
        <v>1314</v>
      </c>
      <c r="E332" s="5" t="s">
        <v>2925</v>
      </c>
      <c r="F332" s="5" t="s">
        <v>2926</v>
      </c>
      <c r="G332" s="5" t="s">
        <v>2160</v>
      </c>
      <c r="H332" s="5" t="s">
        <v>2927</v>
      </c>
      <c r="I332" s="5"/>
      <c r="J332" s="16" t="s">
        <v>1854</v>
      </c>
      <c r="K332" s="5" t="s">
        <v>2928</v>
      </c>
      <c r="L332" s="5" t="s">
        <v>2929</v>
      </c>
      <c r="M332" s="5"/>
      <c r="N332" s="5" t="s">
        <v>811</v>
      </c>
    </row>
    <row r="333" spans="1:14">
      <c r="A333" s="5" t="s">
        <v>279</v>
      </c>
      <c r="B333" s="5" t="s">
        <v>1221</v>
      </c>
      <c r="C333" s="5" t="s">
        <v>1351</v>
      </c>
      <c r="D333" s="5" t="s">
        <v>1361</v>
      </c>
      <c r="E333" s="5" t="s">
        <v>2930</v>
      </c>
      <c r="F333" s="5" t="s">
        <v>577</v>
      </c>
      <c r="G333" s="5" t="s">
        <v>2269</v>
      </c>
      <c r="H333" s="5" t="s">
        <v>1853</v>
      </c>
      <c r="I333" s="5"/>
      <c r="J333" s="16" t="s">
        <v>1854</v>
      </c>
      <c r="K333" s="5" t="s">
        <v>2931</v>
      </c>
      <c r="L333" s="5"/>
      <c r="M333" s="5"/>
      <c r="N333" s="5" t="s">
        <v>811</v>
      </c>
    </row>
    <row r="334" spans="1:14">
      <c r="A334" s="5" t="s">
        <v>279</v>
      </c>
      <c r="B334" s="5" t="s">
        <v>1221</v>
      </c>
      <c r="C334" s="5" t="s">
        <v>1351</v>
      </c>
      <c r="D334" s="5" t="s">
        <v>1361</v>
      </c>
      <c r="E334" s="5" t="s">
        <v>2932</v>
      </c>
      <c r="F334" s="5" t="s">
        <v>2111</v>
      </c>
      <c r="G334" s="5" t="s">
        <v>1922</v>
      </c>
      <c r="H334" s="5" t="s">
        <v>1853</v>
      </c>
      <c r="I334" s="5"/>
      <c r="J334" s="16" t="s">
        <v>1854</v>
      </c>
      <c r="K334" s="5" t="s">
        <v>2933</v>
      </c>
      <c r="L334" s="5"/>
      <c r="M334" s="5"/>
      <c r="N334" s="5" t="s">
        <v>811</v>
      </c>
    </row>
    <row r="335" spans="1:14">
      <c r="A335" s="5" t="s">
        <v>279</v>
      </c>
      <c r="B335" s="5" t="s">
        <v>1221</v>
      </c>
      <c r="C335" s="5" t="s">
        <v>1351</v>
      </c>
      <c r="D335" s="5" t="s">
        <v>1361</v>
      </c>
      <c r="E335" s="5" t="s">
        <v>2934</v>
      </c>
      <c r="F335" s="5" t="s">
        <v>2935</v>
      </c>
      <c r="G335" s="5" t="s">
        <v>2114</v>
      </c>
      <c r="H335" s="5" t="s">
        <v>2285</v>
      </c>
      <c r="I335" s="5"/>
      <c r="J335" s="16" t="s">
        <v>1854</v>
      </c>
      <c r="K335" s="5" t="s">
        <v>2936</v>
      </c>
      <c r="L335" s="5"/>
      <c r="M335" s="5"/>
      <c r="N335" s="5" t="s">
        <v>811</v>
      </c>
    </row>
    <row r="336" spans="1:14">
      <c r="A336" s="5" t="s">
        <v>279</v>
      </c>
      <c r="B336" s="5" t="s">
        <v>1221</v>
      </c>
      <c r="C336" s="5" t="s">
        <v>1351</v>
      </c>
      <c r="D336" s="5" t="s">
        <v>1361</v>
      </c>
      <c r="E336" s="5" t="s">
        <v>2937</v>
      </c>
      <c r="F336" s="5" t="s">
        <v>2938</v>
      </c>
      <c r="G336" s="5" t="s">
        <v>2160</v>
      </c>
      <c r="H336" s="5" t="s">
        <v>2146</v>
      </c>
      <c r="I336" s="5"/>
      <c r="J336" s="16" t="s">
        <v>1854</v>
      </c>
      <c r="K336" s="5" t="s">
        <v>2939</v>
      </c>
      <c r="L336" s="5"/>
      <c r="M336" s="5"/>
      <c r="N336" s="5" t="s">
        <v>811</v>
      </c>
    </row>
    <row r="337" spans="1:14">
      <c r="A337" s="5" t="s">
        <v>279</v>
      </c>
      <c r="B337" s="5" t="s">
        <v>1221</v>
      </c>
      <c r="C337" s="5" t="s">
        <v>1351</v>
      </c>
      <c r="D337" s="5" t="s">
        <v>1361</v>
      </c>
      <c r="E337" s="5" t="s">
        <v>2940</v>
      </c>
      <c r="F337" s="5" t="s">
        <v>1802</v>
      </c>
      <c r="G337" s="5" t="s">
        <v>1922</v>
      </c>
      <c r="H337" s="5" t="s">
        <v>2146</v>
      </c>
      <c r="I337" s="5"/>
      <c r="J337" s="17" t="s">
        <v>1858</v>
      </c>
      <c r="K337" s="5"/>
      <c r="L337" s="5" t="s">
        <v>2941</v>
      </c>
      <c r="M337" s="5" t="s">
        <v>1801</v>
      </c>
      <c r="N337" s="5" t="s">
        <v>1721</v>
      </c>
    </row>
    <row r="338" spans="1:14">
      <c r="A338" s="5" t="s">
        <v>279</v>
      </c>
      <c r="B338" s="5" t="s">
        <v>1221</v>
      </c>
      <c r="C338" s="5" t="s">
        <v>1351</v>
      </c>
      <c r="D338" s="5" t="s">
        <v>1361</v>
      </c>
      <c r="E338" s="5" t="s">
        <v>2942</v>
      </c>
      <c r="F338" s="5" t="s">
        <v>2943</v>
      </c>
      <c r="G338" s="5" t="s">
        <v>1862</v>
      </c>
      <c r="H338" s="5" t="s">
        <v>2823</v>
      </c>
      <c r="I338" s="5"/>
      <c r="J338" s="16" t="s">
        <v>1854</v>
      </c>
      <c r="K338" s="5" t="s">
        <v>2944</v>
      </c>
      <c r="L338" s="5" t="s">
        <v>2945</v>
      </c>
      <c r="M338" s="5"/>
      <c r="N338" s="5" t="s">
        <v>811</v>
      </c>
    </row>
    <row r="339" spans="1:14">
      <c r="A339" s="5" t="s">
        <v>279</v>
      </c>
      <c r="B339" s="5" t="s">
        <v>1221</v>
      </c>
      <c r="C339" s="5" t="s">
        <v>1351</v>
      </c>
      <c r="D339" s="5" t="s">
        <v>1361</v>
      </c>
      <c r="E339" s="5" t="s">
        <v>2946</v>
      </c>
      <c r="F339" s="5" t="s">
        <v>2947</v>
      </c>
      <c r="G339" s="5" t="s">
        <v>2816</v>
      </c>
      <c r="H339" s="5" t="s">
        <v>2823</v>
      </c>
      <c r="I339" s="5"/>
      <c r="J339" s="17" t="s">
        <v>1858</v>
      </c>
      <c r="K339" s="5" t="s">
        <v>2948</v>
      </c>
      <c r="L339" s="5" t="s">
        <v>2949</v>
      </c>
      <c r="M339" s="5"/>
      <c r="N339" s="5" t="s">
        <v>811</v>
      </c>
    </row>
    <row r="340" spans="1:14">
      <c r="A340" s="5" t="s">
        <v>279</v>
      </c>
      <c r="B340" s="5" t="s">
        <v>1221</v>
      </c>
      <c r="C340" s="5" t="s">
        <v>1351</v>
      </c>
      <c r="D340" s="5" t="s">
        <v>1361</v>
      </c>
      <c r="E340" s="5" t="s">
        <v>2950</v>
      </c>
      <c r="F340" s="5" t="s">
        <v>1811</v>
      </c>
      <c r="G340" s="5" t="s">
        <v>1862</v>
      </c>
      <c r="H340" s="5" t="s">
        <v>2823</v>
      </c>
      <c r="I340" s="5"/>
      <c r="J340" s="17" t="s">
        <v>1858</v>
      </c>
      <c r="K340" s="5" t="s">
        <v>2951</v>
      </c>
      <c r="L340" s="5" t="s">
        <v>2952</v>
      </c>
      <c r="M340" s="5" t="s">
        <v>1810</v>
      </c>
      <c r="N340" s="5" t="s">
        <v>1721</v>
      </c>
    </row>
    <row r="341" spans="1:14">
      <c r="A341" s="5" t="s">
        <v>279</v>
      </c>
      <c r="B341" s="5" t="s">
        <v>1221</v>
      </c>
      <c r="C341" s="5" t="s">
        <v>1351</v>
      </c>
      <c r="D341" s="5" t="s">
        <v>1361</v>
      </c>
      <c r="E341" s="5" t="s">
        <v>2953</v>
      </c>
      <c r="F341" s="5" t="s">
        <v>2954</v>
      </c>
      <c r="G341" s="5" t="s">
        <v>2239</v>
      </c>
      <c r="H341" s="5" t="s">
        <v>2823</v>
      </c>
      <c r="I341" s="5"/>
      <c r="J341" s="17" t="s">
        <v>1858</v>
      </c>
      <c r="K341" s="5" t="s">
        <v>2955</v>
      </c>
      <c r="L341" s="5" t="s">
        <v>2956</v>
      </c>
      <c r="M341" s="5"/>
      <c r="N341" s="5" t="s">
        <v>1721</v>
      </c>
    </row>
    <row r="342" spans="1:14">
      <c r="A342" s="5" t="s">
        <v>279</v>
      </c>
      <c r="B342" s="5" t="s">
        <v>1221</v>
      </c>
      <c r="C342" s="5" t="s">
        <v>1351</v>
      </c>
      <c r="D342" s="5" t="s">
        <v>1361</v>
      </c>
      <c r="E342" s="5" t="s">
        <v>2957</v>
      </c>
      <c r="F342" s="5" t="s">
        <v>1352</v>
      </c>
      <c r="G342" s="5" t="s">
        <v>1922</v>
      </c>
      <c r="H342" s="5" t="s">
        <v>2823</v>
      </c>
      <c r="I342" s="5"/>
      <c r="J342" s="16" t="s">
        <v>1854</v>
      </c>
      <c r="K342" s="5" t="s">
        <v>2958</v>
      </c>
      <c r="L342" s="5" t="s">
        <v>2959</v>
      </c>
      <c r="M342" s="5" t="s">
        <v>1350</v>
      </c>
      <c r="N342" s="5" t="s">
        <v>1721</v>
      </c>
    </row>
    <row r="343" spans="1:14">
      <c r="A343" s="5" t="s">
        <v>279</v>
      </c>
      <c r="B343" s="5" t="s">
        <v>1365</v>
      </c>
      <c r="C343" s="5" t="s">
        <v>1366</v>
      </c>
      <c r="D343" s="5" t="s">
        <v>1376</v>
      </c>
      <c r="E343" s="5" t="s">
        <v>2960</v>
      </c>
      <c r="F343" s="5" t="s">
        <v>577</v>
      </c>
      <c r="G343" s="5" t="s">
        <v>2269</v>
      </c>
      <c r="H343" s="5" t="s">
        <v>1853</v>
      </c>
      <c r="I343" s="5"/>
      <c r="J343" s="16" t="s">
        <v>1854</v>
      </c>
      <c r="K343" s="5" t="s">
        <v>2961</v>
      </c>
      <c r="L343" s="5"/>
      <c r="M343" s="5"/>
      <c r="N343" s="5" t="s">
        <v>811</v>
      </c>
    </row>
    <row r="344" spans="1:14">
      <c r="A344" s="5" t="s">
        <v>279</v>
      </c>
      <c r="B344" s="5" t="s">
        <v>1365</v>
      </c>
      <c r="C344" s="5" t="s">
        <v>1366</v>
      </c>
      <c r="D344" s="5" t="s">
        <v>1376</v>
      </c>
      <c r="E344" s="5" t="s">
        <v>2962</v>
      </c>
      <c r="F344" s="5" t="s">
        <v>2111</v>
      </c>
      <c r="G344" s="5" t="s">
        <v>1922</v>
      </c>
      <c r="H344" s="5" t="s">
        <v>1853</v>
      </c>
      <c r="I344" s="5"/>
      <c r="J344" s="16" t="s">
        <v>1854</v>
      </c>
      <c r="K344" s="5" t="s">
        <v>2963</v>
      </c>
      <c r="L344" s="5"/>
      <c r="M344" s="5"/>
      <c r="N344" s="5" t="s">
        <v>811</v>
      </c>
    </row>
    <row r="345" spans="1:14">
      <c r="A345" s="5" t="s">
        <v>279</v>
      </c>
      <c r="B345" s="5" t="s">
        <v>1365</v>
      </c>
      <c r="C345" s="5" t="s">
        <v>1366</v>
      </c>
      <c r="D345" s="5" t="s">
        <v>1376</v>
      </c>
      <c r="E345" s="5" t="s">
        <v>2964</v>
      </c>
      <c r="F345" s="5" t="s">
        <v>2965</v>
      </c>
      <c r="G345" s="5" t="s">
        <v>2269</v>
      </c>
      <c r="H345" s="5" t="s">
        <v>2966</v>
      </c>
      <c r="I345" s="5"/>
      <c r="J345" s="16" t="s">
        <v>1854</v>
      </c>
      <c r="K345" s="5" t="s">
        <v>2967</v>
      </c>
      <c r="L345" s="5"/>
      <c r="M345" s="5"/>
      <c r="N345" s="5" t="s">
        <v>811</v>
      </c>
    </row>
    <row r="346" spans="1:14">
      <c r="A346" s="5" t="s">
        <v>279</v>
      </c>
      <c r="B346" s="5" t="s">
        <v>1365</v>
      </c>
      <c r="C346" s="5" t="s">
        <v>1366</v>
      </c>
      <c r="D346" s="5" t="s">
        <v>1376</v>
      </c>
      <c r="E346" s="5" t="s">
        <v>2968</v>
      </c>
      <c r="F346" s="5" t="s">
        <v>2969</v>
      </c>
      <c r="G346" s="5" t="s">
        <v>2239</v>
      </c>
      <c r="H346" s="5" t="s">
        <v>2970</v>
      </c>
      <c r="I346" s="5"/>
      <c r="J346" s="17" t="s">
        <v>1858</v>
      </c>
      <c r="K346" s="5" t="s">
        <v>2971</v>
      </c>
      <c r="L346" s="5" t="s">
        <v>2949</v>
      </c>
      <c r="M346" s="5"/>
      <c r="N346" s="5" t="s">
        <v>811</v>
      </c>
    </row>
    <row r="347" spans="1:14">
      <c r="A347" s="5" t="s">
        <v>279</v>
      </c>
      <c r="B347" s="5" t="s">
        <v>1365</v>
      </c>
      <c r="C347" s="5" t="s">
        <v>1366</v>
      </c>
      <c r="D347" s="5" t="s">
        <v>1376</v>
      </c>
      <c r="E347" s="5" t="s">
        <v>2972</v>
      </c>
      <c r="F347" s="5" t="s">
        <v>2973</v>
      </c>
      <c r="G347" s="5" t="s">
        <v>2239</v>
      </c>
      <c r="H347" s="5" t="s">
        <v>2970</v>
      </c>
      <c r="I347" s="5"/>
      <c r="J347" s="17" t="s">
        <v>1858</v>
      </c>
      <c r="K347" s="5" t="s">
        <v>2974</v>
      </c>
      <c r="L347" s="5" t="s">
        <v>2975</v>
      </c>
      <c r="M347" s="5"/>
      <c r="N347" s="5" t="s">
        <v>811</v>
      </c>
    </row>
    <row r="348" spans="1:14">
      <c r="A348" s="5" t="s">
        <v>279</v>
      </c>
      <c r="B348" s="5" t="s">
        <v>1365</v>
      </c>
      <c r="C348" s="5" t="s">
        <v>1366</v>
      </c>
      <c r="D348" s="5" t="s">
        <v>1376</v>
      </c>
      <c r="E348" s="5" t="s">
        <v>2976</v>
      </c>
      <c r="F348" s="5" t="s">
        <v>2977</v>
      </c>
      <c r="G348" s="5" t="s">
        <v>1922</v>
      </c>
      <c r="H348" s="5" t="s">
        <v>2970</v>
      </c>
      <c r="I348" s="5"/>
      <c r="J348" s="17" t="s">
        <v>1858</v>
      </c>
      <c r="K348" s="5" t="s">
        <v>2978</v>
      </c>
      <c r="L348" s="5" t="s">
        <v>2438</v>
      </c>
      <c r="M348" s="5"/>
      <c r="N348" s="5" t="s">
        <v>811</v>
      </c>
    </row>
    <row r="349" spans="1:14">
      <c r="A349" s="5" t="s">
        <v>279</v>
      </c>
      <c r="B349" s="5" t="s">
        <v>1365</v>
      </c>
      <c r="C349" s="5" t="s">
        <v>1366</v>
      </c>
      <c r="D349" s="5" t="s">
        <v>1376</v>
      </c>
      <c r="E349" s="5" t="s">
        <v>2979</v>
      </c>
      <c r="F349" s="5" t="s">
        <v>1367</v>
      </c>
      <c r="G349" s="5" t="s">
        <v>2160</v>
      </c>
      <c r="H349" s="5" t="s">
        <v>2980</v>
      </c>
      <c r="I349" s="5"/>
      <c r="J349" s="16" t="s">
        <v>1854</v>
      </c>
      <c r="K349" s="5" t="s">
        <v>2981</v>
      </c>
      <c r="L349" s="5" t="s">
        <v>2982</v>
      </c>
      <c r="M349" s="5" t="s">
        <v>1364</v>
      </c>
      <c r="N349" s="5" t="s">
        <v>811</v>
      </c>
    </row>
    <row r="350" spans="1:14">
      <c r="A350" s="5" t="s">
        <v>279</v>
      </c>
      <c r="B350" s="5" t="s">
        <v>1365</v>
      </c>
      <c r="C350" s="5" t="s">
        <v>1366</v>
      </c>
      <c r="D350" s="5" t="s">
        <v>1376</v>
      </c>
      <c r="E350" s="5" t="s">
        <v>2983</v>
      </c>
      <c r="F350" s="5" t="s">
        <v>1318</v>
      </c>
      <c r="G350" s="5" t="s">
        <v>1922</v>
      </c>
      <c r="H350" s="5" t="s">
        <v>2980</v>
      </c>
      <c r="I350" s="5"/>
      <c r="J350" s="16" t="s">
        <v>1854</v>
      </c>
      <c r="K350" s="5" t="s">
        <v>2984</v>
      </c>
      <c r="L350" s="5"/>
      <c r="M350" s="5"/>
      <c r="N350" s="5" t="s">
        <v>811</v>
      </c>
    </row>
    <row r="351" spans="1:14">
      <c r="A351" s="5" t="s">
        <v>279</v>
      </c>
      <c r="B351" s="5" t="s">
        <v>1365</v>
      </c>
      <c r="C351" s="5" t="s">
        <v>1366</v>
      </c>
      <c r="D351" s="5" t="s">
        <v>1376</v>
      </c>
      <c r="E351" s="5" t="s">
        <v>2985</v>
      </c>
      <c r="F351" s="5" t="s">
        <v>2986</v>
      </c>
      <c r="G351" s="5" t="s">
        <v>1922</v>
      </c>
      <c r="H351" s="5" t="s">
        <v>2980</v>
      </c>
      <c r="I351" s="5"/>
      <c r="J351" s="19" t="s">
        <v>2411</v>
      </c>
      <c r="K351" s="5"/>
      <c r="L351" s="5" t="s">
        <v>2987</v>
      </c>
      <c r="M351" s="5"/>
      <c r="N351" s="5" t="s">
        <v>811</v>
      </c>
    </row>
    <row r="352" spans="1:14">
      <c r="A352" s="5" t="s">
        <v>279</v>
      </c>
      <c r="B352" s="5" t="s">
        <v>1365</v>
      </c>
      <c r="C352" s="5" t="s">
        <v>1366</v>
      </c>
      <c r="D352" s="5" t="s">
        <v>1376</v>
      </c>
      <c r="E352" s="5" t="s">
        <v>2988</v>
      </c>
      <c r="F352" s="5" t="s">
        <v>2901</v>
      </c>
      <c r="G352" s="5" t="s">
        <v>1922</v>
      </c>
      <c r="H352" s="5" t="s">
        <v>2980</v>
      </c>
      <c r="I352" s="5"/>
      <c r="J352" s="16" t="s">
        <v>1854</v>
      </c>
      <c r="K352" s="5" t="s">
        <v>2989</v>
      </c>
      <c r="L352" s="5"/>
      <c r="M352" s="5"/>
      <c r="N352" s="5" t="s">
        <v>811</v>
      </c>
    </row>
    <row r="353" spans="1:14">
      <c r="A353" s="5" t="s">
        <v>279</v>
      </c>
      <c r="B353" s="5" t="s">
        <v>1365</v>
      </c>
      <c r="C353" s="5" t="s">
        <v>1366</v>
      </c>
      <c r="D353" s="5" t="s">
        <v>1376</v>
      </c>
      <c r="E353" s="5" t="s">
        <v>2990</v>
      </c>
      <c r="F353" s="5" t="s">
        <v>2991</v>
      </c>
      <c r="G353" s="5" t="s">
        <v>2269</v>
      </c>
      <c r="H353" s="5" t="s">
        <v>1222</v>
      </c>
      <c r="I353" s="5"/>
      <c r="J353" s="16" t="s">
        <v>1854</v>
      </c>
      <c r="K353" s="5" t="s">
        <v>2992</v>
      </c>
      <c r="L353" s="5"/>
      <c r="M353" s="5"/>
      <c r="N353" s="5" t="s">
        <v>811</v>
      </c>
    </row>
    <row r="354" spans="1:14">
      <c r="A354" s="5" t="s">
        <v>279</v>
      </c>
      <c r="B354" s="5" t="s">
        <v>1365</v>
      </c>
      <c r="C354" s="5" t="s">
        <v>1366</v>
      </c>
      <c r="D354" s="5" t="s">
        <v>1376</v>
      </c>
      <c r="E354" s="5" t="s">
        <v>2993</v>
      </c>
      <c r="F354" s="5" t="s">
        <v>2994</v>
      </c>
      <c r="G354" s="5" t="s">
        <v>2239</v>
      </c>
      <c r="H354" s="5" t="s">
        <v>2995</v>
      </c>
      <c r="I354" s="5"/>
      <c r="J354" s="16" t="s">
        <v>1854</v>
      </c>
      <c r="K354" s="5" t="s">
        <v>2996</v>
      </c>
      <c r="L354" s="5" t="s">
        <v>2997</v>
      </c>
      <c r="M354" s="5"/>
      <c r="N354" s="5" t="s">
        <v>811</v>
      </c>
    </row>
    <row r="355" spans="1:14">
      <c r="A355" s="5" t="s">
        <v>279</v>
      </c>
      <c r="B355" s="5" t="s">
        <v>1365</v>
      </c>
      <c r="C355" s="5" t="s">
        <v>2998</v>
      </c>
      <c r="D355" s="5" t="s">
        <v>2999</v>
      </c>
      <c r="E355" s="5" t="s">
        <v>3000</v>
      </c>
      <c r="F355" s="5" t="s">
        <v>577</v>
      </c>
      <c r="G355" s="5" t="s">
        <v>2269</v>
      </c>
      <c r="H355" s="5" t="s">
        <v>1853</v>
      </c>
      <c r="I355" s="5"/>
      <c r="J355" s="16" t="s">
        <v>1854</v>
      </c>
      <c r="K355" s="5" t="s">
        <v>3001</v>
      </c>
      <c r="L355" s="5"/>
      <c r="M355" s="5"/>
      <c r="N355" s="5" t="s">
        <v>811</v>
      </c>
    </row>
    <row r="356" spans="1:14">
      <c r="A356" s="5" t="s">
        <v>279</v>
      </c>
      <c r="B356" s="5" t="s">
        <v>1365</v>
      </c>
      <c r="C356" s="5" t="s">
        <v>2998</v>
      </c>
      <c r="D356" s="5" t="s">
        <v>2999</v>
      </c>
      <c r="E356" s="5" t="s">
        <v>3002</v>
      </c>
      <c r="F356" s="5" t="s">
        <v>2111</v>
      </c>
      <c r="G356" s="5" t="s">
        <v>1922</v>
      </c>
      <c r="H356" s="5" t="s">
        <v>1853</v>
      </c>
      <c r="I356" s="5"/>
      <c r="J356" s="16" t="s">
        <v>1854</v>
      </c>
      <c r="K356" s="5" t="s">
        <v>3003</v>
      </c>
      <c r="L356" s="5"/>
      <c r="M356" s="5"/>
      <c r="N356" s="5" t="s">
        <v>811</v>
      </c>
    </row>
    <row r="357" spans="1:14">
      <c r="A357" s="5" t="s">
        <v>279</v>
      </c>
      <c r="B357" s="5" t="s">
        <v>1365</v>
      </c>
      <c r="C357" s="5" t="s">
        <v>2998</v>
      </c>
      <c r="D357" s="5" t="s">
        <v>2999</v>
      </c>
      <c r="E357" s="5" t="s">
        <v>3004</v>
      </c>
      <c r="F357" s="5" t="s">
        <v>3005</v>
      </c>
      <c r="G357" s="5" t="s">
        <v>2269</v>
      </c>
      <c r="H357" s="5" t="s">
        <v>2612</v>
      </c>
      <c r="I357" s="5"/>
      <c r="J357" s="16" t="s">
        <v>1854</v>
      </c>
      <c r="K357" s="5" t="s">
        <v>3006</v>
      </c>
      <c r="L357" s="5"/>
      <c r="M357" s="5"/>
      <c r="N357" s="5" t="s">
        <v>811</v>
      </c>
    </row>
    <row r="358" spans="1:14">
      <c r="A358" s="5" t="s">
        <v>279</v>
      </c>
      <c r="B358" s="5" t="s">
        <v>1365</v>
      </c>
      <c r="C358" s="5" t="s">
        <v>2998</v>
      </c>
      <c r="D358" s="5" t="s">
        <v>2999</v>
      </c>
      <c r="E358" s="5" t="s">
        <v>3007</v>
      </c>
      <c r="F358" s="5" t="s">
        <v>3008</v>
      </c>
      <c r="G358" s="5" t="s">
        <v>2239</v>
      </c>
      <c r="H358" s="5" t="s">
        <v>2612</v>
      </c>
      <c r="I358" s="5"/>
      <c r="J358" s="19" t="s">
        <v>2411</v>
      </c>
      <c r="K358" s="5" t="s">
        <v>3009</v>
      </c>
      <c r="L358" s="5" t="s">
        <v>3010</v>
      </c>
      <c r="M358" s="5"/>
      <c r="N358" s="5" t="s">
        <v>811</v>
      </c>
    </row>
    <row r="359" spans="1:14">
      <c r="A359" s="5" t="s">
        <v>279</v>
      </c>
      <c r="B359" s="5" t="s">
        <v>1365</v>
      </c>
      <c r="C359" s="5" t="s">
        <v>2998</v>
      </c>
      <c r="D359" s="5" t="s">
        <v>2999</v>
      </c>
      <c r="E359" s="5" t="s">
        <v>3011</v>
      </c>
      <c r="F359" s="5" t="s">
        <v>3012</v>
      </c>
      <c r="G359" s="5" t="s">
        <v>2239</v>
      </c>
      <c r="H359" s="5" t="s">
        <v>2786</v>
      </c>
      <c r="I359" s="5"/>
      <c r="J359" s="16" t="s">
        <v>1854</v>
      </c>
      <c r="K359" s="5" t="s">
        <v>3013</v>
      </c>
      <c r="L359" s="5" t="s">
        <v>3014</v>
      </c>
      <c r="M359" s="5"/>
      <c r="N359" s="5" t="s">
        <v>811</v>
      </c>
    </row>
    <row r="360" spans="1:14">
      <c r="A360" s="5" t="s">
        <v>279</v>
      </c>
      <c r="B360" s="5" t="s">
        <v>1365</v>
      </c>
      <c r="C360" s="5" t="s">
        <v>2998</v>
      </c>
      <c r="D360" s="5" t="s">
        <v>2999</v>
      </c>
      <c r="E360" s="5" t="s">
        <v>3015</v>
      </c>
      <c r="F360" s="5" t="s">
        <v>3016</v>
      </c>
      <c r="G360" s="5" t="s">
        <v>1922</v>
      </c>
      <c r="H360" s="5" t="s">
        <v>2786</v>
      </c>
      <c r="I360" s="5"/>
      <c r="J360" s="19" t="s">
        <v>2411</v>
      </c>
      <c r="K360" s="5"/>
      <c r="L360" s="5" t="s">
        <v>3017</v>
      </c>
      <c r="M360" s="5"/>
      <c r="N360" s="5" t="s">
        <v>811</v>
      </c>
    </row>
    <row r="361" spans="1:14">
      <c r="A361" s="5" t="s">
        <v>279</v>
      </c>
      <c r="B361" s="5" t="s">
        <v>1365</v>
      </c>
      <c r="C361" s="5" t="s">
        <v>2998</v>
      </c>
      <c r="D361" s="5" t="s">
        <v>2999</v>
      </c>
      <c r="E361" s="5" t="s">
        <v>3018</v>
      </c>
      <c r="F361" s="5" t="s">
        <v>3019</v>
      </c>
      <c r="G361" s="5" t="s">
        <v>2239</v>
      </c>
      <c r="H361" s="5" t="s">
        <v>3020</v>
      </c>
      <c r="I361" s="5"/>
      <c r="J361" s="17" t="s">
        <v>1858</v>
      </c>
      <c r="K361" s="5" t="s">
        <v>3021</v>
      </c>
      <c r="L361" s="5" t="s">
        <v>3022</v>
      </c>
      <c r="M361" s="5"/>
      <c r="N361" s="5" t="s">
        <v>811</v>
      </c>
    </row>
    <row r="362" spans="1:14">
      <c r="A362" s="5" t="s">
        <v>279</v>
      </c>
      <c r="B362" s="5" t="s">
        <v>1365</v>
      </c>
      <c r="C362" s="5" t="s">
        <v>3023</v>
      </c>
      <c r="D362" s="5" t="s">
        <v>3024</v>
      </c>
      <c r="E362" s="5" t="s">
        <v>3025</v>
      </c>
      <c r="F362" s="5" t="s">
        <v>577</v>
      </c>
      <c r="G362" s="5" t="s">
        <v>2269</v>
      </c>
      <c r="H362" s="5" t="s">
        <v>1853</v>
      </c>
      <c r="I362" s="5"/>
      <c r="J362" s="16" t="s">
        <v>1854</v>
      </c>
      <c r="K362" s="5" t="s">
        <v>3026</v>
      </c>
      <c r="L362" s="5"/>
      <c r="M362" s="5"/>
      <c r="N362" s="5" t="s">
        <v>811</v>
      </c>
    </row>
    <row r="363" spans="1:14">
      <c r="A363" s="5" t="s">
        <v>279</v>
      </c>
      <c r="B363" s="5" t="s">
        <v>1365</v>
      </c>
      <c r="C363" s="5" t="s">
        <v>3023</v>
      </c>
      <c r="D363" s="5" t="s">
        <v>3024</v>
      </c>
      <c r="E363" s="5" t="s">
        <v>3027</v>
      </c>
      <c r="F363" s="5" t="s">
        <v>2111</v>
      </c>
      <c r="G363" s="5" t="s">
        <v>1922</v>
      </c>
      <c r="H363" s="5" t="s">
        <v>1853</v>
      </c>
      <c r="I363" s="5"/>
      <c r="J363" s="16" t="s">
        <v>1854</v>
      </c>
      <c r="K363" s="5" t="s">
        <v>3028</v>
      </c>
      <c r="L363" s="5"/>
      <c r="M363" s="5"/>
      <c r="N363" s="5" t="s">
        <v>811</v>
      </c>
    </row>
    <row r="364" spans="1:14">
      <c r="A364" s="5" t="s">
        <v>279</v>
      </c>
      <c r="B364" s="5" t="s">
        <v>1365</v>
      </c>
      <c r="C364" s="5" t="s">
        <v>3023</v>
      </c>
      <c r="D364" s="5" t="s">
        <v>3024</v>
      </c>
      <c r="E364" s="5" t="s">
        <v>3029</v>
      </c>
      <c r="F364" s="5" t="s">
        <v>3030</v>
      </c>
      <c r="G364" s="5" t="s">
        <v>2269</v>
      </c>
      <c r="H364" s="5" t="s">
        <v>3031</v>
      </c>
      <c r="I364" s="5"/>
      <c r="J364" s="17" t="s">
        <v>1858</v>
      </c>
      <c r="K364" s="5" t="s">
        <v>3032</v>
      </c>
      <c r="L364" s="5" t="s">
        <v>2949</v>
      </c>
      <c r="M364" s="5"/>
      <c r="N364" s="5" t="s">
        <v>811</v>
      </c>
    </row>
    <row r="365" spans="1:14">
      <c r="A365" s="5" t="s">
        <v>279</v>
      </c>
      <c r="B365" s="5" t="s">
        <v>1365</v>
      </c>
      <c r="C365" s="5" t="s">
        <v>3023</v>
      </c>
      <c r="D365" s="5" t="s">
        <v>3024</v>
      </c>
      <c r="E365" s="5" t="s">
        <v>3033</v>
      </c>
      <c r="F365" s="5" t="s">
        <v>3034</v>
      </c>
      <c r="G365" s="5" t="s">
        <v>2227</v>
      </c>
      <c r="H365" s="5" t="s">
        <v>3031</v>
      </c>
      <c r="I365" s="5"/>
      <c r="J365" s="16" t="s">
        <v>1854</v>
      </c>
      <c r="K365" s="5" t="s">
        <v>3035</v>
      </c>
      <c r="L365" s="5" t="s">
        <v>3036</v>
      </c>
      <c r="M365" s="5"/>
      <c r="N365" s="5" t="s">
        <v>811</v>
      </c>
    </row>
    <row r="366" spans="1:14">
      <c r="A366" s="5" t="s">
        <v>279</v>
      </c>
      <c r="B366" s="5" t="s">
        <v>1381</v>
      </c>
      <c r="C366" s="5" t="s">
        <v>1382</v>
      </c>
      <c r="D366" s="5" t="s">
        <v>1393</v>
      </c>
      <c r="E366" s="5" t="s">
        <v>3037</v>
      </c>
      <c r="F366" s="5" t="s">
        <v>577</v>
      </c>
      <c r="G366" s="5" t="s">
        <v>2269</v>
      </c>
      <c r="H366" s="5" t="s">
        <v>1853</v>
      </c>
      <c r="I366" s="5"/>
      <c r="J366" s="17" t="s">
        <v>1858</v>
      </c>
      <c r="K366" s="5" t="s">
        <v>3038</v>
      </c>
      <c r="L366" s="5" t="s">
        <v>3039</v>
      </c>
      <c r="M366" s="5"/>
      <c r="N366" s="5" t="s">
        <v>811</v>
      </c>
    </row>
    <row r="367" spans="1:14">
      <c r="A367" s="5" t="s">
        <v>279</v>
      </c>
      <c r="B367" s="5" t="s">
        <v>1381</v>
      </c>
      <c r="C367" s="5" t="s">
        <v>1382</v>
      </c>
      <c r="D367" s="5" t="s">
        <v>1393</v>
      </c>
      <c r="E367" s="5" t="s">
        <v>3040</v>
      </c>
      <c r="F367" s="5" t="s">
        <v>3041</v>
      </c>
      <c r="G367" s="5" t="s">
        <v>1922</v>
      </c>
      <c r="H367" s="5" t="s">
        <v>1853</v>
      </c>
      <c r="I367" s="5"/>
      <c r="J367" s="16" t="s">
        <v>1854</v>
      </c>
      <c r="K367" s="5" t="s">
        <v>3042</v>
      </c>
      <c r="L367" s="5" t="s">
        <v>3043</v>
      </c>
      <c r="M367" s="5"/>
      <c r="N367" s="5" t="s">
        <v>811</v>
      </c>
    </row>
    <row r="368" spans="1:14">
      <c r="A368" s="5" t="s">
        <v>279</v>
      </c>
      <c r="B368" s="5" t="s">
        <v>1381</v>
      </c>
      <c r="C368" s="5" t="s">
        <v>1382</v>
      </c>
      <c r="D368" s="5" t="s">
        <v>1393</v>
      </c>
      <c r="E368" s="5" t="s">
        <v>3044</v>
      </c>
      <c r="F368" s="5" t="s">
        <v>3045</v>
      </c>
      <c r="G368" s="5" t="s">
        <v>2160</v>
      </c>
      <c r="H368" s="5" t="s">
        <v>2146</v>
      </c>
      <c r="I368" s="5"/>
      <c r="J368" s="16" t="s">
        <v>1854</v>
      </c>
      <c r="K368" s="5" t="s">
        <v>3046</v>
      </c>
      <c r="L368" s="5"/>
      <c r="M368" s="5"/>
      <c r="N368" s="5" t="s">
        <v>811</v>
      </c>
    </row>
    <row r="369" spans="1:14">
      <c r="A369" s="5" t="s">
        <v>279</v>
      </c>
      <c r="B369" s="5" t="s">
        <v>1381</v>
      </c>
      <c r="C369" s="5" t="s">
        <v>1382</v>
      </c>
      <c r="D369" s="5" t="s">
        <v>1393</v>
      </c>
      <c r="E369" s="5" t="s">
        <v>3047</v>
      </c>
      <c r="F369" s="5" t="s">
        <v>3048</v>
      </c>
      <c r="G369" s="5" t="s">
        <v>1922</v>
      </c>
      <c r="H369" s="5" t="s">
        <v>2146</v>
      </c>
      <c r="I369" s="5"/>
      <c r="J369" s="19" t="s">
        <v>2411</v>
      </c>
      <c r="K369" s="5"/>
      <c r="L369" s="5" t="s">
        <v>3049</v>
      </c>
      <c r="M369" s="5"/>
      <c r="N369" s="5" t="s">
        <v>811</v>
      </c>
    </row>
    <row r="370" spans="1:14">
      <c r="A370" s="5" t="s">
        <v>279</v>
      </c>
      <c r="B370" s="5" t="s">
        <v>1381</v>
      </c>
      <c r="C370" s="5" t="s">
        <v>1382</v>
      </c>
      <c r="D370" s="5" t="s">
        <v>1393</v>
      </c>
      <c r="E370" s="5" t="s">
        <v>3050</v>
      </c>
      <c r="F370" s="5" t="s">
        <v>2901</v>
      </c>
      <c r="G370" s="5" t="s">
        <v>1922</v>
      </c>
      <c r="H370" s="5" t="s">
        <v>2146</v>
      </c>
      <c r="I370" s="5"/>
      <c r="J370" s="19" t="s">
        <v>2411</v>
      </c>
      <c r="K370" s="5"/>
      <c r="L370" s="5" t="s">
        <v>3051</v>
      </c>
      <c r="M370" s="5"/>
      <c r="N370" s="5" t="s">
        <v>811</v>
      </c>
    </row>
    <row r="371" spans="1:14">
      <c r="A371" s="5" t="s">
        <v>279</v>
      </c>
      <c r="B371" s="5" t="s">
        <v>1381</v>
      </c>
      <c r="C371" s="5" t="s">
        <v>1382</v>
      </c>
      <c r="D371" s="5" t="s">
        <v>1393</v>
      </c>
      <c r="E371" s="5" t="s">
        <v>3052</v>
      </c>
      <c r="F371" s="5" t="s">
        <v>3053</v>
      </c>
      <c r="G371" s="5" t="s">
        <v>2239</v>
      </c>
      <c r="H371" s="5" t="s">
        <v>3054</v>
      </c>
      <c r="I371" s="5"/>
      <c r="J371" s="16" t="s">
        <v>1854</v>
      </c>
      <c r="K371" s="5" t="s">
        <v>3055</v>
      </c>
      <c r="L371" s="5" t="s">
        <v>3056</v>
      </c>
      <c r="M371" s="5"/>
      <c r="N371" s="5" t="s">
        <v>811</v>
      </c>
    </row>
    <row r="372" spans="1:14">
      <c r="A372" s="5" t="s">
        <v>279</v>
      </c>
      <c r="B372" s="5" t="s">
        <v>1381</v>
      </c>
      <c r="C372" s="5" t="s">
        <v>1382</v>
      </c>
      <c r="D372" s="5" t="s">
        <v>1393</v>
      </c>
      <c r="E372" s="5" t="s">
        <v>3057</v>
      </c>
      <c r="F372" s="5" t="s">
        <v>3058</v>
      </c>
      <c r="G372" s="5" t="s">
        <v>2239</v>
      </c>
      <c r="H372" s="5" t="s">
        <v>3054</v>
      </c>
      <c r="I372" s="5"/>
      <c r="J372" s="16" t="s">
        <v>1854</v>
      </c>
      <c r="K372" s="5" t="s">
        <v>3059</v>
      </c>
      <c r="L372" s="5" t="s">
        <v>3060</v>
      </c>
      <c r="M372" s="5"/>
      <c r="N372" s="5" t="s">
        <v>811</v>
      </c>
    </row>
    <row r="373" spans="1:14">
      <c r="A373" s="5" t="s">
        <v>279</v>
      </c>
      <c r="B373" s="5" t="s">
        <v>1381</v>
      </c>
      <c r="C373" s="5" t="s">
        <v>1382</v>
      </c>
      <c r="D373" s="5" t="s">
        <v>1393</v>
      </c>
      <c r="E373" s="5" t="s">
        <v>3061</v>
      </c>
      <c r="F373" s="5" t="s">
        <v>1398</v>
      </c>
      <c r="G373" s="5" t="s">
        <v>2239</v>
      </c>
      <c r="H373" s="5" t="s">
        <v>3054</v>
      </c>
      <c r="I373" s="5"/>
      <c r="J373" s="16" t="s">
        <v>1854</v>
      </c>
      <c r="K373" s="5" t="s">
        <v>3062</v>
      </c>
      <c r="L373" s="5" t="s">
        <v>3063</v>
      </c>
      <c r="M373" s="5" t="s">
        <v>1397</v>
      </c>
      <c r="N373" s="5" t="s">
        <v>811</v>
      </c>
    </row>
    <row r="374" spans="1:14">
      <c r="A374" s="5" t="s">
        <v>279</v>
      </c>
      <c r="B374" s="5" t="s">
        <v>1381</v>
      </c>
      <c r="C374" s="5" t="s">
        <v>1382</v>
      </c>
      <c r="D374" s="5" t="s">
        <v>1393</v>
      </c>
      <c r="E374" s="5" t="s">
        <v>3064</v>
      </c>
      <c r="F374" s="5" t="s">
        <v>1409</v>
      </c>
      <c r="G374" s="5" t="s">
        <v>2239</v>
      </c>
      <c r="H374" s="5" t="s">
        <v>3054</v>
      </c>
      <c r="I374" s="5"/>
      <c r="J374" s="16" t="s">
        <v>1854</v>
      </c>
      <c r="K374" s="5" t="s">
        <v>3065</v>
      </c>
      <c r="L374" s="5" t="s">
        <v>3066</v>
      </c>
      <c r="M374" s="5" t="s">
        <v>1408</v>
      </c>
      <c r="N374" s="5" t="s">
        <v>811</v>
      </c>
    </row>
    <row r="375" spans="1:14">
      <c r="A375" s="5" t="s">
        <v>279</v>
      </c>
      <c r="B375" s="5" t="s">
        <v>1381</v>
      </c>
      <c r="C375" s="5" t="s">
        <v>1382</v>
      </c>
      <c r="D375" s="5" t="s">
        <v>1393</v>
      </c>
      <c r="E375" s="5" t="s">
        <v>3067</v>
      </c>
      <c r="F375" s="5" t="s">
        <v>1383</v>
      </c>
      <c r="G375" s="5" t="s">
        <v>2239</v>
      </c>
      <c r="H375" s="5" t="s">
        <v>3054</v>
      </c>
      <c r="I375" s="5"/>
      <c r="J375" s="17" t="s">
        <v>1858</v>
      </c>
      <c r="K375" s="5" t="s">
        <v>3068</v>
      </c>
      <c r="L375" s="5" t="s">
        <v>3069</v>
      </c>
      <c r="M375" s="5" t="s">
        <v>1380</v>
      </c>
      <c r="N375" s="5" t="s">
        <v>811</v>
      </c>
    </row>
    <row r="376" spans="1:14">
      <c r="A376" s="5" t="s">
        <v>279</v>
      </c>
      <c r="B376" s="5" t="s">
        <v>1381</v>
      </c>
      <c r="C376" s="5" t="s">
        <v>1430</v>
      </c>
      <c r="D376" s="5" t="s">
        <v>1440</v>
      </c>
      <c r="E376" s="5" t="s">
        <v>3070</v>
      </c>
      <c r="F376" s="5" t="s">
        <v>577</v>
      </c>
      <c r="G376" s="5" t="s">
        <v>2269</v>
      </c>
      <c r="H376" s="5" t="s">
        <v>1853</v>
      </c>
      <c r="I376" s="5"/>
      <c r="J376" s="16" t="s">
        <v>1854</v>
      </c>
      <c r="K376" s="5" t="s">
        <v>3071</v>
      </c>
      <c r="L376" s="5"/>
      <c r="M376" s="5"/>
      <c r="N376" s="5" t="s">
        <v>811</v>
      </c>
    </row>
    <row r="377" spans="1:14">
      <c r="A377" s="5" t="s">
        <v>279</v>
      </c>
      <c r="B377" s="5" t="s">
        <v>1381</v>
      </c>
      <c r="C377" s="5" t="s">
        <v>1430</v>
      </c>
      <c r="D377" s="5" t="s">
        <v>1440</v>
      </c>
      <c r="E377" s="5" t="s">
        <v>3072</v>
      </c>
      <c r="F377" s="5" t="s">
        <v>3041</v>
      </c>
      <c r="G377" s="5" t="s">
        <v>1922</v>
      </c>
      <c r="H377" s="5" t="s">
        <v>1853</v>
      </c>
      <c r="I377" s="5"/>
      <c r="J377" s="16" t="s">
        <v>1854</v>
      </c>
      <c r="K377" s="5" t="s">
        <v>3073</v>
      </c>
      <c r="L377" s="5"/>
      <c r="M377" s="5"/>
      <c r="N377" s="5" t="s">
        <v>811</v>
      </c>
    </row>
    <row r="378" spans="1:14">
      <c r="A378" s="5" t="s">
        <v>279</v>
      </c>
      <c r="B378" s="5" t="s">
        <v>1381</v>
      </c>
      <c r="C378" s="5" t="s">
        <v>1430</v>
      </c>
      <c r="D378" s="5" t="s">
        <v>1440</v>
      </c>
      <c r="E378" s="5" t="s">
        <v>3074</v>
      </c>
      <c r="F378" s="5" t="s">
        <v>3075</v>
      </c>
      <c r="G378" s="5" t="s">
        <v>2227</v>
      </c>
      <c r="H378" s="5" t="s">
        <v>3076</v>
      </c>
      <c r="I378" s="5"/>
      <c r="J378" s="19" t="s">
        <v>2411</v>
      </c>
      <c r="K378" s="5" t="s">
        <v>3077</v>
      </c>
      <c r="L378" s="5" t="s">
        <v>3078</v>
      </c>
      <c r="M378" s="5"/>
      <c r="N378" s="5" t="s">
        <v>811</v>
      </c>
    </row>
    <row r="379" spans="1:14">
      <c r="A379" s="5" t="s">
        <v>279</v>
      </c>
      <c r="B379" s="5" t="s">
        <v>1381</v>
      </c>
      <c r="C379" s="5" t="s">
        <v>1430</v>
      </c>
      <c r="D379" s="5" t="s">
        <v>1440</v>
      </c>
      <c r="E379" s="5" t="s">
        <v>3079</v>
      </c>
      <c r="F379" s="5" t="s">
        <v>3080</v>
      </c>
      <c r="G379" s="5" t="s">
        <v>2239</v>
      </c>
      <c r="H379" s="5" t="s">
        <v>3076</v>
      </c>
      <c r="I379" s="5"/>
      <c r="J379" s="19" t="s">
        <v>2411</v>
      </c>
      <c r="K379" s="5" t="s">
        <v>3081</v>
      </c>
      <c r="L379" s="5" t="s">
        <v>3082</v>
      </c>
      <c r="M379" s="5"/>
      <c r="N379" s="5" t="s">
        <v>811</v>
      </c>
    </row>
    <row r="380" spans="1:14">
      <c r="A380" s="5" t="s">
        <v>279</v>
      </c>
      <c r="B380" s="5" t="s">
        <v>1381</v>
      </c>
      <c r="C380" s="5" t="s">
        <v>1430</v>
      </c>
      <c r="D380" s="5" t="s">
        <v>1440</v>
      </c>
      <c r="E380" s="5" t="s">
        <v>3083</v>
      </c>
      <c r="F380" s="5" t="s">
        <v>3084</v>
      </c>
      <c r="G380" s="5" t="s">
        <v>1922</v>
      </c>
      <c r="H380" s="5" t="s">
        <v>3076</v>
      </c>
      <c r="I380" s="5"/>
      <c r="J380" s="19" t="s">
        <v>2411</v>
      </c>
      <c r="K380" s="5"/>
      <c r="L380" s="5" t="s">
        <v>3085</v>
      </c>
      <c r="M380" s="5"/>
      <c r="N380" s="5" t="s">
        <v>811</v>
      </c>
    </row>
    <row r="381" spans="1:14">
      <c r="A381" s="5" t="s">
        <v>279</v>
      </c>
      <c r="B381" s="5" t="s">
        <v>1381</v>
      </c>
      <c r="C381" s="5" t="s">
        <v>1430</v>
      </c>
      <c r="D381" s="5" t="s">
        <v>1440</v>
      </c>
      <c r="E381" s="5" t="s">
        <v>3086</v>
      </c>
      <c r="F381" s="5" t="s">
        <v>3087</v>
      </c>
      <c r="G381" s="5" t="s">
        <v>2269</v>
      </c>
      <c r="H381" s="5" t="s">
        <v>3088</v>
      </c>
      <c r="I381" s="5"/>
      <c r="J381" s="16" t="s">
        <v>1854</v>
      </c>
      <c r="K381" s="5" t="s">
        <v>3089</v>
      </c>
      <c r="L381" s="5"/>
      <c r="M381" s="5"/>
      <c r="N381" s="5" t="s">
        <v>811</v>
      </c>
    </row>
    <row r="382" spans="1:14">
      <c r="A382" s="5" t="s">
        <v>279</v>
      </c>
      <c r="B382" s="5" t="s">
        <v>1381</v>
      </c>
      <c r="C382" s="5" t="s">
        <v>1430</v>
      </c>
      <c r="D382" s="5" t="s">
        <v>1440</v>
      </c>
      <c r="E382" s="5" t="s">
        <v>3090</v>
      </c>
      <c r="F382" s="5" t="s">
        <v>3091</v>
      </c>
      <c r="G382" s="5" t="s">
        <v>2269</v>
      </c>
      <c r="H382" s="5" t="s">
        <v>3088</v>
      </c>
      <c r="I382" s="5"/>
      <c r="J382" s="16" t="s">
        <v>1854</v>
      </c>
      <c r="K382" s="5" t="s">
        <v>3092</v>
      </c>
      <c r="L382" s="5"/>
      <c r="M382" s="5"/>
      <c r="N382" s="5" t="s">
        <v>811</v>
      </c>
    </row>
    <row r="383" spans="1:14">
      <c r="A383" s="5" t="s">
        <v>279</v>
      </c>
      <c r="B383" s="5" t="s">
        <v>1381</v>
      </c>
      <c r="C383" s="5" t="s">
        <v>1430</v>
      </c>
      <c r="D383" s="5" t="s">
        <v>1440</v>
      </c>
      <c r="E383" s="5" t="s">
        <v>3093</v>
      </c>
      <c r="F383" s="5" t="s">
        <v>3094</v>
      </c>
      <c r="G383" s="5" t="s">
        <v>1922</v>
      </c>
      <c r="H383" s="5" t="s">
        <v>3088</v>
      </c>
      <c r="I383" s="5"/>
      <c r="J383" s="19" t="s">
        <v>2411</v>
      </c>
      <c r="K383" s="5"/>
      <c r="L383" s="5" t="s">
        <v>3095</v>
      </c>
      <c r="M383" s="5"/>
      <c r="N383" s="5" t="s">
        <v>811</v>
      </c>
    </row>
    <row r="384" spans="1:14">
      <c r="A384" s="5" t="s">
        <v>279</v>
      </c>
      <c r="B384" s="5" t="s">
        <v>1381</v>
      </c>
      <c r="C384" s="5" t="s">
        <v>1430</v>
      </c>
      <c r="D384" s="5" t="s">
        <v>1440</v>
      </c>
      <c r="E384" s="5" t="s">
        <v>3096</v>
      </c>
      <c r="F384" s="5" t="s">
        <v>3097</v>
      </c>
      <c r="G384" s="5" t="s">
        <v>2160</v>
      </c>
      <c r="H384" s="5" t="s">
        <v>3088</v>
      </c>
      <c r="I384" s="5"/>
      <c r="J384" s="19" t="s">
        <v>2411</v>
      </c>
      <c r="K384" s="5" t="s">
        <v>3098</v>
      </c>
      <c r="L384" s="5" t="s">
        <v>3099</v>
      </c>
      <c r="M384" s="5"/>
      <c r="N384" s="5" t="s">
        <v>811</v>
      </c>
    </row>
    <row r="385" spans="1:14">
      <c r="A385" s="5" t="s">
        <v>279</v>
      </c>
      <c r="B385" s="5" t="s">
        <v>1381</v>
      </c>
      <c r="C385" s="5" t="s">
        <v>1430</v>
      </c>
      <c r="D385" s="5" t="s">
        <v>1440</v>
      </c>
      <c r="E385" s="5" t="s">
        <v>3100</v>
      </c>
      <c r="F385" s="5" t="s">
        <v>3101</v>
      </c>
      <c r="G385" s="5" t="s">
        <v>2269</v>
      </c>
      <c r="H385" s="5" t="s">
        <v>3088</v>
      </c>
      <c r="I385" s="5"/>
      <c r="J385" s="16" t="s">
        <v>1854</v>
      </c>
      <c r="K385" s="5" t="s">
        <v>3102</v>
      </c>
      <c r="L385" s="5"/>
      <c r="M385" s="5"/>
      <c r="N385" s="5" t="s">
        <v>811</v>
      </c>
    </row>
    <row r="386" spans="1:14">
      <c r="A386" s="5" t="s">
        <v>279</v>
      </c>
      <c r="B386" s="5" t="s">
        <v>1381</v>
      </c>
      <c r="C386" s="5" t="s">
        <v>1430</v>
      </c>
      <c r="D386" s="5" t="s">
        <v>1440</v>
      </c>
      <c r="E386" s="5" t="s">
        <v>3103</v>
      </c>
      <c r="F386" s="5" t="s">
        <v>1431</v>
      </c>
      <c r="G386" s="5" t="s">
        <v>2239</v>
      </c>
      <c r="H386" s="5" t="s">
        <v>3088</v>
      </c>
      <c r="I386" s="5"/>
      <c r="J386" s="16" t="s">
        <v>1854</v>
      </c>
      <c r="K386" s="5" t="s">
        <v>3104</v>
      </c>
      <c r="L386" s="5" t="s">
        <v>3105</v>
      </c>
      <c r="M386" s="5" t="s">
        <v>1429</v>
      </c>
      <c r="N386" s="5" t="s">
        <v>811</v>
      </c>
    </row>
    <row r="387" spans="1:14">
      <c r="A387" s="5" t="s">
        <v>279</v>
      </c>
      <c r="B387" s="5" t="s">
        <v>1457</v>
      </c>
      <c r="C387" s="5" t="s">
        <v>1457</v>
      </c>
      <c r="D387" s="5" t="s">
        <v>1697</v>
      </c>
      <c r="E387" s="5" t="s">
        <v>3106</v>
      </c>
      <c r="F387" s="5" t="s">
        <v>577</v>
      </c>
      <c r="G387" s="5" t="s">
        <v>2269</v>
      </c>
      <c r="H387" s="5" t="s">
        <v>1853</v>
      </c>
      <c r="I387" s="5"/>
      <c r="J387" s="16" t="s">
        <v>1854</v>
      </c>
      <c r="K387" s="5" t="s">
        <v>3107</v>
      </c>
      <c r="L387" s="5"/>
      <c r="M387" s="5"/>
      <c r="N387" s="5" t="s">
        <v>811</v>
      </c>
    </row>
    <row r="388" spans="1:14">
      <c r="A388" s="5" t="s">
        <v>279</v>
      </c>
      <c r="B388" s="5" t="s">
        <v>1457</v>
      </c>
      <c r="C388" s="5" t="s">
        <v>1457</v>
      </c>
      <c r="D388" s="5" t="s">
        <v>1697</v>
      </c>
      <c r="E388" s="5" t="s">
        <v>3108</v>
      </c>
      <c r="F388" s="5" t="s">
        <v>2111</v>
      </c>
      <c r="G388" s="5" t="s">
        <v>1922</v>
      </c>
      <c r="H388" s="5" t="s">
        <v>1853</v>
      </c>
      <c r="I388" s="5"/>
      <c r="J388" s="16" t="s">
        <v>1854</v>
      </c>
      <c r="K388" s="5" t="s">
        <v>3109</v>
      </c>
      <c r="L388" s="5"/>
      <c r="M388" s="5"/>
      <c r="N388" s="5" t="s">
        <v>811</v>
      </c>
    </row>
    <row r="389" spans="1:14">
      <c r="A389" s="5" t="s">
        <v>279</v>
      </c>
      <c r="B389" s="5" t="s">
        <v>1457</v>
      </c>
      <c r="C389" s="5" t="s">
        <v>1457</v>
      </c>
      <c r="D389" s="5" t="s">
        <v>1697</v>
      </c>
      <c r="E389" s="5" t="s">
        <v>3110</v>
      </c>
      <c r="F389" s="5" t="s">
        <v>1688</v>
      </c>
      <c r="G389" s="5" t="s">
        <v>2239</v>
      </c>
      <c r="H389" s="5" t="s">
        <v>3111</v>
      </c>
      <c r="I389" s="5"/>
      <c r="J389" s="17" t="s">
        <v>1858</v>
      </c>
      <c r="K389" s="5" t="s">
        <v>3112</v>
      </c>
      <c r="L389" s="5" t="s">
        <v>3113</v>
      </c>
      <c r="M389" s="5" t="s">
        <v>1687</v>
      </c>
      <c r="N389" s="5" t="s">
        <v>1654</v>
      </c>
    </row>
    <row r="390" spans="1:14">
      <c r="A390" s="5" t="s">
        <v>279</v>
      </c>
      <c r="B390" s="5" t="s">
        <v>1457</v>
      </c>
      <c r="C390" s="5" t="s">
        <v>1457</v>
      </c>
      <c r="D390" s="5" t="s">
        <v>1697</v>
      </c>
      <c r="E390" s="5" t="s">
        <v>3114</v>
      </c>
      <c r="F390" s="5" t="s">
        <v>3115</v>
      </c>
      <c r="G390" s="5" t="s">
        <v>2239</v>
      </c>
      <c r="H390" s="5" t="s">
        <v>3111</v>
      </c>
      <c r="I390" s="5"/>
      <c r="J390" s="16" t="s">
        <v>1854</v>
      </c>
      <c r="K390" s="5" t="s">
        <v>3116</v>
      </c>
      <c r="L390" s="5" t="s">
        <v>3117</v>
      </c>
      <c r="M390" s="5"/>
      <c r="N390" s="5" t="s">
        <v>811</v>
      </c>
    </row>
    <row r="391" spans="1:14">
      <c r="A391" s="5" t="s">
        <v>279</v>
      </c>
      <c r="B391" s="5" t="s">
        <v>1457</v>
      </c>
      <c r="C391" s="5" t="s">
        <v>1457</v>
      </c>
      <c r="D391" s="5" t="s">
        <v>1697</v>
      </c>
      <c r="E391" s="5" t="s">
        <v>3118</v>
      </c>
      <c r="F391" s="5" t="s">
        <v>3119</v>
      </c>
      <c r="G391" s="5" t="s">
        <v>2239</v>
      </c>
      <c r="H391" s="5" t="s">
        <v>3111</v>
      </c>
      <c r="I391" s="5"/>
      <c r="J391" s="17" t="s">
        <v>1858</v>
      </c>
      <c r="K391" s="5" t="s">
        <v>3120</v>
      </c>
      <c r="L391" s="5" t="s">
        <v>3121</v>
      </c>
      <c r="M391" s="5"/>
      <c r="N391" s="5" t="s">
        <v>1654</v>
      </c>
    </row>
    <row r="392" spans="1:14">
      <c r="A392" s="5" t="s">
        <v>279</v>
      </c>
      <c r="B392" s="5" t="s">
        <v>1457</v>
      </c>
      <c r="C392" s="5" t="s">
        <v>1457</v>
      </c>
      <c r="D392" s="5" t="s">
        <v>1697</v>
      </c>
      <c r="E392" s="5" t="s">
        <v>3122</v>
      </c>
      <c r="F392" s="5" t="s">
        <v>3123</v>
      </c>
      <c r="G392" s="5" t="s">
        <v>2239</v>
      </c>
      <c r="H392" s="5" t="s">
        <v>3124</v>
      </c>
      <c r="I392" s="5"/>
      <c r="J392" s="16" t="s">
        <v>1854</v>
      </c>
      <c r="K392" s="5" t="s">
        <v>3125</v>
      </c>
      <c r="L392" s="5" t="s">
        <v>3126</v>
      </c>
      <c r="M392" s="5"/>
      <c r="N392" s="5" t="s">
        <v>811</v>
      </c>
    </row>
    <row r="393" spans="1:14">
      <c r="A393" s="5" t="s">
        <v>279</v>
      </c>
      <c r="B393" s="5" t="s">
        <v>1457</v>
      </c>
      <c r="C393" s="5" t="s">
        <v>1457</v>
      </c>
      <c r="D393" s="5" t="s">
        <v>1697</v>
      </c>
      <c r="E393" s="5" t="s">
        <v>3127</v>
      </c>
      <c r="F393" s="5" t="s">
        <v>3128</v>
      </c>
      <c r="G393" s="5" t="s">
        <v>2816</v>
      </c>
      <c r="H393" s="5" t="s">
        <v>3124</v>
      </c>
      <c r="I393" s="5"/>
      <c r="J393" s="16" t="s">
        <v>1854</v>
      </c>
      <c r="K393" s="5" t="s">
        <v>3129</v>
      </c>
      <c r="L393" s="5" t="s">
        <v>3130</v>
      </c>
      <c r="M393" s="5"/>
      <c r="N393" s="5" t="s">
        <v>811</v>
      </c>
    </row>
    <row r="394" spans="1:14">
      <c r="A394" s="5" t="s">
        <v>279</v>
      </c>
      <c r="B394" s="5" t="s">
        <v>1457</v>
      </c>
      <c r="C394" s="5" t="s">
        <v>1457</v>
      </c>
      <c r="D394" s="5" t="s">
        <v>1697</v>
      </c>
      <c r="E394" s="5" t="s">
        <v>3131</v>
      </c>
      <c r="F394" s="5" t="s">
        <v>3132</v>
      </c>
      <c r="G394" s="5" t="s">
        <v>2816</v>
      </c>
      <c r="H394" s="5" t="s">
        <v>3124</v>
      </c>
      <c r="I394" s="5"/>
      <c r="J394" s="17" t="s">
        <v>1858</v>
      </c>
      <c r="K394" s="5" t="s">
        <v>3133</v>
      </c>
      <c r="L394" s="5" t="s">
        <v>3134</v>
      </c>
      <c r="M394" s="5"/>
      <c r="N394" s="5" t="s">
        <v>811</v>
      </c>
    </row>
    <row r="395" spans="1:14">
      <c r="A395" s="5" t="s">
        <v>279</v>
      </c>
      <c r="B395" s="5" t="s">
        <v>1457</v>
      </c>
      <c r="C395" s="5" t="s">
        <v>1457</v>
      </c>
      <c r="D395" s="5" t="s">
        <v>1697</v>
      </c>
      <c r="E395" s="5" t="s">
        <v>3135</v>
      </c>
      <c r="F395" s="5" t="s">
        <v>3136</v>
      </c>
      <c r="G395" s="5" t="s">
        <v>2239</v>
      </c>
      <c r="H395" s="5" t="s">
        <v>3124</v>
      </c>
      <c r="I395" s="5"/>
      <c r="J395" s="16" t="s">
        <v>1854</v>
      </c>
      <c r="K395" s="5" t="s">
        <v>3137</v>
      </c>
      <c r="L395" s="5" t="s">
        <v>3126</v>
      </c>
      <c r="M395" s="5"/>
      <c r="N395" s="5" t="s">
        <v>811</v>
      </c>
    </row>
    <row r="396" spans="1:14">
      <c r="A396" s="5" t="s">
        <v>279</v>
      </c>
      <c r="B396" s="5" t="s">
        <v>1457</v>
      </c>
      <c r="C396" s="5" t="s">
        <v>1457</v>
      </c>
      <c r="D396" s="5" t="s">
        <v>1697</v>
      </c>
      <c r="E396" s="5" t="s">
        <v>3138</v>
      </c>
      <c r="F396" s="5" t="s">
        <v>3139</v>
      </c>
      <c r="G396" s="5" t="s">
        <v>2269</v>
      </c>
      <c r="H396" s="5" t="s">
        <v>3124</v>
      </c>
      <c r="I396" s="5"/>
      <c r="J396" s="17" t="s">
        <v>1858</v>
      </c>
      <c r="K396" s="5" t="s">
        <v>3140</v>
      </c>
      <c r="L396" s="5" t="s">
        <v>3141</v>
      </c>
      <c r="M396" s="5"/>
      <c r="N396" s="5" t="s">
        <v>811</v>
      </c>
    </row>
    <row r="397" spans="1:14">
      <c r="A397" s="5" t="s">
        <v>279</v>
      </c>
      <c r="B397" s="5" t="s">
        <v>1457</v>
      </c>
      <c r="C397" s="5" t="s">
        <v>1458</v>
      </c>
      <c r="D397" s="5" t="s">
        <v>1467</v>
      </c>
      <c r="E397" s="5" t="s">
        <v>3142</v>
      </c>
      <c r="F397" s="5" t="s">
        <v>577</v>
      </c>
      <c r="G397" s="5" t="s">
        <v>2269</v>
      </c>
      <c r="H397" s="5" t="s">
        <v>1853</v>
      </c>
      <c r="I397" s="5"/>
      <c r="J397" s="16" t="s">
        <v>1854</v>
      </c>
      <c r="K397" s="5" t="s">
        <v>3143</v>
      </c>
      <c r="L397" s="5"/>
      <c r="M397" s="5"/>
      <c r="N397" s="5" t="s">
        <v>811</v>
      </c>
    </row>
    <row r="398" spans="1:14">
      <c r="A398" s="5" t="s">
        <v>279</v>
      </c>
      <c r="B398" s="5" t="s">
        <v>1457</v>
      </c>
      <c r="C398" s="5" t="s">
        <v>1458</v>
      </c>
      <c r="D398" s="5" t="s">
        <v>1467</v>
      </c>
      <c r="E398" s="5" t="s">
        <v>3144</v>
      </c>
      <c r="F398" s="5" t="s">
        <v>2111</v>
      </c>
      <c r="G398" s="5" t="s">
        <v>1922</v>
      </c>
      <c r="H398" s="5" t="s">
        <v>1853</v>
      </c>
      <c r="I398" s="5"/>
      <c r="J398" s="16" t="s">
        <v>1854</v>
      </c>
      <c r="K398" s="5" t="s">
        <v>3145</v>
      </c>
      <c r="L398" s="5"/>
      <c r="M398" s="5"/>
      <c r="N398" s="5" t="s">
        <v>811</v>
      </c>
    </row>
    <row r="399" spans="1:14">
      <c r="A399" s="5" t="s">
        <v>279</v>
      </c>
      <c r="B399" s="5" t="s">
        <v>1457</v>
      </c>
      <c r="C399" s="5" t="s">
        <v>1458</v>
      </c>
      <c r="D399" s="5" t="s">
        <v>1467</v>
      </c>
      <c r="E399" s="5" t="s">
        <v>3146</v>
      </c>
      <c r="F399" s="5" t="s">
        <v>1459</v>
      </c>
      <c r="G399" s="5" t="s">
        <v>2160</v>
      </c>
      <c r="H399" s="5" t="s">
        <v>2146</v>
      </c>
      <c r="I399" s="5"/>
      <c r="J399" s="16" t="s">
        <v>1854</v>
      </c>
      <c r="K399" s="5" t="s">
        <v>3147</v>
      </c>
      <c r="L399" s="5" t="s">
        <v>3148</v>
      </c>
      <c r="M399" s="5" t="s">
        <v>1456</v>
      </c>
      <c r="N399" s="5" t="s">
        <v>811</v>
      </c>
    </row>
    <row r="400" spans="1:14">
      <c r="A400" s="5" t="s">
        <v>279</v>
      </c>
      <c r="B400" s="5" t="s">
        <v>763</v>
      </c>
      <c r="C400" s="5" t="s">
        <v>1470</v>
      </c>
      <c r="D400" s="5" t="s">
        <v>1480</v>
      </c>
      <c r="E400" s="5" t="s">
        <v>3149</v>
      </c>
      <c r="F400" s="5" t="s">
        <v>577</v>
      </c>
      <c r="G400" s="5" t="s">
        <v>2269</v>
      </c>
      <c r="H400" s="5" t="s">
        <v>1853</v>
      </c>
      <c r="I400" s="5"/>
      <c r="J400" s="16" t="s">
        <v>1854</v>
      </c>
      <c r="K400" s="5" t="s">
        <v>3150</v>
      </c>
      <c r="L400" s="5"/>
      <c r="M400" s="5"/>
      <c r="N400" s="5" t="s">
        <v>811</v>
      </c>
    </row>
    <row r="401" spans="1:14">
      <c r="A401" s="5" t="s">
        <v>279</v>
      </c>
      <c r="B401" s="5" t="s">
        <v>763</v>
      </c>
      <c r="C401" s="5" t="s">
        <v>1470</v>
      </c>
      <c r="D401" s="5" t="s">
        <v>1480</v>
      </c>
      <c r="E401" s="5" t="s">
        <v>3151</v>
      </c>
      <c r="F401" s="5" t="s">
        <v>2111</v>
      </c>
      <c r="G401" s="5" t="s">
        <v>1922</v>
      </c>
      <c r="H401" s="5" t="s">
        <v>1853</v>
      </c>
      <c r="I401" s="5"/>
      <c r="J401" s="16" t="s">
        <v>1854</v>
      </c>
      <c r="K401" s="5" t="s">
        <v>3152</v>
      </c>
      <c r="L401" s="5"/>
      <c r="M401" s="5"/>
      <c r="N401" s="5" t="s">
        <v>811</v>
      </c>
    </row>
    <row r="402" spans="1:14">
      <c r="A402" s="5" t="s">
        <v>279</v>
      </c>
      <c r="B402" s="5" t="s">
        <v>763</v>
      </c>
      <c r="C402" s="5" t="s">
        <v>1470</v>
      </c>
      <c r="D402" s="5" t="s">
        <v>1480</v>
      </c>
      <c r="E402" s="5" t="s">
        <v>3153</v>
      </c>
      <c r="F402" s="5" t="s">
        <v>3154</v>
      </c>
      <c r="G402" s="5" t="s">
        <v>2049</v>
      </c>
      <c r="H402" s="5" t="s">
        <v>2285</v>
      </c>
      <c r="I402" s="5"/>
      <c r="J402" s="16" t="s">
        <v>1854</v>
      </c>
      <c r="K402" s="5" t="s">
        <v>3155</v>
      </c>
      <c r="L402" s="5"/>
      <c r="M402" s="5"/>
      <c r="N402" s="5" t="s">
        <v>811</v>
      </c>
    </row>
    <row r="403" spans="1:14">
      <c r="A403" s="5" t="s">
        <v>279</v>
      </c>
      <c r="B403" s="5" t="s">
        <v>763</v>
      </c>
      <c r="C403" s="5" t="s">
        <v>1470</v>
      </c>
      <c r="D403" s="5" t="s">
        <v>1480</v>
      </c>
      <c r="E403" s="5" t="s">
        <v>3156</v>
      </c>
      <c r="F403" s="5" t="s">
        <v>3157</v>
      </c>
      <c r="G403" s="5" t="s">
        <v>2114</v>
      </c>
      <c r="H403" s="5" t="s">
        <v>2285</v>
      </c>
      <c r="I403" s="5"/>
      <c r="J403" s="16" t="s">
        <v>1854</v>
      </c>
      <c r="K403" s="5" t="s">
        <v>3158</v>
      </c>
      <c r="L403" s="5" t="s">
        <v>3159</v>
      </c>
      <c r="M403" s="5"/>
      <c r="N403" s="5" t="s">
        <v>811</v>
      </c>
    </row>
    <row r="404" spans="1:14">
      <c r="A404" s="5" t="s">
        <v>279</v>
      </c>
      <c r="B404" s="5" t="s">
        <v>763</v>
      </c>
      <c r="C404" s="5" t="s">
        <v>1470</v>
      </c>
      <c r="D404" s="5" t="s">
        <v>1480</v>
      </c>
      <c r="E404" s="5" t="s">
        <v>3160</v>
      </c>
      <c r="F404" s="5" t="s">
        <v>3161</v>
      </c>
      <c r="G404" s="5" t="s">
        <v>2114</v>
      </c>
      <c r="H404" s="5" t="s">
        <v>2285</v>
      </c>
      <c r="I404" s="5"/>
      <c r="J404" s="16" t="s">
        <v>1854</v>
      </c>
      <c r="K404" s="5" t="s">
        <v>3162</v>
      </c>
      <c r="L404" s="5" t="s">
        <v>3163</v>
      </c>
      <c r="M404" s="5"/>
      <c r="N404" s="5" t="s">
        <v>1721</v>
      </c>
    </row>
    <row r="405" spans="1:14">
      <c r="A405" s="5" t="s">
        <v>279</v>
      </c>
      <c r="B405" s="5" t="s">
        <v>763</v>
      </c>
      <c r="C405" s="5" t="s">
        <v>1470</v>
      </c>
      <c r="D405" s="5" t="s">
        <v>1480</v>
      </c>
      <c r="E405" s="5" t="s">
        <v>3164</v>
      </c>
      <c r="F405" s="5" t="s">
        <v>1496</v>
      </c>
      <c r="G405" s="5" t="s">
        <v>2239</v>
      </c>
      <c r="H405" s="5" t="s">
        <v>2285</v>
      </c>
      <c r="I405" s="5"/>
      <c r="J405" s="17" t="s">
        <v>1858</v>
      </c>
      <c r="K405" s="5" t="s">
        <v>3165</v>
      </c>
      <c r="L405" s="5" t="s">
        <v>3166</v>
      </c>
      <c r="M405" s="5" t="s">
        <v>1495</v>
      </c>
      <c r="N405" s="5" t="s">
        <v>1721</v>
      </c>
    </row>
    <row r="406" spans="1:14">
      <c r="A406" s="5" t="s">
        <v>279</v>
      </c>
      <c r="B406" s="5" t="s">
        <v>763</v>
      </c>
      <c r="C406" s="5" t="s">
        <v>1470</v>
      </c>
      <c r="D406" s="5" t="s">
        <v>1480</v>
      </c>
      <c r="E406" s="5" t="s">
        <v>3167</v>
      </c>
      <c r="F406" s="5" t="s">
        <v>1471</v>
      </c>
      <c r="G406" s="5" t="s">
        <v>1922</v>
      </c>
      <c r="H406" s="5" t="s">
        <v>2285</v>
      </c>
      <c r="I406" s="5"/>
      <c r="J406" s="16" t="s">
        <v>1854</v>
      </c>
      <c r="K406" s="5" t="s">
        <v>3168</v>
      </c>
      <c r="L406" s="5" t="s">
        <v>3169</v>
      </c>
      <c r="M406" s="5" t="s">
        <v>1469</v>
      </c>
      <c r="N406" s="5" t="s">
        <v>1721</v>
      </c>
    </row>
    <row r="407" spans="1:14">
      <c r="A407" s="5" t="s">
        <v>279</v>
      </c>
      <c r="B407" s="5" t="s">
        <v>763</v>
      </c>
      <c r="C407" s="5" t="s">
        <v>1470</v>
      </c>
      <c r="D407" s="5" t="s">
        <v>1480</v>
      </c>
      <c r="E407" s="5" t="s">
        <v>3170</v>
      </c>
      <c r="F407" s="5" t="s">
        <v>3171</v>
      </c>
      <c r="G407" s="5" t="s">
        <v>2269</v>
      </c>
      <c r="H407" s="5" t="s">
        <v>2285</v>
      </c>
      <c r="I407" s="5"/>
      <c r="J407" s="16" t="s">
        <v>1854</v>
      </c>
      <c r="K407" s="5" t="s">
        <v>3172</v>
      </c>
      <c r="L407" s="5" t="s">
        <v>3173</v>
      </c>
      <c r="M407" s="5"/>
      <c r="N407" s="5" t="s">
        <v>811</v>
      </c>
    </row>
    <row r="408" spans="1:14">
      <c r="A408" s="5" t="s">
        <v>279</v>
      </c>
      <c r="B408" s="5" t="s">
        <v>763</v>
      </c>
      <c r="C408" s="5" t="s">
        <v>1470</v>
      </c>
      <c r="D408" s="5" t="s">
        <v>1480</v>
      </c>
      <c r="E408" s="5" t="s">
        <v>3174</v>
      </c>
      <c r="F408" s="5" t="s">
        <v>1820</v>
      </c>
      <c r="G408" s="5" t="s">
        <v>2160</v>
      </c>
      <c r="H408" s="5" t="s">
        <v>2146</v>
      </c>
      <c r="I408" s="5"/>
      <c r="J408" s="17" t="s">
        <v>1858</v>
      </c>
      <c r="K408" s="5" t="s">
        <v>3175</v>
      </c>
      <c r="L408" s="5" t="s">
        <v>3176</v>
      </c>
      <c r="M408" s="5" t="s">
        <v>1819</v>
      </c>
      <c r="N408" s="5" t="s">
        <v>1721</v>
      </c>
    </row>
    <row r="409" spans="1:14">
      <c r="A409" s="5" t="s">
        <v>279</v>
      </c>
      <c r="B409" s="5" t="s">
        <v>763</v>
      </c>
      <c r="C409" s="5" t="s">
        <v>1470</v>
      </c>
      <c r="D409" s="5" t="s">
        <v>1480</v>
      </c>
      <c r="E409" s="5" t="s">
        <v>3177</v>
      </c>
      <c r="F409" s="5" t="s">
        <v>1484</v>
      </c>
      <c r="G409" s="5" t="s">
        <v>2269</v>
      </c>
      <c r="H409" s="5" t="s">
        <v>2146</v>
      </c>
      <c r="I409" s="5"/>
      <c r="J409" s="17" t="s">
        <v>1858</v>
      </c>
      <c r="K409" s="5" t="s">
        <v>3178</v>
      </c>
      <c r="L409" s="5" t="s">
        <v>3179</v>
      </c>
      <c r="M409" s="5" t="s">
        <v>1483</v>
      </c>
      <c r="N409" s="5" t="s">
        <v>1721</v>
      </c>
    </row>
    <row r="410" spans="1:14">
      <c r="A410" s="5" t="s">
        <v>279</v>
      </c>
      <c r="B410" s="5" t="s">
        <v>763</v>
      </c>
      <c r="C410" s="5" t="s">
        <v>764</v>
      </c>
      <c r="D410" s="5" t="s">
        <v>772</v>
      </c>
      <c r="E410" s="5" t="s">
        <v>3180</v>
      </c>
      <c r="F410" s="5" t="s">
        <v>577</v>
      </c>
      <c r="G410" s="5" t="s">
        <v>2269</v>
      </c>
      <c r="H410" s="5" t="s">
        <v>1853</v>
      </c>
      <c r="I410" s="5"/>
      <c r="J410" s="17" t="s">
        <v>1858</v>
      </c>
      <c r="K410" s="5" t="s">
        <v>3181</v>
      </c>
      <c r="L410" s="5" t="s">
        <v>3141</v>
      </c>
      <c r="M410" s="5"/>
      <c r="N410" s="5" t="s">
        <v>811</v>
      </c>
    </row>
    <row r="411" spans="1:14">
      <c r="A411" s="5" t="s">
        <v>279</v>
      </c>
      <c r="B411" s="5" t="s">
        <v>763</v>
      </c>
      <c r="C411" s="5" t="s">
        <v>764</v>
      </c>
      <c r="D411" s="5" t="s">
        <v>772</v>
      </c>
      <c r="E411" s="5" t="s">
        <v>3182</v>
      </c>
      <c r="F411" s="5" t="s">
        <v>2111</v>
      </c>
      <c r="G411" s="5" t="s">
        <v>1922</v>
      </c>
      <c r="H411" s="5" t="s">
        <v>1853</v>
      </c>
      <c r="I411" s="5"/>
      <c r="J411" s="16" t="s">
        <v>1854</v>
      </c>
      <c r="K411" s="5" t="s">
        <v>3183</v>
      </c>
      <c r="L411" s="5"/>
      <c r="M411" s="5"/>
      <c r="N411" s="5" t="s">
        <v>811</v>
      </c>
    </row>
    <row r="412" spans="1:14">
      <c r="A412" s="5" t="s">
        <v>279</v>
      </c>
      <c r="B412" s="5" t="s">
        <v>763</v>
      </c>
      <c r="C412" s="5" t="s">
        <v>764</v>
      </c>
      <c r="D412" s="5" t="s">
        <v>772</v>
      </c>
      <c r="E412" s="5" t="s">
        <v>3184</v>
      </c>
      <c r="F412" s="5" t="s">
        <v>1515</v>
      </c>
      <c r="G412" s="5" t="s">
        <v>2114</v>
      </c>
      <c r="H412" s="5" t="s">
        <v>2285</v>
      </c>
      <c r="I412" s="5"/>
      <c r="J412" s="16" t="s">
        <v>1854</v>
      </c>
      <c r="K412" s="5" t="s">
        <v>3185</v>
      </c>
      <c r="L412" s="5" t="s">
        <v>3186</v>
      </c>
      <c r="M412" s="5" t="s">
        <v>1514</v>
      </c>
      <c r="N412" s="5" t="s">
        <v>1721</v>
      </c>
    </row>
    <row r="413" spans="1:14">
      <c r="A413" s="5" t="s">
        <v>279</v>
      </c>
      <c r="B413" s="5" t="s">
        <v>763</v>
      </c>
      <c r="C413" s="5" t="s">
        <v>764</v>
      </c>
      <c r="D413" s="5" t="s">
        <v>772</v>
      </c>
      <c r="E413" s="5" t="s">
        <v>3187</v>
      </c>
      <c r="F413" s="5" t="s">
        <v>1836</v>
      </c>
      <c r="G413" s="5" t="s">
        <v>2160</v>
      </c>
      <c r="H413" s="5" t="s">
        <v>2146</v>
      </c>
      <c r="I413" s="5"/>
      <c r="J413" s="17" t="s">
        <v>1858</v>
      </c>
      <c r="K413" s="5" t="s">
        <v>3188</v>
      </c>
      <c r="L413" s="5" t="s">
        <v>3189</v>
      </c>
      <c r="M413" s="5" t="s">
        <v>1835</v>
      </c>
      <c r="N413" s="5" t="s">
        <v>1721</v>
      </c>
    </row>
    <row r="414" spans="1:14">
      <c r="A414" s="5" t="s">
        <v>279</v>
      </c>
      <c r="B414" s="5" t="s">
        <v>763</v>
      </c>
      <c r="C414" s="5" t="s">
        <v>764</v>
      </c>
      <c r="D414" s="5" t="s">
        <v>772</v>
      </c>
      <c r="E414" s="5" t="s">
        <v>3190</v>
      </c>
      <c r="F414" s="5" t="s">
        <v>1506</v>
      </c>
      <c r="G414" s="5" t="s">
        <v>2269</v>
      </c>
      <c r="H414" s="5" t="s">
        <v>2146</v>
      </c>
      <c r="I414" s="5"/>
      <c r="J414" s="17" t="s">
        <v>1858</v>
      </c>
      <c r="K414" s="5" t="s">
        <v>3191</v>
      </c>
      <c r="L414" s="5" t="s">
        <v>3192</v>
      </c>
      <c r="M414" s="5" t="s">
        <v>3193</v>
      </c>
      <c r="N414" s="5" t="s">
        <v>1721</v>
      </c>
    </row>
    <row r="415" spans="1:14">
      <c r="A415" s="5" t="s">
        <v>279</v>
      </c>
      <c r="B415" s="5" t="s">
        <v>763</v>
      </c>
      <c r="C415" s="5" t="s">
        <v>764</v>
      </c>
      <c r="D415" s="5" t="s">
        <v>772</v>
      </c>
      <c r="E415" s="5" t="s">
        <v>3194</v>
      </c>
      <c r="F415" s="5" t="s">
        <v>3195</v>
      </c>
      <c r="G415" s="5" t="s">
        <v>2269</v>
      </c>
      <c r="H415" s="5" t="s">
        <v>2146</v>
      </c>
      <c r="I415" s="5"/>
      <c r="J415" s="16" t="s">
        <v>1854</v>
      </c>
      <c r="K415" s="5" t="s">
        <v>3196</v>
      </c>
      <c r="L415" s="5"/>
      <c r="M415" s="5"/>
      <c r="N415" s="5" t="s">
        <v>811</v>
      </c>
    </row>
    <row r="416" spans="1:14">
      <c r="A416" s="5" t="s">
        <v>279</v>
      </c>
      <c r="B416" s="5" t="s">
        <v>763</v>
      </c>
      <c r="C416" s="5" t="s">
        <v>1526</v>
      </c>
      <c r="D416" s="5" t="s">
        <v>1536</v>
      </c>
      <c r="E416" s="5" t="s">
        <v>3197</v>
      </c>
      <c r="F416" s="5" t="s">
        <v>577</v>
      </c>
      <c r="G416" s="5" t="s">
        <v>2269</v>
      </c>
      <c r="H416" s="5" t="s">
        <v>1853</v>
      </c>
      <c r="I416" s="5"/>
      <c r="J416" s="16" t="s">
        <v>1854</v>
      </c>
      <c r="K416" s="5" t="s">
        <v>3198</v>
      </c>
      <c r="L416" s="5"/>
      <c r="M416" s="5"/>
      <c r="N416" s="5" t="s">
        <v>811</v>
      </c>
    </row>
    <row r="417" spans="1:14">
      <c r="A417" s="5" t="s">
        <v>279</v>
      </c>
      <c r="B417" s="5" t="s">
        <v>763</v>
      </c>
      <c r="C417" s="5" t="s">
        <v>1526</v>
      </c>
      <c r="D417" s="5" t="s">
        <v>1536</v>
      </c>
      <c r="E417" s="5" t="s">
        <v>3199</v>
      </c>
      <c r="F417" s="5" t="s">
        <v>2111</v>
      </c>
      <c r="G417" s="5" t="s">
        <v>1922</v>
      </c>
      <c r="H417" s="5" t="s">
        <v>1853</v>
      </c>
      <c r="I417" s="5"/>
      <c r="J417" s="16" t="s">
        <v>1854</v>
      </c>
      <c r="K417" s="5" t="s">
        <v>3200</v>
      </c>
      <c r="L417" s="5"/>
      <c r="M417" s="5"/>
      <c r="N417" s="5" t="s">
        <v>811</v>
      </c>
    </row>
    <row r="418" spans="1:14">
      <c r="A418" s="5" t="s">
        <v>279</v>
      </c>
      <c r="B418" s="5" t="s">
        <v>763</v>
      </c>
      <c r="C418" s="5" t="s">
        <v>1526</v>
      </c>
      <c r="D418" s="5" t="s">
        <v>1536</v>
      </c>
      <c r="E418" s="5" t="s">
        <v>3201</v>
      </c>
      <c r="F418" s="5" t="s">
        <v>3202</v>
      </c>
      <c r="G418" s="5" t="s">
        <v>2114</v>
      </c>
      <c r="H418" s="5" t="s">
        <v>2285</v>
      </c>
      <c r="I418" s="5"/>
      <c r="J418" s="17" t="s">
        <v>1858</v>
      </c>
      <c r="K418" s="5" t="s">
        <v>3203</v>
      </c>
      <c r="L418" s="5" t="s">
        <v>2287</v>
      </c>
      <c r="M418" s="5"/>
      <c r="N418" s="5" t="s">
        <v>811</v>
      </c>
    </row>
    <row r="419" spans="1:14">
      <c r="A419" s="5" t="s">
        <v>279</v>
      </c>
      <c r="B419" s="5" t="s">
        <v>763</v>
      </c>
      <c r="C419" s="5" t="s">
        <v>1526</v>
      </c>
      <c r="D419" s="5" t="s">
        <v>1536</v>
      </c>
      <c r="E419" s="5" t="s">
        <v>3204</v>
      </c>
      <c r="F419" s="5" t="s">
        <v>1527</v>
      </c>
      <c r="G419" s="5" t="s">
        <v>2160</v>
      </c>
      <c r="H419" s="5" t="s">
        <v>2146</v>
      </c>
      <c r="I419" s="5"/>
      <c r="J419" s="16" t="s">
        <v>1854</v>
      </c>
      <c r="K419" s="5" t="s">
        <v>3205</v>
      </c>
      <c r="L419" s="5" t="s">
        <v>3206</v>
      </c>
      <c r="M419" s="5" t="s">
        <v>1525</v>
      </c>
      <c r="N419" s="5" t="s">
        <v>811</v>
      </c>
    </row>
    <row r="420" spans="1:14">
      <c r="A420" s="5" t="s">
        <v>279</v>
      </c>
      <c r="B420" s="5" t="s">
        <v>763</v>
      </c>
      <c r="C420" s="5" t="s">
        <v>1526</v>
      </c>
      <c r="D420" s="5" t="s">
        <v>1536</v>
      </c>
      <c r="E420" s="5" t="s">
        <v>3207</v>
      </c>
      <c r="F420" s="5" t="s">
        <v>3208</v>
      </c>
      <c r="G420" s="5" t="s">
        <v>1922</v>
      </c>
      <c r="H420" s="5" t="s">
        <v>2146</v>
      </c>
      <c r="I420" s="5"/>
      <c r="J420" s="19" t="s">
        <v>2411</v>
      </c>
      <c r="K420" s="5"/>
      <c r="L420" s="5" t="s">
        <v>3209</v>
      </c>
      <c r="M420" s="5"/>
      <c r="N420" s="5" t="s">
        <v>811</v>
      </c>
    </row>
    <row r="421" spans="1:14">
      <c r="A421" s="5" t="s">
        <v>279</v>
      </c>
      <c r="B421" s="5" t="s">
        <v>763</v>
      </c>
      <c r="C421" s="5" t="s">
        <v>1526</v>
      </c>
      <c r="D421" s="5" t="s">
        <v>1536</v>
      </c>
      <c r="E421" s="5" t="s">
        <v>3210</v>
      </c>
      <c r="F421" s="5" t="s">
        <v>1539</v>
      </c>
      <c r="G421" s="5" t="s">
        <v>2269</v>
      </c>
      <c r="H421" s="5" t="s">
        <v>2146</v>
      </c>
      <c r="I421" s="5"/>
      <c r="J421" s="16" t="s">
        <v>1854</v>
      </c>
      <c r="K421" s="5" t="s">
        <v>3211</v>
      </c>
      <c r="L421" s="5" t="s">
        <v>3212</v>
      </c>
      <c r="M421" s="5" t="s">
        <v>1538</v>
      </c>
      <c r="N421" s="5" t="s">
        <v>811</v>
      </c>
    </row>
    <row r="422" spans="1:14">
      <c r="A422" s="5" t="s">
        <v>279</v>
      </c>
      <c r="B422" s="5" t="s">
        <v>763</v>
      </c>
      <c r="C422" s="5" t="s">
        <v>1548</v>
      </c>
      <c r="D422" s="5" t="s">
        <v>1557</v>
      </c>
      <c r="E422" s="5" t="s">
        <v>3213</v>
      </c>
      <c r="F422" s="5" t="s">
        <v>577</v>
      </c>
      <c r="G422" s="5" t="s">
        <v>2269</v>
      </c>
      <c r="H422" s="5" t="s">
        <v>1853</v>
      </c>
      <c r="I422" s="5"/>
      <c r="J422" s="16" t="s">
        <v>1854</v>
      </c>
      <c r="K422" s="5" t="s">
        <v>3214</v>
      </c>
      <c r="L422" s="5"/>
      <c r="M422" s="5"/>
      <c r="N422" s="5" t="s">
        <v>811</v>
      </c>
    </row>
    <row r="423" spans="1:14">
      <c r="A423" s="5" t="s">
        <v>279</v>
      </c>
      <c r="B423" s="5" t="s">
        <v>763</v>
      </c>
      <c r="C423" s="5" t="s">
        <v>1548</v>
      </c>
      <c r="D423" s="5" t="s">
        <v>1557</v>
      </c>
      <c r="E423" s="5" t="s">
        <v>3215</v>
      </c>
      <c r="F423" s="5" t="s">
        <v>2111</v>
      </c>
      <c r="G423" s="5" t="s">
        <v>1922</v>
      </c>
      <c r="H423" s="5" t="s">
        <v>1853</v>
      </c>
      <c r="I423" s="5"/>
      <c r="J423" s="16" t="s">
        <v>1854</v>
      </c>
      <c r="K423" s="5" t="s">
        <v>3216</v>
      </c>
      <c r="L423" s="5"/>
      <c r="M423" s="5"/>
      <c r="N423" s="5" t="s">
        <v>811</v>
      </c>
    </row>
    <row r="424" spans="1:14">
      <c r="A424" s="5" t="s">
        <v>279</v>
      </c>
      <c r="B424" s="5" t="s">
        <v>763</v>
      </c>
      <c r="C424" s="5" t="s">
        <v>1548</v>
      </c>
      <c r="D424" s="5" t="s">
        <v>1557</v>
      </c>
      <c r="E424" s="5" t="s">
        <v>3217</v>
      </c>
      <c r="F424" s="5" t="s">
        <v>1549</v>
      </c>
      <c r="G424" s="5" t="s">
        <v>2114</v>
      </c>
      <c r="H424" s="5" t="s">
        <v>2285</v>
      </c>
      <c r="I424" s="5"/>
      <c r="J424" s="16" t="s">
        <v>1854</v>
      </c>
      <c r="K424" s="5" t="s">
        <v>3218</v>
      </c>
      <c r="L424" s="5" t="s">
        <v>3219</v>
      </c>
      <c r="M424" s="5" t="s">
        <v>1547</v>
      </c>
      <c r="N424" s="5" t="s">
        <v>811</v>
      </c>
    </row>
    <row r="425" spans="1:14">
      <c r="A425" s="5" t="s">
        <v>279</v>
      </c>
      <c r="B425" s="5" t="s">
        <v>763</v>
      </c>
      <c r="C425" s="5" t="s">
        <v>1548</v>
      </c>
      <c r="D425" s="5" t="s">
        <v>1557</v>
      </c>
      <c r="E425" s="5" t="s">
        <v>3220</v>
      </c>
      <c r="F425" s="5" t="s">
        <v>3221</v>
      </c>
      <c r="G425" s="5" t="s">
        <v>2160</v>
      </c>
      <c r="H425" s="5" t="s">
        <v>2146</v>
      </c>
      <c r="I425" s="5"/>
      <c r="J425" s="17" t="s">
        <v>1858</v>
      </c>
      <c r="K425" s="5" t="s">
        <v>3222</v>
      </c>
      <c r="L425" s="5" t="s">
        <v>3223</v>
      </c>
      <c r="M425" s="5"/>
      <c r="N425" s="5" t="s">
        <v>811</v>
      </c>
    </row>
    <row r="426" spans="1:14">
      <c r="A426" s="5" t="s">
        <v>279</v>
      </c>
      <c r="B426" s="5" t="s">
        <v>763</v>
      </c>
      <c r="C426" s="5" t="s">
        <v>1548</v>
      </c>
      <c r="D426" s="5" t="s">
        <v>1557</v>
      </c>
      <c r="E426" s="5" t="s">
        <v>3224</v>
      </c>
      <c r="F426" s="5" t="s">
        <v>3208</v>
      </c>
      <c r="G426" s="5" t="s">
        <v>1922</v>
      </c>
      <c r="H426" s="5" t="s">
        <v>2146</v>
      </c>
      <c r="I426" s="5"/>
      <c r="J426" s="19" t="s">
        <v>2411</v>
      </c>
      <c r="K426" s="5" t="s">
        <v>3225</v>
      </c>
      <c r="L426" s="5" t="s">
        <v>3226</v>
      </c>
      <c r="M426" s="5"/>
      <c r="N426" s="5" t="s">
        <v>811</v>
      </c>
    </row>
    <row r="427" spans="1:14">
      <c r="A427" s="5" t="s">
        <v>279</v>
      </c>
      <c r="B427" s="5" t="s">
        <v>763</v>
      </c>
      <c r="C427" s="5" t="s">
        <v>776</v>
      </c>
      <c r="D427" s="5" t="s">
        <v>784</v>
      </c>
      <c r="E427" s="5" t="s">
        <v>3227</v>
      </c>
      <c r="F427" s="5" t="s">
        <v>577</v>
      </c>
      <c r="G427" s="5" t="s">
        <v>2269</v>
      </c>
      <c r="H427" s="5" t="s">
        <v>1853</v>
      </c>
      <c r="I427" s="5"/>
      <c r="J427" s="17" t="s">
        <v>1858</v>
      </c>
      <c r="K427" s="5" t="s">
        <v>3228</v>
      </c>
      <c r="L427" s="5" t="s">
        <v>3141</v>
      </c>
      <c r="M427" s="5"/>
      <c r="N427" s="5" t="s">
        <v>811</v>
      </c>
    </row>
    <row r="428" spans="1:14">
      <c r="A428" s="5" t="s">
        <v>279</v>
      </c>
      <c r="B428" s="5" t="s">
        <v>763</v>
      </c>
      <c r="C428" s="5" t="s">
        <v>776</v>
      </c>
      <c r="D428" s="5" t="s">
        <v>784</v>
      </c>
      <c r="E428" s="5" t="s">
        <v>3229</v>
      </c>
      <c r="F428" s="5" t="s">
        <v>2111</v>
      </c>
      <c r="G428" s="5" t="s">
        <v>1922</v>
      </c>
      <c r="H428" s="5" t="s">
        <v>1853</v>
      </c>
      <c r="I428" s="5"/>
      <c r="J428" s="16" t="s">
        <v>1854</v>
      </c>
      <c r="K428" s="5" t="s">
        <v>3230</v>
      </c>
      <c r="L428" s="5"/>
      <c r="M428" s="5"/>
      <c r="N428" s="5" t="s">
        <v>811</v>
      </c>
    </row>
    <row r="429" spans="1:14">
      <c r="A429" s="5" t="s">
        <v>279</v>
      </c>
      <c r="B429" s="5" t="s">
        <v>763</v>
      </c>
      <c r="C429" s="5" t="s">
        <v>776</v>
      </c>
      <c r="D429" s="5" t="s">
        <v>784</v>
      </c>
      <c r="E429" s="5" t="s">
        <v>3231</v>
      </c>
      <c r="F429" s="5" t="s">
        <v>3232</v>
      </c>
      <c r="G429" s="5" t="s">
        <v>2114</v>
      </c>
      <c r="H429" s="5" t="s">
        <v>2285</v>
      </c>
      <c r="I429" s="5"/>
      <c r="J429" s="16" t="s">
        <v>1854</v>
      </c>
      <c r="K429" s="5" t="s">
        <v>3233</v>
      </c>
      <c r="L429" s="5" t="s">
        <v>3234</v>
      </c>
      <c r="M429" s="5"/>
      <c r="N429" s="5" t="s">
        <v>811</v>
      </c>
    </row>
    <row r="430" spans="1:14">
      <c r="A430" s="5" t="s">
        <v>279</v>
      </c>
      <c r="B430" s="5" t="s">
        <v>763</v>
      </c>
      <c r="C430" s="5" t="s">
        <v>776</v>
      </c>
      <c r="D430" s="5" t="s">
        <v>784</v>
      </c>
      <c r="E430" s="5" t="s">
        <v>3235</v>
      </c>
      <c r="F430" s="5" t="s">
        <v>1561</v>
      </c>
      <c r="G430" s="5" t="s">
        <v>2160</v>
      </c>
      <c r="H430" s="5" t="s">
        <v>2146</v>
      </c>
      <c r="I430" s="5"/>
      <c r="J430" s="17" t="s">
        <v>1858</v>
      </c>
      <c r="K430" s="5" t="s">
        <v>3236</v>
      </c>
      <c r="L430" s="5" t="s">
        <v>3237</v>
      </c>
      <c r="M430" s="5" t="s">
        <v>1560</v>
      </c>
      <c r="N430" s="5" t="s">
        <v>811</v>
      </c>
    </row>
    <row r="431" spans="1:14">
      <c r="A431" s="5" t="s">
        <v>32</v>
      </c>
      <c r="B431" s="5" t="s">
        <v>33</v>
      </c>
      <c r="C431" s="5" t="s">
        <v>34</v>
      </c>
      <c r="D431" s="5" t="s">
        <v>48</v>
      </c>
      <c r="E431" s="5" t="s">
        <v>3238</v>
      </c>
      <c r="F431" s="5" t="s">
        <v>3239</v>
      </c>
      <c r="G431" s="5" t="s">
        <v>2239</v>
      </c>
      <c r="H431" s="5" t="s">
        <v>2228</v>
      </c>
      <c r="I431" s="5"/>
      <c r="J431" s="16" t="s">
        <v>1854</v>
      </c>
      <c r="K431" s="5" t="s">
        <v>3240</v>
      </c>
      <c r="L431" s="5"/>
      <c r="M431" s="5"/>
      <c r="N431" s="5" t="s">
        <v>811</v>
      </c>
    </row>
    <row r="432" spans="1:14">
      <c r="A432" s="5" t="s">
        <v>32</v>
      </c>
      <c r="B432" s="5" t="s">
        <v>33</v>
      </c>
      <c r="C432" s="5" t="s">
        <v>34</v>
      </c>
      <c r="D432" s="5" t="s">
        <v>48</v>
      </c>
      <c r="E432" s="5" t="s">
        <v>3241</v>
      </c>
      <c r="F432" s="5" t="s">
        <v>1571</v>
      </c>
      <c r="G432" s="5" t="s">
        <v>2239</v>
      </c>
      <c r="H432" s="5" t="s">
        <v>2228</v>
      </c>
      <c r="I432" s="5"/>
      <c r="J432" s="17" t="s">
        <v>1858</v>
      </c>
      <c r="K432" s="5" t="s">
        <v>3242</v>
      </c>
      <c r="L432" s="5" t="s">
        <v>3243</v>
      </c>
      <c r="M432" s="5" t="s">
        <v>3244</v>
      </c>
      <c r="N432" s="5" t="s">
        <v>1721</v>
      </c>
    </row>
    <row r="433" spans="1:14">
      <c r="A433" s="5" t="s">
        <v>279</v>
      </c>
      <c r="B433" s="5" t="s">
        <v>763</v>
      </c>
      <c r="C433" s="5" t="s">
        <v>788</v>
      </c>
      <c r="D433" s="5" t="s">
        <v>797</v>
      </c>
      <c r="E433" s="5" t="s">
        <v>3245</v>
      </c>
      <c r="F433" s="5" t="s">
        <v>577</v>
      </c>
      <c r="G433" s="5" t="s">
        <v>2269</v>
      </c>
      <c r="H433" s="5" t="s">
        <v>1853</v>
      </c>
      <c r="I433" s="5"/>
      <c r="J433" s="16" t="s">
        <v>1854</v>
      </c>
      <c r="K433" s="5" t="s">
        <v>3246</v>
      </c>
      <c r="L433" s="5"/>
      <c r="M433" s="5"/>
      <c r="N433" s="5" t="s">
        <v>811</v>
      </c>
    </row>
    <row r="434" spans="1:14">
      <c r="A434" s="5" t="s">
        <v>279</v>
      </c>
      <c r="B434" s="5" t="s">
        <v>763</v>
      </c>
      <c r="C434" s="5" t="s">
        <v>788</v>
      </c>
      <c r="D434" s="5" t="s">
        <v>797</v>
      </c>
      <c r="E434" s="5" t="s">
        <v>3247</v>
      </c>
      <c r="F434" s="5" t="s">
        <v>2111</v>
      </c>
      <c r="G434" s="5" t="s">
        <v>1922</v>
      </c>
      <c r="H434" s="5" t="s">
        <v>1853</v>
      </c>
      <c r="I434" s="5"/>
      <c r="J434" s="16" t="s">
        <v>1854</v>
      </c>
      <c r="K434" s="5" t="s">
        <v>3248</v>
      </c>
      <c r="L434" s="5"/>
      <c r="M434" s="5"/>
      <c r="N434" s="5" t="s">
        <v>811</v>
      </c>
    </row>
    <row r="435" spans="1:14">
      <c r="A435" s="5" t="s">
        <v>279</v>
      </c>
      <c r="B435" s="5" t="s">
        <v>763</v>
      </c>
      <c r="C435" s="5" t="s">
        <v>788</v>
      </c>
      <c r="D435" s="5" t="s">
        <v>797</v>
      </c>
      <c r="E435" s="5" t="s">
        <v>3249</v>
      </c>
      <c r="F435" s="5" t="s">
        <v>3250</v>
      </c>
      <c r="G435" s="5" t="s">
        <v>2816</v>
      </c>
      <c r="H435" s="5" t="s">
        <v>2285</v>
      </c>
      <c r="I435" s="5"/>
      <c r="J435" s="17" t="s">
        <v>1858</v>
      </c>
      <c r="K435" s="5" t="s">
        <v>3251</v>
      </c>
      <c r="L435" s="5" t="s">
        <v>3252</v>
      </c>
      <c r="M435" s="5"/>
      <c r="N435" s="5" t="s">
        <v>811</v>
      </c>
    </row>
    <row r="436" spans="1:14">
      <c r="A436" s="5" t="s">
        <v>279</v>
      </c>
      <c r="B436" s="5" t="s">
        <v>763</v>
      </c>
      <c r="C436" s="5" t="s">
        <v>788</v>
      </c>
      <c r="D436" s="5" t="s">
        <v>797</v>
      </c>
      <c r="E436" s="5" t="s">
        <v>3253</v>
      </c>
      <c r="F436" s="5" t="s">
        <v>3254</v>
      </c>
      <c r="G436" s="5" t="s">
        <v>2160</v>
      </c>
      <c r="H436" s="5" t="s">
        <v>2146</v>
      </c>
      <c r="I436" s="5"/>
      <c r="J436" s="16" t="s">
        <v>1854</v>
      </c>
      <c r="K436" s="5" t="s">
        <v>3255</v>
      </c>
      <c r="L436" s="5"/>
      <c r="M436" s="5"/>
      <c r="N436" s="5" t="s">
        <v>811</v>
      </c>
    </row>
    <row r="437" spans="1:14">
      <c r="A437" s="5" t="s">
        <v>1743</v>
      </c>
      <c r="B437" s="5" t="s">
        <v>1744</v>
      </c>
      <c r="C437" s="5" t="s">
        <v>1745</v>
      </c>
      <c r="D437" s="5" t="s">
        <v>1755</v>
      </c>
      <c r="E437" s="5" t="s">
        <v>3256</v>
      </c>
      <c r="F437" s="5" t="s">
        <v>3257</v>
      </c>
      <c r="G437" s="5" t="s">
        <v>1862</v>
      </c>
      <c r="H437" s="5" t="s">
        <v>143</v>
      </c>
      <c r="I437" s="5"/>
      <c r="J437" s="16" t="s">
        <v>1854</v>
      </c>
      <c r="K437" s="5" t="s">
        <v>3258</v>
      </c>
      <c r="L437" s="5"/>
      <c r="M437" s="5"/>
      <c r="N437" s="5" t="s">
        <v>1721</v>
      </c>
    </row>
    <row r="438" spans="1:14">
      <c r="A438" s="5" t="s">
        <v>1743</v>
      </c>
      <c r="B438" s="5" t="s">
        <v>1744</v>
      </c>
      <c r="C438" s="5" t="s">
        <v>1745</v>
      </c>
      <c r="D438" s="5" t="s">
        <v>1755</v>
      </c>
      <c r="E438" s="5" t="s">
        <v>3259</v>
      </c>
      <c r="F438" s="5" t="s">
        <v>1746</v>
      </c>
      <c r="G438" s="5" t="s">
        <v>1922</v>
      </c>
      <c r="H438" s="5" t="s">
        <v>3260</v>
      </c>
      <c r="I438" s="5"/>
      <c r="J438" s="17" t="s">
        <v>1858</v>
      </c>
      <c r="K438" s="5" t="s">
        <v>3261</v>
      </c>
      <c r="L438" s="5"/>
      <c r="M438" s="5" t="s">
        <v>1742</v>
      </c>
      <c r="N438" s="5" t="s">
        <v>1721</v>
      </c>
    </row>
    <row r="439" spans="1:14">
      <c r="A439" s="5" t="s">
        <v>1743</v>
      </c>
      <c r="B439" s="5" t="s">
        <v>1744</v>
      </c>
      <c r="C439" s="5" t="s">
        <v>1745</v>
      </c>
      <c r="D439" s="5" t="s">
        <v>1755</v>
      </c>
      <c r="E439" s="5" t="s">
        <v>3262</v>
      </c>
      <c r="F439" s="5" t="s">
        <v>3263</v>
      </c>
      <c r="G439" s="5" t="s">
        <v>1922</v>
      </c>
      <c r="H439" s="5" t="s">
        <v>3260</v>
      </c>
      <c r="I439" s="5"/>
      <c r="J439" s="16" t="s">
        <v>1854</v>
      </c>
      <c r="K439" s="5" t="s">
        <v>3264</v>
      </c>
      <c r="L439" s="5"/>
      <c r="M439" s="5"/>
      <c r="N439" s="5" t="s">
        <v>1721</v>
      </c>
    </row>
  </sheetData>
  <autoFilter ref="A1:N439"/>
  <pageMargins left="0.7" right="0.7" top="0.75" bottom="0.75" header="0.3" footer="0.3"/>
  <pageSetup paperSize="9" fitToHeight="0" orientation="landscape"/>
</worksheet>
</file>

<file path=xl/worksheets/sheet4.xml><?xml version="1.0" encoding="utf-8"?>
<worksheet xmlns="http://schemas.openxmlformats.org/spreadsheetml/2006/main" xmlns:r="http://schemas.openxmlformats.org/officeDocument/2006/relationships">
  <sheetPr>
    <pageSetUpPr fitToPage="1"/>
  </sheetPr>
  <dimension ref="A1:N42"/>
  <sheetViews>
    <sheetView workbookViewId="0">
      <pane ySplit="1" topLeftCell="A2" activePane="bottomLeft" state="frozen"/>
      <selection pane="bottomLeft"/>
    </sheetView>
  </sheetViews>
  <sheetFormatPr defaultRowHeight="15"/>
  <cols>
    <col min="1" max="1" width="10.7109375" customWidth="1"/>
    <col min="2" max="3" width="16.7109375" customWidth="1"/>
    <col min="4" max="4" width="24.7109375" customWidth="1"/>
    <col min="5" max="5" width="30.7109375" customWidth="1"/>
    <col min="6" max="6" width="12.7109375" customWidth="1"/>
    <col min="7" max="7" width="9.7109375" customWidth="1"/>
    <col min="8" max="9" width="7.7109375" customWidth="1"/>
    <col min="10" max="10" width="8.7109375" customWidth="1"/>
    <col min="11" max="11" width="6.7109375" customWidth="1"/>
    <col min="12" max="12" width="10.7109375" customWidth="1"/>
    <col min="13" max="13" width="7.7109375" customWidth="1"/>
    <col min="14" max="14" width="45.7109375" customWidth="1"/>
  </cols>
  <sheetData>
    <row r="1" spans="1:14">
      <c r="A1" s="12" t="s">
        <v>21</v>
      </c>
      <c r="B1" s="12" t="s">
        <v>3</v>
      </c>
      <c r="C1" s="12" t="s">
        <v>4</v>
      </c>
      <c r="D1" s="12" t="s">
        <v>5</v>
      </c>
      <c r="E1" s="12" t="s">
        <v>13</v>
      </c>
      <c r="F1" s="12" t="s">
        <v>3265</v>
      </c>
      <c r="G1" s="12" t="s">
        <v>3266</v>
      </c>
      <c r="H1" s="12" t="s">
        <v>1854</v>
      </c>
      <c r="I1" s="12" t="s">
        <v>1858</v>
      </c>
      <c r="J1" s="12" t="s">
        <v>2411</v>
      </c>
      <c r="K1" s="12" t="s">
        <v>3267</v>
      </c>
      <c r="L1" s="12" t="s">
        <v>605</v>
      </c>
      <c r="M1" s="12" t="s">
        <v>3268</v>
      </c>
      <c r="N1" s="12" t="s">
        <v>1849</v>
      </c>
    </row>
    <row r="2" spans="1:14">
      <c r="A2" s="5" t="s">
        <v>48</v>
      </c>
      <c r="B2" s="5" t="s">
        <v>32</v>
      </c>
      <c r="C2" s="5" t="s">
        <v>33</v>
      </c>
      <c r="D2" s="5" t="s">
        <v>34</v>
      </c>
      <c r="E2" s="5" t="s">
        <v>42</v>
      </c>
      <c r="F2" s="18" t="s">
        <v>3269</v>
      </c>
      <c r="G2" s="6">
        <f>COUNTIF(Coverage!$D:$D,$A2)</f>
        <v>49</v>
      </c>
      <c r="H2" s="6">
        <f>COUNTIFS(Coverage!$D:$D,$A2,Coverage!$J:$J,"Pass")</f>
        <v>43</v>
      </c>
      <c r="I2" s="6">
        <f>COUNTIFS(Coverage!$D:$D,$A2,Coverage!$J:$J,"Fail")</f>
        <v>2</v>
      </c>
      <c r="J2" s="6">
        <f>COUNTIFS(Coverage!$D:$D,$A2,Coverage!$J:$J,"Blocked")</f>
        <v>0</v>
      </c>
      <c r="K2" s="6">
        <f>COUNTIFS(Coverage!$D:$D,$A2,Coverage!$J:$J,"N/A")</f>
        <v>0</v>
      </c>
      <c r="L2" s="6">
        <f>COUNTIFS(Coverage!$D:$D,$A2,Coverage!$J:$J,"Not tested")</f>
        <v>4</v>
      </c>
      <c r="M2" s="6">
        <f>COUNTIF(Bugs!$V:$V,$A2)</f>
        <v>26</v>
      </c>
      <c r="N2" s="5" t="s">
        <v>3270</v>
      </c>
    </row>
    <row r="3" spans="1:14">
      <c r="A3" s="5" t="s">
        <v>276</v>
      </c>
      <c r="B3" s="5" t="s">
        <v>32</v>
      </c>
      <c r="C3" s="5" t="s">
        <v>33</v>
      </c>
      <c r="D3" s="5" t="s">
        <v>268</v>
      </c>
      <c r="E3" s="5" t="s">
        <v>3271</v>
      </c>
      <c r="F3" s="18" t="s">
        <v>3269</v>
      </c>
      <c r="G3" s="6">
        <f>COUNTIF(Coverage!$D:$D,$A3)</f>
        <v>13</v>
      </c>
      <c r="H3" s="6">
        <f>COUNTIFS(Coverage!$D:$D,$A3,Coverage!$J:$J,"Pass")</f>
        <v>11</v>
      </c>
      <c r="I3" s="6">
        <f>COUNTIFS(Coverage!$D:$D,$A3,Coverage!$J:$J,"Fail")</f>
        <v>0</v>
      </c>
      <c r="J3" s="6">
        <f>COUNTIFS(Coverage!$D:$D,$A3,Coverage!$J:$J,"Blocked")</f>
        <v>0</v>
      </c>
      <c r="K3" s="6">
        <f>COUNTIFS(Coverage!$D:$D,$A3,Coverage!$J:$J,"N/A")</f>
        <v>0</v>
      </c>
      <c r="L3" s="6">
        <f>COUNTIFS(Coverage!$D:$D,$A3,Coverage!$J:$J,"Not tested")</f>
        <v>2</v>
      </c>
      <c r="M3" s="6">
        <f>COUNTIF(Bugs!$V:$V,$A3)</f>
        <v>1</v>
      </c>
      <c r="N3" s="5" t="s">
        <v>3272</v>
      </c>
    </row>
    <row r="4" spans="1:14">
      <c r="A4" s="5" t="s">
        <v>126</v>
      </c>
      <c r="B4" s="5" t="s">
        <v>32</v>
      </c>
      <c r="C4" s="5" t="s">
        <v>114</v>
      </c>
      <c r="D4" s="5" t="s">
        <v>115</v>
      </c>
      <c r="E4" s="5" t="s">
        <v>207</v>
      </c>
      <c r="F4" s="18" t="s">
        <v>3269</v>
      </c>
      <c r="G4" s="6">
        <f>COUNTIF(Coverage!$D:$D,$A4)</f>
        <v>9</v>
      </c>
      <c r="H4" s="6">
        <f>COUNTIFS(Coverage!$D:$D,$A4,Coverage!$J:$J,"Pass")</f>
        <v>5</v>
      </c>
      <c r="I4" s="6">
        <f>COUNTIFS(Coverage!$D:$D,$A4,Coverage!$J:$J,"Fail")</f>
        <v>1</v>
      </c>
      <c r="J4" s="6">
        <f>COUNTIFS(Coverage!$D:$D,$A4,Coverage!$J:$J,"Blocked")</f>
        <v>0</v>
      </c>
      <c r="K4" s="6">
        <f>COUNTIFS(Coverage!$D:$D,$A4,Coverage!$J:$J,"N/A")</f>
        <v>0</v>
      </c>
      <c r="L4" s="6">
        <f>COUNTIFS(Coverage!$D:$D,$A4,Coverage!$J:$J,"Not tested")</f>
        <v>3</v>
      </c>
      <c r="M4" s="6">
        <f>COUNTIF(Bugs!$V:$V,$A4)</f>
        <v>5</v>
      </c>
      <c r="N4" s="5" t="s">
        <v>3273</v>
      </c>
    </row>
    <row r="5" spans="1:14">
      <c r="A5" s="5" t="s">
        <v>234</v>
      </c>
      <c r="B5" s="5" t="s">
        <v>224</v>
      </c>
      <c r="C5" s="5" t="s">
        <v>32</v>
      </c>
      <c r="D5" s="5" t="s">
        <v>225</v>
      </c>
      <c r="E5" s="5" t="s">
        <v>232</v>
      </c>
      <c r="F5" s="16" t="s">
        <v>3274</v>
      </c>
      <c r="G5" s="6">
        <f>COUNTIF(Coverage!$D:$D,$A5)</f>
        <v>9</v>
      </c>
      <c r="H5" s="6">
        <f>COUNTIFS(Coverage!$D:$D,$A5,Coverage!$J:$J,"Pass")</f>
        <v>8</v>
      </c>
      <c r="I5" s="6">
        <f>COUNTIFS(Coverage!$D:$D,$A5,Coverage!$J:$J,"Fail")</f>
        <v>1</v>
      </c>
      <c r="J5" s="6">
        <f>COUNTIFS(Coverage!$D:$D,$A5,Coverage!$J:$J,"Blocked")</f>
        <v>0</v>
      </c>
      <c r="K5" s="6">
        <f>COUNTIFS(Coverage!$D:$D,$A5,Coverage!$J:$J,"N/A")</f>
        <v>0</v>
      </c>
      <c r="L5" s="6">
        <f>COUNTIFS(Coverage!$D:$D,$A5,Coverage!$J:$J,"Not tested")</f>
        <v>0</v>
      </c>
      <c r="M5" s="6">
        <f>COUNTIF(Bugs!$V:$V,$A5)</f>
        <v>4</v>
      </c>
      <c r="N5" s="5" t="s">
        <v>3275</v>
      </c>
    </row>
    <row r="6" spans="1:14">
      <c r="A6" s="5" t="s">
        <v>2457</v>
      </c>
      <c r="B6" s="5" t="s">
        <v>279</v>
      </c>
      <c r="C6" s="5" t="s">
        <v>2455</v>
      </c>
      <c r="D6" s="5" t="s">
        <v>2456</v>
      </c>
      <c r="E6" s="5" t="s">
        <v>3276</v>
      </c>
      <c r="F6" s="16" t="s">
        <v>3274</v>
      </c>
      <c r="G6" s="6">
        <f>COUNTIF(Coverage!$D:$D,$A6)</f>
        <v>5</v>
      </c>
      <c r="H6" s="6">
        <f>COUNTIFS(Coverage!$D:$D,$A6,Coverage!$J:$J,"Pass")</f>
        <v>5</v>
      </c>
      <c r="I6" s="6">
        <f>COUNTIFS(Coverage!$D:$D,$A6,Coverage!$J:$J,"Fail")</f>
        <v>0</v>
      </c>
      <c r="J6" s="6">
        <f>COUNTIFS(Coverage!$D:$D,$A6,Coverage!$J:$J,"Blocked")</f>
        <v>0</v>
      </c>
      <c r="K6" s="6">
        <f>COUNTIFS(Coverage!$D:$D,$A6,Coverage!$J:$J,"N/A")</f>
        <v>0</v>
      </c>
      <c r="L6" s="6">
        <f>COUNTIFS(Coverage!$D:$D,$A6,Coverage!$J:$J,"Not tested")</f>
        <v>0</v>
      </c>
      <c r="M6" s="6">
        <f>COUNTIF(Bugs!$V:$V,$A6)</f>
        <v>0</v>
      </c>
      <c r="N6" s="5"/>
    </row>
    <row r="7" spans="1:14">
      <c r="A7" s="5" t="s">
        <v>292</v>
      </c>
      <c r="B7" s="5" t="s">
        <v>279</v>
      </c>
      <c r="C7" s="5" t="s">
        <v>280</v>
      </c>
      <c r="D7" s="5" t="s">
        <v>281</v>
      </c>
      <c r="E7" s="5" t="s">
        <v>3277</v>
      </c>
      <c r="F7" s="16" t="s">
        <v>3274</v>
      </c>
      <c r="G7" s="6">
        <f>COUNTIF(Coverage!$D:$D,$A7)</f>
        <v>21</v>
      </c>
      <c r="H7" s="6">
        <f>COUNTIFS(Coverage!$D:$D,$A7,Coverage!$J:$J,"Pass")</f>
        <v>19</v>
      </c>
      <c r="I7" s="6">
        <f>COUNTIFS(Coverage!$D:$D,$A7,Coverage!$J:$J,"Fail")</f>
        <v>2</v>
      </c>
      <c r="J7" s="6">
        <f>COUNTIFS(Coverage!$D:$D,$A7,Coverage!$J:$J,"Blocked")</f>
        <v>0</v>
      </c>
      <c r="K7" s="6">
        <f>COUNTIFS(Coverage!$D:$D,$A7,Coverage!$J:$J,"N/A")</f>
        <v>0</v>
      </c>
      <c r="L7" s="6">
        <f>COUNTIFS(Coverage!$D:$D,$A7,Coverage!$J:$J,"Not tested")</f>
        <v>0</v>
      </c>
      <c r="M7" s="6">
        <f>COUNTIF(Bugs!$V:$V,$A7)</f>
        <v>11</v>
      </c>
      <c r="N7" s="5"/>
    </row>
    <row r="8" spans="1:14">
      <c r="A8" s="5" t="s">
        <v>484</v>
      </c>
      <c r="B8" s="5" t="s">
        <v>279</v>
      </c>
      <c r="C8" s="5" t="s">
        <v>473</v>
      </c>
      <c r="D8" s="5" t="s">
        <v>474</v>
      </c>
      <c r="E8" s="5" t="s">
        <v>3278</v>
      </c>
      <c r="F8" s="16" t="s">
        <v>3274</v>
      </c>
      <c r="G8" s="6">
        <f>COUNTIF(Coverage!$D:$D,$A8)</f>
        <v>22</v>
      </c>
      <c r="H8" s="6">
        <f>COUNTIFS(Coverage!$D:$D,$A8,Coverage!$J:$J,"Pass")</f>
        <v>19</v>
      </c>
      <c r="I8" s="6">
        <f>COUNTIFS(Coverage!$D:$D,$A8,Coverage!$J:$J,"Fail")</f>
        <v>3</v>
      </c>
      <c r="J8" s="6">
        <f>COUNTIFS(Coverage!$D:$D,$A8,Coverage!$J:$J,"Blocked")</f>
        <v>0</v>
      </c>
      <c r="K8" s="6">
        <f>COUNTIFS(Coverage!$D:$D,$A8,Coverage!$J:$J,"N/A")</f>
        <v>0</v>
      </c>
      <c r="L8" s="6">
        <f>COUNTIFS(Coverage!$D:$D,$A8,Coverage!$J:$J,"Not tested")</f>
        <v>0</v>
      </c>
      <c r="M8" s="6">
        <f>COUNTIF(Bugs!$V:$V,$A8)</f>
        <v>6</v>
      </c>
      <c r="N8" s="5"/>
    </row>
    <row r="9" spans="1:14">
      <c r="A9" s="5" t="s">
        <v>528</v>
      </c>
      <c r="B9" s="5" t="s">
        <v>279</v>
      </c>
      <c r="C9" s="5" t="s">
        <v>517</v>
      </c>
      <c r="D9" s="5" t="s">
        <v>518</v>
      </c>
      <c r="E9" s="5" t="s">
        <v>3279</v>
      </c>
      <c r="F9" s="16" t="s">
        <v>3274</v>
      </c>
      <c r="G9" s="6">
        <f>COUNTIF(Coverage!$D:$D,$A9)</f>
        <v>10</v>
      </c>
      <c r="H9" s="6">
        <f>COUNTIFS(Coverage!$D:$D,$A9,Coverage!$J:$J,"Pass")</f>
        <v>10</v>
      </c>
      <c r="I9" s="6">
        <f>COUNTIFS(Coverage!$D:$D,$A9,Coverage!$J:$J,"Fail")</f>
        <v>0</v>
      </c>
      <c r="J9" s="6">
        <f>COUNTIFS(Coverage!$D:$D,$A9,Coverage!$J:$J,"Blocked")</f>
        <v>0</v>
      </c>
      <c r="K9" s="6">
        <f>COUNTIFS(Coverage!$D:$D,$A9,Coverage!$J:$J,"N/A")</f>
        <v>0</v>
      </c>
      <c r="L9" s="6">
        <f>COUNTIFS(Coverage!$D:$D,$A9,Coverage!$J:$J,"Not tested")</f>
        <v>0</v>
      </c>
      <c r="M9" s="6">
        <f>COUNTIF(Bugs!$V:$V,$A9)</f>
        <v>4</v>
      </c>
      <c r="N9" s="5"/>
    </row>
    <row r="10" spans="1:14">
      <c r="A10" s="5" t="s">
        <v>564</v>
      </c>
      <c r="B10" s="5" t="s">
        <v>279</v>
      </c>
      <c r="C10" s="5" t="s">
        <v>554</v>
      </c>
      <c r="D10" s="5" t="s">
        <v>555</v>
      </c>
      <c r="E10" s="5" t="s">
        <v>3280</v>
      </c>
      <c r="F10" s="16" t="s">
        <v>3274</v>
      </c>
      <c r="G10" s="6">
        <f>COUNTIF(Coverage!$D:$D,$A10)</f>
        <v>18</v>
      </c>
      <c r="H10" s="6">
        <f>COUNTIFS(Coverage!$D:$D,$A10,Coverage!$J:$J,"Pass")</f>
        <v>13</v>
      </c>
      <c r="I10" s="6">
        <f>COUNTIFS(Coverage!$D:$D,$A10,Coverage!$J:$J,"Fail")</f>
        <v>3</v>
      </c>
      <c r="J10" s="6">
        <f>COUNTIFS(Coverage!$D:$D,$A10,Coverage!$J:$J,"Blocked")</f>
        <v>2</v>
      </c>
      <c r="K10" s="6">
        <f>COUNTIFS(Coverage!$D:$D,$A10,Coverage!$J:$J,"N/A")</f>
        <v>0</v>
      </c>
      <c r="L10" s="6">
        <f>COUNTIFS(Coverage!$D:$D,$A10,Coverage!$J:$J,"Not tested")</f>
        <v>0</v>
      </c>
      <c r="M10" s="6">
        <f>COUNTIF(Bugs!$V:$V,$A10)</f>
        <v>10</v>
      </c>
      <c r="N10" s="5"/>
    </row>
    <row r="11" spans="1:14">
      <c r="A11" s="5" t="s">
        <v>2441</v>
      </c>
      <c r="B11" s="5" t="s">
        <v>279</v>
      </c>
      <c r="C11" s="5" t="s">
        <v>2439</v>
      </c>
      <c r="D11" s="5" t="s">
        <v>2440</v>
      </c>
      <c r="E11" s="5" t="s">
        <v>3281</v>
      </c>
      <c r="F11" s="16" t="s">
        <v>3274</v>
      </c>
      <c r="G11" s="6">
        <f>COUNTIF(Coverage!$D:$D,$A11)</f>
        <v>5</v>
      </c>
      <c r="H11" s="6">
        <f>COUNTIFS(Coverage!$D:$D,$A11,Coverage!$J:$J,"Pass")</f>
        <v>5</v>
      </c>
      <c r="I11" s="6">
        <f>COUNTIFS(Coverage!$D:$D,$A11,Coverage!$J:$J,"Fail")</f>
        <v>0</v>
      </c>
      <c r="J11" s="6">
        <f>COUNTIFS(Coverage!$D:$D,$A11,Coverage!$J:$J,"Blocked")</f>
        <v>0</v>
      </c>
      <c r="K11" s="6">
        <f>COUNTIFS(Coverage!$D:$D,$A11,Coverage!$J:$J,"N/A")</f>
        <v>0</v>
      </c>
      <c r="L11" s="6">
        <f>COUNTIFS(Coverage!$D:$D,$A11,Coverage!$J:$J,"Not tested")</f>
        <v>0</v>
      </c>
      <c r="M11" s="6">
        <f>COUNTIF(Bugs!$V:$V,$A11)</f>
        <v>0</v>
      </c>
      <c r="N11" s="5"/>
    </row>
    <row r="12" spans="1:14">
      <c r="A12" s="5" t="s">
        <v>350</v>
      </c>
      <c r="B12" s="5" t="s">
        <v>279</v>
      </c>
      <c r="C12" s="5" t="s">
        <v>280</v>
      </c>
      <c r="D12" s="5" t="s">
        <v>340</v>
      </c>
      <c r="E12" s="5" t="s">
        <v>3282</v>
      </c>
      <c r="F12" s="16" t="s">
        <v>3274</v>
      </c>
      <c r="G12" s="6">
        <f>COUNTIF(Coverage!$D:$D,$A12)</f>
        <v>24</v>
      </c>
      <c r="H12" s="6">
        <f>COUNTIFS(Coverage!$D:$D,$A12,Coverage!$J:$J,"Pass")</f>
        <v>20</v>
      </c>
      <c r="I12" s="6">
        <f>COUNTIFS(Coverage!$D:$D,$A12,Coverage!$J:$J,"Fail")</f>
        <v>4</v>
      </c>
      <c r="J12" s="6">
        <f>COUNTIFS(Coverage!$D:$D,$A12,Coverage!$J:$J,"Blocked")</f>
        <v>0</v>
      </c>
      <c r="K12" s="6">
        <f>COUNTIFS(Coverage!$D:$D,$A12,Coverage!$J:$J,"N/A")</f>
        <v>0</v>
      </c>
      <c r="L12" s="6">
        <f>COUNTIFS(Coverage!$D:$D,$A12,Coverage!$J:$J,"Not tested")</f>
        <v>0</v>
      </c>
      <c r="M12" s="6">
        <f>COUNTIF(Bugs!$V:$V,$A12)</f>
        <v>18</v>
      </c>
      <c r="N12" s="5" t="s">
        <v>3283</v>
      </c>
    </row>
    <row r="13" spans="1:14">
      <c r="A13" s="5" t="s">
        <v>642</v>
      </c>
      <c r="B13" s="5" t="s">
        <v>279</v>
      </c>
      <c r="C13" s="5" t="s">
        <v>631</v>
      </c>
      <c r="D13" s="5" t="s">
        <v>632</v>
      </c>
      <c r="E13" s="5" t="s">
        <v>1764</v>
      </c>
      <c r="F13" s="16" t="s">
        <v>3274</v>
      </c>
      <c r="G13" s="6">
        <f>COUNTIF(Coverage!$D:$D,$A13)</f>
        <v>19</v>
      </c>
      <c r="H13" s="6">
        <f>COUNTIFS(Coverage!$D:$D,$A13,Coverage!$J:$J,"Pass")</f>
        <v>15</v>
      </c>
      <c r="I13" s="6">
        <f>COUNTIFS(Coverage!$D:$D,$A13,Coverage!$J:$J,"Fail")</f>
        <v>4</v>
      </c>
      <c r="J13" s="6">
        <f>COUNTIFS(Coverage!$D:$D,$A13,Coverage!$J:$J,"Blocked")</f>
        <v>0</v>
      </c>
      <c r="K13" s="6">
        <f>COUNTIFS(Coverage!$D:$D,$A13,Coverage!$J:$J,"N/A")</f>
        <v>0</v>
      </c>
      <c r="L13" s="6">
        <f>COUNTIFS(Coverage!$D:$D,$A13,Coverage!$J:$J,"Not tested")</f>
        <v>0</v>
      </c>
      <c r="M13" s="6">
        <f>COUNTIF(Bugs!$V:$V,$A13)</f>
        <v>7</v>
      </c>
      <c r="N13" s="5"/>
    </row>
    <row r="14" spans="1:14">
      <c r="A14" s="5" t="s">
        <v>654</v>
      </c>
      <c r="B14" s="5" t="s">
        <v>279</v>
      </c>
      <c r="C14" s="5" t="s">
        <v>631</v>
      </c>
      <c r="D14" s="5" t="s">
        <v>646</v>
      </c>
      <c r="E14" s="5" t="s">
        <v>3284</v>
      </c>
      <c r="F14" s="16" t="s">
        <v>3274</v>
      </c>
      <c r="G14" s="6">
        <f>COUNTIF(Coverage!$D:$D,$A14)</f>
        <v>5</v>
      </c>
      <c r="H14" s="6">
        <f>COUNTIFS(Coverage!$D:$D,$A14,Coverage!$J:$J,"Pass")</f>
        <v>5</v>
      </c>
      <c r="I14" s="6">
        <f>COUNTIFS(Coverage!$D:$D,$A14,Coverage!$J:$J,"Fail")</f>
        <v>0</v>
      </c>
      <c r="J14" s="6">
        <f>COUNTIFS(Coverage!$D:$D,$A14,Coverage!$J:$J,"Blocked")</f>
        <v>0</v>
      </c>
      <c r="K14" s="6">
        <f>COUNTIFS(Coverage!$D:$D,$A14,Coverage!$J:$J,"N/A")</f>
        <v>0</v>
      </c>
      <c r="L14" s="6">
        <f>COUNTIFS(Coverage!$D:$D,$A14,Coverage!$J:$J,"Not tested")</f>
        <v>0</v>
      </c>
      <c r="M14" s="6">
        <f>COUNTIF(Bugs!$V:$V,$A14)</f>
        <v>1</v>
      </c>
      <c r="N14" s="5"/>
    </row>
    <row r="15" spans="1:14">
      <c r="A15" s="5" t="s">
        <v>1032</v>
      </c>
      <c r="B15" s="5" t="s">
        <v>279</v>
      </c>
      <c r="C15" s="5" t="s">
        <v>631</v>
      </c>
      <c r="D15" s="5" t="s">
        <v>1022</v>
      </c>
      <c r="E15" s="5" t="s">
        <v>3285</v>
      </c>
      <c r="F15" s="16" t="s">
        <v>3274</v>
      </c>
      <c r="G15" s="6">
        <f>COUNTIF(Coverage!$D:$D,$A15)</f>
        <v>17</v>
      </c>
      <c r="H15" s="6">
        <f>COUNTIFS(Coverage!$D:$D,$A15,Coverage!$J:$J,"Pass")</f>
        <v>13</v>
      </c>
      <c r="I15" s="6">
        <f>COUNTIFS(Coverage!$D:$D,$A15,Coverage!$J:$J,"Fail")</f>
        <v>1</v>
      </c>
      <c r="J15" s="6">
        <f>COUNTIFS(Coverage!$D:$D,$A15,Coverage!$J:$J,"Blocked")</f>
        <v>3</v>
      </c>
      <c r="K15" s="6">
        <f>COUNTIFS(Coverage!$D:$D,$A15,Coverage!$J:$J,"N/A")</f>
        <v>0</v>
      </c>
      <c r="L15" s="6">
        <f>COUNTIFS(Coverage!$D:$D,$A15,Coverage!$J:$J,"Not tested")</f>
        <v>0</v>
      </c>
      <c r="M15" s="6">
        <f>COUNTIF(Bugs!$V:$V,$A15)</f>
        <v>5</v>
      </c>
      <c r="N15" s="5"/>
    </row>
    <row r="16" spans="1:14">
      <c r="A16" s="5" t="s">
        <v>666</v>
      </c>
      <c r="B16" s="5" t="s">
        <v>279</v>
      </c>
      <c r="C16" s="5" t="s">
        <v>631</v>
      </c>
      <c r="D16" s="5" t="s">
        <v>658</v>
      </c>
      <c r="E16" s="5" t="s">
        <v>3286</v>
      </c>
      <c r="F16" s="16" t="s">
        <v>3274</v>
      </c>
      <c r="G16" s="6">
        <f>COUNTIF(Coverage!$D:$D,$A16)</f>
        <v>8</v>
      </c>
      <c r="H16" s="6">
        <f>COUNTIFS(Coverage!$D:$D,$A16,Coverage!$J:$J,"Pass")</f>
        <v>8</v>
      </c>
      <c r="I16" s="6">
        <f>COUNTIFS(Coverage!$D:$D,$A16,Coverage!$J:$J,"Fail")</f>
        <v>0</v>
      </c>
      <c r="J16" s="6">
        <f>COUNTIFS(Coverage!$D:$D,$A16,Coverage!$J:$J,"Blocked")</f>
        <v>0</v>
      </c>
      <c r="K16" s="6">
        <f>COUNTIFS(Coverage!$D:$D,$A16,Coverage!$J:$J,"N/A")</f>
        <v>0</v>
      </c>
      <c r="L16" s="6">
        <f>COUNTIFS(Coverage!$D:$D,$A16,Coverage!$J:$J,"Not tested")</f>
        <v>0</v>
      </c>
      <c r="M16" s="6">
        <f>COUNTIF(Bugs!$V:$V,$A16)</f>
        <v>3</v>
      </c>
      <c r="N16" s="5"/>
    </row>
    <row r="17" spans="1:14">
      <c r="A17" s="5" t="s">
        <v>1098</v>
      </c>
      <c r="B17" s="5" t="s">
        <v>279</v>
      </c>
      <c r="C17" s="5" t="s">
        <v>631</v>
      </c>
      <c r="D17" s="5" t="s">
        <v>1088</v>
      </c>
      <c r="E17" s="5" t="s">
        <v>3287</v>
      </c>
      <c r="F17" s="16" t="s">
        <v>3274</v>
      </c>
      <c r="G17" s="6">
        <f>COUNTIF(Coverage!$D:$D,$A17)</f>
        <v>10</v>
      </c>
      <c r="H17" s="6">
        <f>COUNTIFS(Coverage!$D:$D,$A17,Coverage!$J:$J,"Pass")</f>
        <v>8</v>
      </c>
      <c r="I17" s="6">
        <f>COUNTIFS(Coverage!$D:$D,$A17,Coverage!$J:$J,"Fail")</f>
        <v>2</v>
      </c>
      <c r="J17" s="6">
        <f>COUNTIFS(Coverage!$D:$D,$A17,Coverage!$J:$J,"Blocked")</f>
        <v>0</v>
      </c>
      <c r="K17" s="6">
        <f>COUNTIFS(Coverage!$D:$D,$A17,Coverage!$J:$J,"N/A")</f>
        <v>0</v>
      </c>
      <c r="L17" s="6">
        <f>COUNTIFS(Coverage!$D:$D,$A17,Coverage!$J:$J,"Not tested")</f>
        <v>0</v>
      </c>
      <c r="M17" s="6">
        <f>COUNTIF(Bugs!$V:$V,$A17)</f>
        <v>4</v>
      </c>
      <c r="N17" s="5"/>
    </row>
    <row r="18" spans="1:14">
      <c r="A18" s="5" t="s">
        <v>679</v>
      </c>
      <c r="B18" s="5" t="s">
        <v>279</v>
      </c>
      <c r="C18" s="5" t="s">
        <v>631</v>
      </c>
      <c r="D18" s="5" t="s">
        <v>670</v>
      </c>
      <c r="E18" s="5" t="s">
        <v>3288</v>
      </c>
      <c r="F18" s="16" t="s">
        <v>3274</v>
      </c>
      <c r="G18" s="6">
        <f>COUNTIF(Coverage!$D:$D,$A18)</f>
        <v>6</v>
      </c>
      <c r="H18" s="6">
        <f>COUNTIFS(Coverage!$D:$D,$A18,Coverage!$J:$J,"Pass")</f>
        <v>5</v>
      </c>
      <c r="I18" s="6">
        <f>COUNTIFS(Coverage!$D:$D,$A18,Coverage!$J:$J,"Fail")</f>
        <v>1</v>
      </c>
      <c r="J18" s="6">
        <f>COUNTIFS(Coverage!$D:$D,$A18,Coverage!$J:$J,"Blocked")</f>
        <v>0</v>
      </c>
      <c r="K18" s="6">
        <f>COUNTIFS(Coverage!$D:$D,$A18,Coverage!$J:$J,"N/A")</f>
        <v>0</v>
      </c>
      <c r="L18" s="6">
        <f>COUNTIFS(Coverage!$D:$D,$A18,Coverage!$J:$J,"Not tested")</f>
        <v>0</v>
      </c>
      <c r="M18" s="6">
        <f>COUNTIF(Bugs!$V:$V,$A18)</f>
        <v>1</v>
      </c>
      <c r="N18" s="5"/>
    </row>
    <row r="19" spans="1:14">
      <c r="A19" s="5" t="s">
        <v>692</v>
      </c>
      <c r="B19" s="5" t="s">
        <v>279</v>
      </c>
      <c r="C19" s="5" t="s">
        <v>631</v>
      </c>
      <c r="D19" s="5" t="s">
        <v>684</v>
      </c>
      <c r="E19" s="5" t="s">
        <v>3289</v>
      </c>
      <c r="F19" s="16" t="s">
        <v>3274</v>
      </c>
      <c r="G19" s="6">
        <f>COUNTIF(Coverage!$D:$D,$A19)</f>
        <v>10</v>
      </c>
      <c r="H19" s="6">
        <f>COUNTIFS(Coverage!$D:$D,$A19,Coverage!$J:$J,"Pass")</f>
        <v>7</v>
      </c>
      <c r="I19" s="6">
        <f>COUNTIFS(Coverage!$D:$D,$A19,Coverage!$J:$J,"Fail")</f>
        <v>2</v>
      </c>
      <c r="J19" s="6">
        <f>COUNTIFS(Coverage!$D:$D,$A19,Coverage!$J:$J,"Blocked")</f>
        <v>1</v>
      </c>
      <c r="K19" s="6">
        <f>COUNTIFS(Coverage!$D:$D,$A19,Coverage!$J:$J,"N/A")</f>
        <v>0</v>
      </c>
      <c r="L19" s="6">
        <f>COUNTIFS(Coverage!$D:$D,$A19,Coverage!$J:$J,"Not tested")</f>
        <v>0</v>
      </c>
      <c r="M19" s="6">
        <f>COUNTIF(Bugs!$V:$V,$A19)</f>
        <v>8</v>
      </c>
      <c r="N19" s="5"/>
    </row>
    <row r="20" spans="1:14">
      <c r="A20" s="5" t="s">
        <v>704</v>
      </c>
      <c r="B20" s="5" t="s">
        <v>279</v>
      </c>
      <c r="C20" s="5" t="s">
        <v>631</v>
      </c>
      <c r="D20" s="5" t="s">
        <v>696</v>
      </c>
      <c r="E20" s="5" t="s">
        <v>3290</v>
      </c>
      <c r="F20" s="16" t="s">
        <v>3274</v>
      </c>
      <c r="G20" s="6">
        <f>COUNTIF(Coverage!$D:$D,$A20)</f>
        <v>6</v>
      </c>
      <c r="H20" s="6">
        <f>COUNTIFS(Coverage!$D:$D,$A20,Coverage!$J:$J,"Pass")</f>
        <v>5</v>
      </c>
      <c r="I20" s="6">
        <f>COUNTIFS(Coverage!$D:$D,$A20,Coverage!$J:$J,"Fail")</f>
        <v>1</v>
      </c>
      <c r="J20" s="6">
        <f>COUNTIFS(Coverage!$D:$D,$A20,Coverage!$J:$J,"Blocked")</f>
        <v>0</v>
      </c>
      <c r="K20" s="6">
        <f>COUNTIFS(Coverage!$D:$D,$A20,Coverage!$J:$J,"N/A")</f>
        <v>0</v>
      </c>
      <c r="L20" s="6">
        <f>COUNTIFS(Coverage!$D:$D,$A20,Coverage!$J:$J,"Not tested")</f>
        <v>0</v>
      </c>
      <c r="M20" s="6">
        <f>COUNTIF(Bugs!$V:$V,$A20)</f>
        <v>3</v>
      </c>
      <c r="N20" s="5"/>
    </row>
    <row r="21" spans="1:14">
      <c r="A21" s="5" t="s">
        <v>1196</v>
      </c>
      <c r="B21" s="5" t="s">
        <v>279</v>
      </c>
      <c r="C21" s="5" t="s">
        <v>708</v>
      </c>
      <c r="D21" s="5" t="s">
        <v>1186</v>
      </c>
      <c r="E21" s="5" t="s">
        <v>3291</v>
      </c>
      <c r="F21" s="16" t="s">
        <v>3274</v>
      </c>
      <c r="G21" s="6">
        <f>COUNTIF(Coverage!$D:$D,$A21)</f>
        <v>10</v>
      </c>
      <c r="H21" s="6">
        <f>COUNTIFS(Coverage!$D:$D,$A21,Coverage!$J:$J,"Pass")</f>
        <v>8</v>
      </c>
      <c r="I21" s="6">
        <f>COUNTIFS(Coverage!$D:$D,$A21,Coverage!$J:$J,"Fail")</f>
        <v>2</v>
      </c>
      <c r="J21" s="6">
        <f>COUNTIFS(Coverage!$D:$D,$A21,Coverage!$J:$J,"Blocked")</f>
        <v>0</v>
      </c>
      <c r="K21" s="6">
        <f>COUNTIFS(Coverage!$D:$D,$A21,Coverage!$J:$J,"N/A")</f>
        <v>0</v>
      </c>
      <c r="L21" s="6">
        <f>COUNTIFS(Coverage!$D:$D,$A21,Coverage!$J:$J,"Not tested")</f>
        <v>0</v>
      </c>
      <c r="M21" s="6">
        <f>COUNTIF(Bugs!$V:$V,$A21)</f>
        <v>4</v>
      </c>
      <c r="N21" s="5"/>
    </row>
    <row r="22" spans="1:14">
      <c r="A22" s="5" t="s">
        <v>717</v>
      </c>
      <c r="B22" s="5" t="s">
        <v>279</v>
      </c>
      <c r="C22" s="5" t="s">
        <v>708</v>
      </c>
      <c r="D22" s="5" t="s">
        <v>709</v>
      </c>
      <c r="E22" s="5" t="s">
        <v>3292</v>
      </c>
      <c r="F22" s="16" t="s">
        <v>3274</v>
      </c>
      <c r="G22" s="6">
        <f>COUNTIF(Coverage!$D:$D,$A22)</f>
        <v>4</v>
      </c>
      <c r="H22" s="6">
        <f>COUNTIFS(Coverage!$D:$D,$A22,Coverage!$J:$J,"Pass")</f>
        <v>4</v>
      </c>
      <c r="I22" s="6">
        <f>COUNTIFS(Coverage!$D:$D,$A22,Coverage!$J:$J,"Fail")</f>
        <v>0</v>
      </c>
      <c r="J22" s="6">
        <f>COUNTIFS(Coverage!$D:$D,$A22,Coverage!$J:$J,"Blocked")</f>
        <v>0</v>
      </c>
      <c r="K22" s="6">
        <f>COUNTIFS(Coverage!$D:$D,$A22,Coverage!$J:$J,"N/A")</f>
        <v>0</v>
      </c>
      <c r="L22" s="6">
        <f>COUNTIFS(Coverage!$D:$D,$A22,Coverage!$J:$J,"Not tested")</f>
        <v>0</v>
      </c>
      <c r="M22" s="6">
        <f>COUNTIF(Bugs!$V:$V,$A22)</f>
        <v>2</v>
      </c>
      <c r="N22" s="5"/>
    </row>
    <row r="23" spans="1:14">
      <c r="A23" s="5" t="s">
        <v>2758</v>
      </c>
      <c r="B23" s="5" t="s">
        <v>279</v>
      </c>
      <c r="C23" s="5" t="s">
        <v>708</v>
      </c>
      <c r="D23" s="5" t="s">
        <v>2757</v>
      </c>
      <c r="E23" s="5" t="s">
        <v>3293</v>
      </c>
      <c r="F23" s="16" t="s">
        <v>3274</v>
      </c>
      <c r="G23" s="6">
        <f>COUNTIF(Coverage!$D:$D,$A23)</f>
        <v>3</v>
      </c>
      <c r="H23" s="6">
        <f>COUNTIFS(Coverage!$D:$D,$A23,Coverage!$J:$J,"Pass")</f>
        <v>3</v>
      </c>
      <c r="I23" s="6">
        <f>COUNTIFS(Coverage!$D:$D,$A23,Coverage!$J:$J,"Fail")</f>
        <v>0</v>
      </c>
      <c r="J23" s="6">
        <f>COUNTIFS(Coverage!$D:$D,$A23,Coverage!$J:$J,"Blocked")</f>
        <v>0</v>
      </c>
      <c r="K23" s="6">
        <f>COUNTIFS(Coverage!$D:$D,$A23,Coverage!$J:$J,"N/A")</f>
        <v>0</v>
      </c>
      <c r="L23" s="6">
        <f>COUNTIFS(Coverage!$D:$D,$A23,Coverage!$J:$J,"Not tested")</f>
        <v>0</v>
      </c>
      <c r="M23" s="6">
        <f>COUNTIF(Bugs!$V:$V,$A23)</f>
        <v>0</v>
      </c>
      <c r="N23" s="5"/>
    </row>
    <row r="24" spans="1:14">
      <c r="A24" s="5" t="s">
        <v>1452</v>
      </c>
      <c r="B24" s="5" t="s">
        <v>279</v>
      </c>
      <c r="C24" s="5" t="s">
        <v>708</v>
      </c>
      <c r="D24" s="5" t="s">
        <v>1444</v>
      </c>
      <c r="E24" s="5" t="s">
        <v>3294</v>
      </c>
      <c r="F24" s="16" t="s">
        <v>3274</v>
      </c>
      <c r="G24" s="6">
        <f>COUNTIF(Coverage!$D:$D,$A24)</f>
        <v>3</v>
      </c>
      <c r="H24" s="6">
        <f>COUNTIFS(Coverage!$D:$D,$A24,Coverage!$J:$J,"Pass")</f>
        <v>3</v>
      </c>
      <c r="I24" s="6">
        <f>COUNTIFS(Coverage!$D:$D,$A24,Coverage!$J:$J,"Fail")</f>
        <v>0</v>
      </c>
      <c r="J24" s="6">
        <f>COUNTIFS(Coverage!$D:$D,$A24,Coverage!$J:$J,"Blocked")</f>
        <v>0</v>
      </c>
      <c r="K24" s="6">
        <f>COUNTIFS(Coverage!$D:$D,$A24,Coverage!$J:$J,"N/A")</f>
        <v>0</v>
      </c>
      <c r="L24" s="6">
        <f>COUNTIFS(Coverage!$D:$D,$A24,Coverage!$J:$J,"Not tested")</f>
        <v>0</v>
      </c>
      <c r="M24" s="6">
        <f>COUNTIF(Bugs!$V:$V,$A24)</f>
        <v>1</v>
      </c>
      <c r="N24" s="5"/>
    </row>
    <row r="25" spans="1:14">
      <c r="A25" s="5" t="s">
        <v>1232</v>
      </c>
      <c r="B25" s="5" t="s">
        <v>279</v>
      </c>
      <c r="C25" s="5" t="s">
        <v>1221</v>
      </c>
      <c r="D25" s="5" t="s">
        <v>1222</v>
      </c>
      <c r="E25" s="5" t="s">
        <v>3295</v>
      </c>
      <c r="F25" s="16" t="s">
        <v>3274</v>
      </c>
      <c r="G25" s="6">
        <f>COUNTIF(Coverage!$D:$D,$A25)</f>
        <v>12</v>
      </c>
      <c r="H25" s="6">
        <f>COUNTIFS(Coverage!$D:$D,$A25,Coverage!$J:$J,"Pass")</f>
        <v>9</v>
      </c>
      <c r="I25" s="6">
        <f>COUNTIFS(Coverage!$D:$D,$A25,Coverage!$J:$J,"Fail")</f>
        <v>3</v>
      </c>
      <c r="J25" s="6">
        <f>COUNTIFS(Coverage!$D:$D,$A25,Coverage!$J:$J,"Blocked")</f>
        <v>0</v>
      </c>
      <c r="K25" s="6">
        <f>COUNTIFS(Coverage!$D:$D,$A25,Coverage!$J:$J,"N/A")</f>
        <v>0</v>
      </c>
      <c r="L25" s="6">
        <f>COUNTIFS(Coverage!$D:$D,$A25,Coverage!$J:$J,"Not tested")</f>
        <v>0</v>
      </c>
      <c r="M25" s="6">
        <f>COUNTIF(Bugs!$V:$V,$A25)</f>
        <v>4</v>
      </c>
      <c r="N25" s="5"/>
    </row>
    <row r="26" spans="1:14">
      <c r="A26" s="5" t="s">
        <v>1279</v>
      </c>
      <c r="B26" s="5" t="s">
        <v>279</v>
      </c>
      <c r="C26" s="5" t="s">
        <v>1221</v>
      </c>
      <c r="D26" s="5" t="s">
        <v>1269</v>
      </c>
      <c r="E26" s="5" t="s">
        <v>3296</v>
      </c>
      <c r="F26" s="16" t="s">
        <v>3274</v>
      </c>
      <c r="G26" s="6">
        <f>COUNTIF(Coverage!$D:$D,$A26)</f>
        <v>14</v>
      </c>
      <c r="H26" s="6">
        <f>COUNTIFS(Coverage!$D:$D,$A26,Coverage!$J:$J,"Pass")</f>
        <v>7</v>
      </c>
      <c r="I26" s="6">
        <f>COUNTIFS(Coverage!$D:$D,$A26,Coverage!$J:$J,"Fail")</f>
        <v>7</v>
      </c>
      <c r="J26" s="6">
        <f>COUNTIFS(Coverage!$D:$D,$A26,Coverage!$J:$J,"Blocked")</f>
        <v>0</v>
      </c>
      <c r="K26" s="6">
        <f>COUNTIFS(Coverage!$D:$D,$A26,Coverage!$J:$J,"N/A")</f>
        <v>0</v>
      </c>
      <c r="L26" s="6">
        <f>COUNTIFS(Coverage!$D:$D,$A26,Coverage!$J:$J,"Not tested")</f>
        <v>0</v>
      </c>
      <c r="M26" s="6">
        <f>COUNTIF(Bugs!$V:$V,$A26)</f>
        <v>3</v>
      </c>
      <c r="N26" s="5"/>
    </row>
    <row r="27" spans="1:14">
      <c r="A27" s="5" t="s">
        <v>1314</v>
      </c>
      <c r="B27" s="5" t="s">
        <v>279</v>
      </c>
      <c r="C27" s="5" t="s">
        <v>1221</v>
      </c>
      <c r="D27" s="5" t="s">
        <v>1304</v>
      </c>
      <c r="E27" s="5" t="s">
        <v>3297</v>
      </c>
      <c r="F27" s="16" t="s">
        <v>3274</v>
      </c>
      <c r="G27" s="6">
        <f>COUNTIF(Coverage!$D:$D,$A27)</f>
        <v>21</v>
      </c>
      <c r="H27" s="6">
        <f>COUNTIFS(Coverage!$D:$D,$A27,Coverage!$J:$J,"Pass")</f>
        <v>20</v>
      </c>
      <c r="I27" s="6">
        <f>COUNTIFS(Coverage!$D:$D,$A27,Coverage!$J:$J,"Fail")</f>
        <v>1</v>
      </c>
      <c r="J27" s="6">
        <f>COUNTIFS(Coverage!$D:$D,$A27,Coverage!$J:$J,"Blocked")</f>
        <v>0</v>
      </c>
      <c r="K27" s="6">
        <f>COUNTIFS(Coverage!$D:$D,$A27,Coverage!$J:$J,"N/A")</f>
        <v>0</v>
      </c>
      <c r="L27" s="6">
        <f>COUNTIFS(Coverage!$D:$D,$A27,Coverage!$J:$J,"Not tested")</f>
        <v>0</v>
      </c>
      <c r="M27" s="6">
        <f>COUNTIF(Bugs!$V:$V,$A27)</f>
        <v>5</v>
      </c>
      <c r="N27" s="5"/>
    </row>
    <row r="28" spans="1:14">
      <c r="A28" s="5" t="s">
        <v>1361</v>
      </c>
      <c r="B28" s="5" t="s">
        <v>279</v>
      </c>
      <c r="C28" s="5" t="s">
        <v>1221</v>
      </c>
      <c r="D28" s="5" t="s">
        <v>1351</v>
      </c>
      <c r="E28" s="5" t="s">
        <v>3298</v>
      </c>
      <c r="F28" s="16" t="s">
        <v>3274</v>
      </c>
      <c r="G28" s="6">
        <f>COUNTIF(Coverage!$D:$D,$A28)</f>
        <v>10</v>
      </c>
      <c r="H28" s="6">
        <f>COUNTIFS(Coverage!$D:$D,$A28,Coverage!$J:$J,"Pass")</f>
        <v>6</v>
      </c>
      <c r="I28" s="6">
        <f>COUNTIFS(Coverage!$D:$D,$A28,Coverage!$J:$J,"Fail")</f>
        <v>4</v>
      </c>
      <c r="J28" s="6">
        <f>COUNTIFS(Coverage!$D:$D,$A28,Coverage!$J:$J,"Blocked")</f>
        <v>0</v>
      </c>
      <c r="K28" s="6">
        <f>COUNTIFS(Coverage!$D:$D,$A28,Coverage!$J:$J,"N/A")</f>
        <v>0</v>
      </c>
      <c r="L28" s="6">
        <f>COUNTIFS(Coverage!$D:$D,$A28,Coverage!$J:$J,"Not tested")</f>
        <v>0</v>
      </c>
      <c r="M28" s="6">
        <f>COUNTIF(Bugs!$V:$V,$A28)</f>
        <v>3</v>
      </c>
      <c r="N28" s="5"/>
    </row>
    <row r="29" spans="1:14">
      <c r="A29" s="5" t="s">
        <v>1376</v>
      </c>
      <c r="B29" s="5" t="s">
        <v>279</v>
      </c>
      <c r="C29" s="5" t="s">
        <v>1365</v>
      </c>
      <c r="D29" s="5" t="s">
        <v>1366</v>
      </c>
      <c r="E29" s="5" t="s">
        <v>3299</v>
      </c>
      <c r="F29" s="16" t="s">
        <v>3274</v>
      </c>
      <c r="G29" s="6">
        <f>COUNTIF(Coverage!$D:$D,$A29)</f>
        <v>12</v>
      </c>
      <c r="H29" s="6">
        <f>COUNTIFS(Coverage!$D:$D,$A29,Coverage!$J:$J,"Pass")</f>
        <v>8</v>
      </c>
      <c r="I29" s="6">
        <f>COUNTIFS(Coverage!$D:$D,$A29,Coverage!$J:$J,"Fail")</f>
        <v>3</v>
      </c>
      <c r="J29" s="6">
        <f>COUNTIFS(Coverage!$D:$D,$A29,Coverage!$J:$J,"Blocked")</f>
        <v>1</v>
      </c>
      <c r="K29" s="6">
        <f>COUNTIFS(Coverage!$D:$D,$A29,Coverage!$J:$J,"N/A")</f>
        <v>0</v>
      </c>
      <c r="L29" s="6">
        <f>COUNTIFS(Coverage!$D:$D,$A29,Coverage!$J:$J,"Not tested")</f>
        <v>0</v>
      </c>
      <c r="M29" s="6">
        <f>COUNTIF(Bugs!$V:$V,$A29)</f>
        <v>1</v>
      </c>
      <c r="N29" s="5"/>
    </row>
    <row r="30" spans="1:14">
      <c r="A30" s="5" t="s">
        <v>2999</v>
      </c>
      <c r="B30" s="5" t="s">
        <v>279</v>
      </c>
      <c r="C30" s="5" t="s">
        <v>1365</v>
      </c>
      <c r="D30" s="5" t="s">
        <v>2998</v>
      </c>
      <c r="E30" s="5" t="s">
        <v>3300</v>
      </c>
      <c r="F30" s="16" t="s">
        <v>3274</v>
      </c>
      <c r="G30" s="6">
        <f>COUNTIF(Coverage!$D:$D,$A30)</f>
        <v>7</v>
      </c>
      <c r="H30" s="6">
        <f>COUNTIFS(Coverage!$D:$D,$A30,Coverage!$J:$J,"Pass")</f>
        <v>4</v>
      </c>
      <c r="I30" s="6">
        <f>COUNTIFS(Coverage!$D:$D,$A30,Coverage!$J:$J,"Fail")</f>
        <v>1</v>
      </c>
      <c r="J30" s="6">
        <f>COUNTIFS(Coverage!$D:$D,$A30,Coverage!$J:$J,"Blocked")</f>
        <v>2</v>
      </c>
      <c r="K30" s="6">
        <f>COUNTIFS(Coverage!$D:$D,$A30,Coverage!$J:$J,"N/A")</f>
        <v>0</v>
      </c>
      <c r="L30" s="6">
        <f>COUNTIFS(Coverage!$D:$D,$A30,Coverage!$J:$J,"Not tested")</f>
        <v>0</v>
      </c>
      <c r="M30" s="6">
        <f>COUNTIF(Bugs!$V:$V,$A30)</f>
        <v>0</v>
      </c>
      <c r="N30" s="5"/>
    </row>
    <row r="31" spans="1:14">
      <c r="A31" s="5" t="s">
        <v>3024</v>
      </c>
      <c r="B31" s="5" t="s">
        <v>279</v>
      </c>
      <c r="C31" s="5" t="s">
        <v>1365</v>
      </c>
      <c r="D31" s="5" t="s">
        <v>3023</v>
      </c>
      <c r="E31" s="5" t="s">
        <v>3301</v>
      </c>
      <c r="F31" s="16" t="s">
        <v>3274</v>
      </c>
      <c r="G31" s="6">
        <f>COUNTIF(Coverage!$D:$D,$A31)</f>
        <v>4</v>
      </c>
      <c r="H31" s="6">
        <f>COUNTIFS(Coverage!$D:$D,$A31,Coverage!$J:$J,"Pass")</f>
        <v>3</v>
      </c>
      <c r="I31" s="6">
        <f>COUNTIFS(Coverage!$D:$D,$A31,Coverage!$J:$J,"Fail")</f>
        <v>1</v>
      </c>
      <c r="J31" s="6">
        <f>COUNTIFS(Coverage!$D:$D,$A31,Coverage!$J:$J,"Blocked")</f>
        <v>0</v>
      </c>
      <c r="K31" s="6">
        <f>COUNTIFS(Coverage!$D:$D,$A31,Coverage!$J:$J,"N/A")</f>
        <v>0</v>
      </c>
      <c r="L31" s="6">
        <f>COUNTIFS(Coverage!$D:$D,$A31,Coverage!$J:$J,"Not tested")</f>
        <v>0</v>
      </c>
      <c r="M31" s="6">
        <f>COUNTIF(Bugs!$V:$V,$A31)</f>
        <v>0</v>
      </c>
      <c r="N31" s="5"/>
    </row>
    <row r="32" spans="1:14">
      <c r="A32" s="5" t="s">
        <v>1393</v>
      </c>
      <c r="B32" s="5" t="s">
        <v>279</v>
      </c>
      <c r="C32" s="5" t="s">
        <v>1381</v>
      </c>
      <c r="D32" s="5" t="s">
        <v>1382</v>
      </c>
      <c r="E32" s="5" t="s">
        <v>3302</v>
      </c>
      <c r="F32" s="16" t="s">
        <v>3274</v>
      </c>
      <c r="G32" s="6">
        <f>COUNTIF(Coverage!$D:$D,$A32)</f>
        <v>10</v>
      </c>
      <c r="H32" s="6">
        <f>COUNTIFS(Coverage!$D:$D,$A32,Coverage!$J:$J,"Pass")</f>
        <v>6</v>
      </c>
      <c r="I32" s="6">
        <f>COUNTIFS(Coverage!$D:$D,$A32,Coverage!$J:$J,"Fail")</f>
        <v>2</v>
      </c>
      <c r="J32" s="6">
        <f>COUNTIFS(Coverage!$D:$D,$A32,Coverage!$J:$J,"Blocked")</f>
        <v>2</v>
      </c>
      <c r="K32" s="6">
        <f>COUNTIFS(Coverage!$D:$D,$A32,Coverage!$J:$J,"N/A")</f>
        <v>0</v>
      </c>
      <c r="L32" s="6">
        <f>COUNTIFS(Coverage!$D:$D,$A32,Coverage!$J:$J,"Not tested")</f>
        <v>0</v>
      </c>
      <c r="M32" s="6">
        <f>COUNTIF(Bugs!$V:$V,$A32)</f>
        <v>3</v>
      </c>
      <c r="N32" s="5"/>
    </row>
    <row r="33" spans="1:14">
      <c r="A33" s="5" t="s">
        <v>1440</v>
      </c>
      <c r="B33" s="5" t="s">
        <v>279</v>
      </c>
      <c r="C33" s="5" t="s">
        <v>1381</v>
      </c>
      <c r="D33" s="5" t="s">
        <v>1430</v>
      </c>
      <c r="E33" s="5" t="s">
        <v>3303</v>
      </c>
      <c r="F33" s="16" t="s">
        <v>3274</v>
      </c>
      <c r="G33" s="6">
        <f>COUNTIF(Coverage!$D:$D,$A33)</f>
        <v>11</v>
      </c>
      <c r="H33" s="6">
        <f>COUNTIFS(Coverage!$D:$D,$A33,Coverage!$J:$J,"Pass")</f>
        <v>6</v>
      </c>
      <c r="I33" s="6">
        <f>COUNTIFS(Coverage!$D:$D,$A33,Coverage!$J:$J,"Fail")</f>
        <v>0</v>
      </c>
      <c r="J33" s="6">
        <f>COUNTIFS(Coverage!$D:$D,$A33,Coverage!$J:$J,"Blocked")</f>
        <v>5</v>
      </c>
      <c r="K33" s="6">
        <f>COUNTIFS(Coverage!$D:$D,$A33,Coverage!$J:$J,"N/A")</f>
        <v>0</v>
      </c>
      <c r="L33" s="6">
        <f>COUNTIFS(Coverage!$D:$D,$A33,Coverage!$J:$J,"Not tested")</f>
        <v>0</v>
      </c>
      <c r="M33" s="6">
        <f>COUNTIF(Bugs!$V:$V,$A33)</f>
        <v>1</v>
      </c>
      <c r="N33" s="5"/>
    </row>
    <row r="34" spans="1:14">
      <c r="A34" s="5" t="s">
        <v>1697</v>
      </c>
      <c r="B34" s="5" t="s">
        <v>279</v>
      </c>
      <c r="C34" s="5" t="s">
        <v>1457</v>
      </c>
      <c r="D34" s="5" t="s">
        <v>1457</v>
      </c>
      <c r="E34" s="5" t="s">
        <v>3304</v>
      </c>
      <c r="F34" s="16" t="s">
        <v>3274</v>
      </c>
      <c r="G34" s="6">
        <f>COUNTIF(Coverage!$D:$D,$A34)</f>
        <v>10</v>
      </c>
      <c r="H34" s="6">
        <f>COUNTIFS(Coverage!$D:$D,$A34,Coverage!$J:$J,"Pass")</f>
        <v>6</v>
      </c>
      <c r="I34" s="6">
        <f>COUNTIFS(Coverage!$D:$D,$A34,Coverage!$J:$J,"Fail")</f>
        <v>4</v>
      </c>
      <c r="J34" s="6">
        <f>COUNTIFS(Coverage!$D:$D,$A34,Coverage!$J:$J,"Blocked")</f>
        <v>0</v>
      </c>
      <c r="K34" s="6">
        <f>COUNTIFS(Coverage!$D:$D,$A34,Coverage!$J:$J,"N/A")</f>
        <v>0</v>
      </c>
      <c r="L34" s="6">
        <f>COUNTIFS(Coverage!$D:$D,$A34,Coverage!$J:$J,"Not tested")</f>
        <v>0</v>
      </c>
      <c r="M34" s="6">
        <f>COUNTIF(Bugs!$V:$V,$A34)</f>
        <v>1</v>
      </c>
      <c r="N34" s="5"/>
    </row>
    <row r="35" spans="1:14">
      <c r="A35" s="5" t="s">
        <v>1467</v>
      </c>
      <c r="B35" s="5" t="s">
        <v>279</v>
      </c>
      <c r="C35" s="5" t="s">
        <v>1457</v>
      </c>
      <c r="D35" s="5" t="s">
        <v>1458</v>
      </c>
      <c r="E35" s="5" t="s">
        <v>3305</v>
      </c>
      <c r="F35" s="16" t="s">
        <v>3274</v>
      </c>
      <c r="G35" s="6">
        <f>COUNTIF(Coverage!$D:$D,$A35)</f>
        <v>3</v>
      </c>
      <c r="H35" s="6">
        <f>COUNTIFS(Coverage!$D:$D,$A35,Coverage!$J:$J,"Pass")</f>
        <v>3</v>
      </c>
      <c r="I35" s="6">
        <f>COUNTIFS(Coverage!$D:$D,$A35,Coverage!$J:$J,"Fail")</f>
        <v>0</v>
      </c>
      <c r="J35" s="6">
        <f>COUNTIFS(Coverage!$D:$D,$A35,Coverage!$J:$J,"Blocked")</f>
        <v>0</v>
      </c>
      <c r="K35" s="6">
        <f>COUNTIFS(Coverage!$D:$D,$A35,Coverage!$J:$J,"N/A")</f>
        <v>0</v>
      </c>
      <c r="L35" s="6">
        <f>COUNTIFS(Coverage!$D:$D,$A35,Coverage!$J:$J,"Not tested")</f>
        <v>0</v>
      </c>
      <c r="M35" s="6">
        <f>COUNTIF(Bugs!$V:$V,$A35)</f>
        <v>1</v>
      </c>
      <c r="N35" s="5"/>
    </row>
    <row r="36" spans="1:14">
      <c r="A36" s="5" t="s">
        <v>1480</v>
      </c>
      <c r="B36" s="5" t="s">
        <v>279</v>
      </c>
      <c r="C36" s="5" t="s">
        <v>763</v>
      </c>
      <c r="D36" s="5" t="s">
        <v>1470</v>
      </c>
      <c r="E36" s="5" t="s">
        <v>3306</v>
      </c>
      <c r="F36" s="16" t="s">
        <v>3274</v>
      </c>
      <c r="G36" s="6">
        <f>COUNTIF(Coverage!$D:$D,$A36)</f>
        <v>10</v>
      </c>
      <c r="H36" s="6">
        <f>COUNTIFS(Coverage!$D:$D,$A36,Coverage!$J:$J,"Pass")</f>
        <v>7</v>
      </c>
      <c r="I36" s="6">
        <f>COUNTIFS(Coverage!$D:$D,$A36,Coverage!$J:$J,"Fail")</f>
        <v>3</v>
      </c>
      <c r="J36" s="6">
        <f>COUNTIFS(Coverage!$D:$D,$A36,Coverage!$J:$J,"Blocked")</f>
        <v>0</v>
      </c>
      <c r="K36" s="6">
        <f>COUNTIFS(Coverage!$D:$D,$A36,Coverage!$J:$J,"N/A")</f>
        <v>0</v>
      </c>
      <c r="L36" s="6">
        <f>COUNTIFS(Coverage!$D:$D,$A36,Coverage!$J:$J,"Not tested")</f>
        <v>0</v>
      </c>
      <c r="M36" s="6">
        <f>COUNTIF(Bugs!$V:$V,$A36)</f>
        <v>4</v>
      </c>
      <c r="N36" s="5"/>
    </row>
    <row r="37" spans="1:14">
      <c r="A37" s="5" t="s">
        <v>772</v>
      </c>
      <c r="B37" s="5" t="s">
        <v>279</v>
      </c>
      <c r="C37" s="5" t="s">
        <v>763</v>
      </c>
      <c r="D37" s="5" t="s">
        <v>764</v>
      </c>
      <c r="E37" s="5" t="s">
        <v>3307</v>
      </c>
      <c r="F37" s="16" t="s">
        <v>3274</v>
      </c>
      <c r="G37" s="6">
        <f>COUNTIF(Coverage!$D:$D,$A37)</f>
        <v>6</v>
      </c>
      <c r="H37" s="6">
        <f>COUNTIFS(Coverage!$D:$D,$A37,Coverage!$J:$J,"Pass")</f>
        <v>3</v>
      </c>
      <c r="I37" s="6">
        <f>COUNTIFS(Coverage!$D:$D,$A37,Coverage!$J:$J,"Fail")</f>
        <v>3</v>
      </c>
      <c r="J37" s="6">
        <f>COUNTIFS(Coverage!$D:$D,$A37,Coverage!$J:$J,"Blocked")</f>
        <v>0</v>
      </c>
      <c r="K37" s="6">
        <f>COUNTIFS(Coverage!$D:$D,$A37,Coverage!$J:$J,"N/A")</f>
        <v>0</v>
      </c>
      <c r="L37" s="6">
        <f>COUNTIFS(Coverage!$D:$D,$A37,Coverage!$J:$J,"Not tested")</f>
        <v>0</v>
      </c>
      <c r="M37" s="6">
        <f>COUNTIF(Bugs!$V:$V,$A37)</f>
        <v>5</v>
      </c>
      <c r="N37" s="5"/>
    </row>
    <row r="38" spans="1:14">
      <c r="A38" s="5" t="s">
        <v>1536</v>
      </c>
      <c r="B38" s="5" t="s">
        <v>279</v>
      </c>
      <c r="C38" s="5" t="s">
        <v>763</v>
      </c>
      <c r="D38" s="5" t="s">
        <v>1526</v>
      </c>
      <c r="E38" s="5" t="s">
        <v>3308</v>
      </c>
      <c r="F38" s="16" t="s">
        <v>3274</v>
      </c>
      <c r="G38" s="6">
        <f>COUNTIF(Coverage!$D:$D,$A38)</f>
        <v>6</v>
      </c>
      <c r="H38" s="6">
        <f>COUNTIFS(Coverage!$D:$D,$A38,Coverage!$J:$J,"Pass")</f>
        <v>4</v>
      </c>
      <c r="I38" s="6">
        <f>COUNTIFS(Coverage!$D:$D,$A38,Coverage!$J:$J,"Fail")</f>
        <v>1</v>
      </c>
      <c r="J38" s="6">
        <f>COUNTIFS(Coverage!$D:$D,$A38,Coverage!$J:$J,"Blocked")</f>
        <v>1</v>
      </c>
      <c r="K38" s="6">
        <f>COUNTIFS(Coverage!$D:$D,$A38,Coverage!$J:$J,"N/A")</f>
        <v>0</v>
      </c>
      <c r="L38" s="6">
        <f>COUNTIFS(Coverage!$D:$D,$A38,Coverage!$J:$J,"Not tested")</f>
        <v>0</v>
      </c>
      <c r="M38" s="6">
        <f>COUNTIF(Bugs!$V:$V,$A38)</f>
        <v>2</v>
      </c>
      <c r="N38" s="5"/>
    </row>
    <row r="39" spans="1:14">
      <c r="A39" s="5" t="s">
        <v>1557</v>
      </c>
      <c r="B39" s="5" t="s">
        <v>279</v>
      </c>
      <c r="C39" s="5" t="s">
        <v>763</v>
      </c>
      <c r="D39" s="5" t="s">
        <v>1548</v>
      </c>
      <c r="E39" s="5" t="s">
        <v>3309</v>
      </c>
      <c r="F39" s="16" t="s">
        <v>3274</v>
      </c>
      <c r="G39" s="6">
        <f>COUNTIF(Coverage!$D:$D,$A39)</f>
        <v>5</v>
      </c>
      <c r="H39" s="6">
        <f>COUNTIFS(Coverage!$D:$D,$A39,Coverage!$J:$J,"Pass")</f>
        <v>3</v>
      </c>
      <c r="I39" s="6">
        <f>COUNTIFS(Coverage!$D:$D,$A39,Coverage!$J:$J,"Fail")</f>
        <v>1</v>
      </c>
      <c r="J39" s="6">
        <f>COUNTIFS(Coverage!$D:$D,$A39,Coverage!$J:$J,"Blocked")</f>
        <v>1</v>
      </c>
      <c r="K39" s="6">
        <f>COUNTIFS(Coverage!$D:$D,$A39,Coverage!$J:$J,"N/A")</f>
        <v>0</v>
      </c>
      <c r="L39" s="6">
        <f>COUNTIFS(Coverage!$D:$D,$A39,Coverage!$J:$J,"Not tested")</f>
        <v>0</v>
      </c>
      <c r="M39" s="6">
        <f>COUNTIF(Bugs!$V:$V,$A39)</f>
        <v>1</v>
      </c>
      <c r="N39" s="5"/>
    </row>
    <row r="40" spans="1:14">
      <c r="A40" s="5" t="s">
        <v>784</v>
      </c>
      <c r="B40" s="5" t="s">
        <v>279</v>
      </c>
      <c r="C40" s="5" t="s">
        <v>763</v>
      </c>
      <c r="D40" s="5" t="s">
        <v>776</v>
      </c>
      <c r="E40" s="5" t="s">
        <v>3310</v>
      </c>
      <c r="F40" s="16" t="s">
        <v>3274</v>
      </c>
      <c r="G40" s="6">
        <f>COUNTIF(Coverage!$D:$D,$A40)</f>
        <v>4</v>
      </c>
      <c r="H40" s="6">
        <f>COUNTIFS(Coverage!$D:$D,$A40,Coverage!$J:$J,"Pass")</f>
        <v>2</v>
      </c>
      <c r="I40" s="6">
        <f>COUNTIFS(Coverage!$D:$D,$A40,Coverage!$J:$J,"Fail")</f>
        <v>2</v>
      </c>
      <c r="J40" s="6">
        <f>COUNTIFS(Coverage!$D:$D,$A40,Coverage!$J:$J,"Blocked")</f>
        <v>0</v>
      </c>
      <c r="K40" s="6">
        <f>COUNTIFS(Coverage!$D:$D,$A40,Coverage!$J:$J,"N/A")</f>
        <v>0</v>
      </c>
      <c r="L40" s="6">
        <f>COUNTIFS(Coverage!$D:$D,$A40,Coverage!$J:$J,"Not tested")</f>
        <v>0</v>
      </c>
      <c r="M40" s="6">
        <f>COUNTIF(Bugs!$V:$V,$A40)</f>
        <v>2</v>
      </c>
      <c r="N40" s="5"/>
    </row>
    <row r="41" spans="1:14">
      <c r="A41" s="5" t="s">
        <v>797</v>
      </c>
      <c r="B41" s="5" t="s">
        <v>279</v>
      </c>
      <c r="C41" s="5" t="s">
        <v>763</v>
      </c>
      <c r="D41" s="5" t="s">
        <v>788</v>
      </c>
      <c r="E41" s="5" t="s">
        <v>3311</v>
      </c>
      <c r="F41" s="16" t="s">
        <v>3274</v>
      </c>
      <c r="G41" s="6">
        <f>COUNTIF(Coverage!$D:$D,$A41)</f>
        <v>4</v>
      </c>
      <c r="H41" s="6">
        <f>COUNTIFS(Coverage!$D:$D,$A41,Coverage!$J:$J,"Pass")</f>
        <v>3</v>
      </c>
      <c r="I41" s="6">
        <f>COUNTIFS(Coverage!$D:$D,$A41,Coverage!$J:$J,"Fail")</f>
        <v>1</v>
      </c>
      <c r="J41" s="6">
        <f>COUNTIFS(Coverage!$D:$D,$A41,Coverage!$J:$J,"Blocked")</f>
        <v>0</v>
      </c>
      <c r="K41" s="6">
        <f>COUNTIFS(Coverage!$D:$D,$A41,Coverage!$J:$J,"N/A")</f>
        <v>0</v>
      </c>
      <c r="L41" s="6">
        <f>COUNTIFS(Coverage!$D:$D,$A41,Coverage!$J:$J,"Not tested")</f>
        <v>0</v>
      </c>
      <c r="M41" s="6">
        <f>COUNTIF(Bugs!$V:$V,$A41)</f>
        <v>1</v>
      </c>
      <c r="N41" s="5"/>
    </row>
    <row r="42" spans="1:14">
      <c r="A42" s="5" t="s">
        <v>1755</v>
      </c>
      <c r="B42" s="5" t="s">
        <v>1743</v>
      </c>
      <c r="C42" s="5" t="s">
        <v>1744</v>
      </c>
      <c r="D42" s="5" t="s">
        <v>1745</v>
      </c>
      <c r="E42" s="5" t="s">
        <v>1752</v>
      </c>
      <c r="F42" s="16" t="s">
        <v>3274</v>
      </c>
      <c r="G42" s="6">
        <f>COUNTIF(Coverage!$D:$D,$A42)</f>
        <v>3</v>
      </c>
      <c r="H42" s="6">
        <f>COUNTIFS(Coverage!$D:$D,$A42,Coverage!$J:$J,"Pass")</f>
        <v>2</v>
      </c>
      <c r="I42" s="6">
        <f>COUNTIFS(Coverage!$D:$D,$A42,Coverage!$J:$J,"Fail")</f>
        <v>1</v>
      </c>
      <c r="J42" s="6">
        <f>COUNTIFS(Coverage!$D:$D,$A42,Coverage!$J:$J,"Blocked")</f>
        <v>0</v>
      </c>
      <c r="K42" s="6">
        <f>COUNTIFS(Coverage!$D:$D,$A42,Coverage!$J:$J,"N/A")</f>
        <v>0</v>
      </c>
      <c r="L42" s="6">
        <f>COUNTIFS(Coverage!$D:$D,$A42,Coverage!$J:$J,"Not tested")</f>
        <v>0</v>
      </c>
      <c r="M42" s="6">
        <f>COUNTIF(Bugs!$V:$V,$A42)</f>
        <v>1</v>
      </c>
      <c r="N42" s="5" t="s">
        <v>3312</v>
      </c>
    </row>
  </sheetData>
  <autoFilter ref="A1:N42"/>
  <pageMargins left="0.7" right="0.7" top="0.75" bottom="0.75" header="0.3" footer="0.3"/>
  <pageSetup paperSize="9" fitToHeight="0" orientation="landscape"/>
</worksheet>
</file>

<file path=xl/worksheets/sheet5.xml><?xml version="1.0" encoding="utf-8"?>
<worksheet xmlns="http://schemas.openxmlformats.org/spreadsheetml/2006/main" xmlns:r="http://schemas.openxmlformats.org/officeDocument/2006/relationships">
  <sheetPr>
    <pageSetUpPr fitToPage="1"/>
  </sheetPr>
  <dimension ref="A1:G15"/>
  <sheetViews>
    <sheetView workbookViewId="0">
      <pane ySplit="1" topLeftCell="A2" activePane="bottomLeft" state="frozen"/>
      <selection pane="bottomLeft"/>
    </sheetView>
  </sheetViews>
  <sheetFormatPr defaultRowHeight="15"/>
  <cols>
    <col min="1" max="1" width="9.7109375" customWidth="1"/>
    <col min="2" max="2" width="36.7109375" customWidth="1"/>
    <col min="3" max="3" width="11.7109375" customWidth="1"/>
    <col min="4" max="4" width="70.7109375" customWidth="1"/>
    <col min="5" max="5" width="40.7109375" customWidth="1"/>
    <col min="6" max="6" width="16.7109375" customWidth="1"/>
    <col min="7" max="7" width="6.7109375" customWidth="1"/>
  </cols>
  <sheetData>
    <row r="1" spans="1:7">
      <c r="A1" s="12" t="s">
        <v>3313</v>
      </c>
      <c r="B1" s="12" t="s">
        <v>3314</v>
      </c>
      <c r="C1" s="12" t="s">
        <v>1847</v>
      </c>
      <c r="D1" s="12" t="s">
        <v>3315</v>
      </c>
      <c r="E1" s="12" t="s">
        <v>1849</v>
      </c>
      <c r="F1" s="12" t="s">
        <v>1850</v>
      </c>
      <c r="G1" s="12" t="s">
        <v>20</v>
      </c>
    </row>
    <row r="2" spans="1:7">
      <c r="A2" s="5" t="s">
        <v>3316</v>
      </c>
      <c r="B2" s="5" t="s">
        <v>3317</v>
      </c>
      <c r="C2" s="17" t="s">
        <v>1858</v>
      </c>
      <c r="D2" s="5" t="s">
        <v>3318</v>
      </c>
      <c r="E2" s="5"/>
      <c r="F2" s="5" t="s">
        <v>3319</v>
      </c>
      <c r="G2" s="5" t="s">
        <v>47</v>
      </c>
    </row>
    <row r="3" spans="1:7">
      <c r="A3" s="5" t="s">
        <v>3320</v>
      </c>
      <c r="B3" s="5" t="s">
        <v>3321</v>
      </c>
      <c r="C3" s="17" t="s">
        <v>1858</v>
      </c>
      <c r="D3" s="5" t="s">
        <v>3322</v>
      </c>
      <c r="E3" s="5"/>
      <c r="F3" s="5" t="s">
        <v>67</v>
      </c>
      <c r="G3" s="5" t="s">
        <v>47</v>
      </c>
    </row>
    <row r="4" spans="1:7">
      <c r="A4" s="5" t="s">
        <v>3323</v>
      </c>
      <c r="B4" s="5" t="s">
        <v>3324</v>
      </c>
      <c r="C4" s="17" t="s">
        <v>1858</v>
      </c>
      <c r="D4" s="5" t="s">
        <v>3325</v>
      </c>
      <c r="E4" s="5"/>
      <c r="F4" s="5" t="s">
        <v>3326</v>
      </c>
      <c r="G4" s="5" t="s">
        <v>47</v>
      </c>
    </row>
    <row r="5" spans="1:7">
      <c r="A5" s="5" t="s">
        <v>3327</v>
      </c>
      <c r="B5" s="5" t="s">
        <v>3328</v>
      </c>
      <c r="C5" s="16" t="s">
        <v>1854</v>
      </c>
      <c r="D5" s="5" t="s">
        <v>3329</v>
      </c>
      <c r="E5" s="5"/>
      <c r="F5" s="5" t="s">
        <v>3330</v>
      </c>
      <c r="G5" s="5" t="s">
        <v>47</v>
      </c>
    </row>
    <row r="6" spans="1:7">
      <c r="A6" s="5" t="s">
        <v>3331</v>
      </c>
      <c r="B6" s="5" t="s">
        <v>3332</v>
      </c>
      <c r="C6" s="16" t="s">
        <v>1854</v>
      </c>
      <c r="D6" s="5" t="s">
        <v>3333</v>
      </c>
      <c r="E6" s="5"/>
      <c r="F6" s="5"/>
      <c r="G6" s="5" t="s">
        <v>47</v>
      </c>
    </row>
    <row r="7" spans="1:7">
      <c r="A7" s="5" t="s">
        <v>3334</v>
      </c>
      <c r="B7" s="5" t="s">
        <v>3335</v>
      </c>
      <c r="C7" s="17" t="s">
        <v>1858</v>
      </c>
      <c r="D7" s="5" t="s">
        <v>3336</v>
      </c>
      <c r="E7" s="5"/>
      <c r="F7" s="5" t="s">
        <v>3337</v>
      </c>
      <c r="G7" s="5" t="s">
        <v>47</v>
      </c>
    </row>
    <row r="8" spans="1:7">
      <c r="A8" s="5" t="s">
        <v>3338</v>
      </c>
      <c r="B8" s="5" t="s">
        <v>3339</v>
      </c>
      <c r="C8" s="16" t="s">
        <v>1854</v>
      </c>
      <c r="D8" s="5" t="s">
        <v>3340</v>
      </c>
      <c r="E8" s="5"/>
      <c r="F8" s="5" t="s">
        <v>3341</v>
      </c>
      <c r="G8" s="5" t="s">
        <v>47</v>
      </c>
    </row>
    <row r="9" spans="1:7">
      <c r="A9" s="5" t="s">
        <v>3342</v>
      </c>
      <c r="B9" s="5" t="s">
        <v>3343</v>
      </c>
      <c r="C9" s="16" t="s">
        <v>1854</v>
      </c>
      <c r="D9" s="5" t="s">
        <v>3344</v>
      </c>
      <c r="E9" s="5"/>
      <c r="F9" s="5" t="s">
        <v>102</v>
      </c>
      <c r="G9" s="5" t="s">
        <v>47</v>
      </c>
    </row>
    <row r="10" spans="1:7">
      <c r="A10" s="5" t="s">
        <v>3345</v>
      </c>
      <c r="B10" s="5" t="s">
        <v>3346</v>
      </c>
      <c r="C10" s="17" t="s">
        <v>1858</v>
      </c>
      <c r="D10" s="5" t="s">
        <v>3347</v>
      </c>
      <c r="E10" s="5"/>
      <c r="F10" s="5" t="s">
        <v>3337</v>
      </c>
      <c r="G10" s="5" t="s">
        <v>47</v>
      </c>
    </row>
    <row r="11" spans="1:7">
      <c r="A11" s="5" t="s">
        <v>3348</v>
      </c>
      <c r="B11" s="5" t="s">
        <v>3349</v>
      </c>
      <c r="C11" s="16" t="s">
        <v>1854</v>
      </c>
      <c r="D11" s="5" t="s">
        <v>3350</v>
      </c>
      <c r="E11" s="5"/>
      <c r="F11" s="5" t="s">
        <v>3351</v>
      </c>
      <c r="G11" s="5" t="s">
        <v>47</v>
      </c>
    </row>
    <row r="12" spans="1:7">
      <c r="A12" s="5" t="s">
        <v>3352</v>
      </c>
      <c r="B12" s="5" t="s">
        <v>3353</v>
      </c>
      <c r="C12" s="16" t="s">
        <v>1854</v>
      </c>
      <c r="D12" s="5" t="s">
        <v>3354</v>
      </c>
      <c r="E12" s="5"/>
      <c r="F12" s="5"/>
      <c r="G12" s="5" t="s">
        <v>291</v>
      </c>
    </row>
    <row r="13" spans="1:7">
      <c r="A13" s="5" t="s">
        <v>3355</v>
      </c>
      <c r="B13" s="5" t="s">
        <v>3356</v>
      </c>
      <c r="C13" s="17" t="s">
        <v>1858</v>
      </c>
      <c r="D13" s="5" t="s">
        <v>3357</v>
      </c>
      <c r="E13" s="5"/>
      <c r="F13" s="5" t="s">
        <v>3358</v>
      </c>
      <c r="G13" s="5" t="s">
        <v>291</v>
      </c>
    </row>
    <row r="14" spans="1:7">
      <c r="A14" s="5" t="s">
        <v>3359</v>
      </c>
      <c r="B14" s="5" t="s">
        <v>3360</v>
      </c>
      <c r="C14" s="17" t="s">
        <v>1858</v>
      </c>
      <c r="D14" s="5" t="s">
        <v>3361</v>
      </c>
      <c r="E14" s="5"/>
      <c r="F14" s="5" t="s">
        <v>3362</v>
      </c>
      <c r="G14" s="5" t="s">
        <v>291</v>
      </c>
    </row>
    <row r="15" spans="1:7">
      <c r="A15" s="5" t="s">
        <v>3363</v>
      </c>
      <c r="B15" s="5" t="s">
        <v>3364</v>
      </c>
      <c r="C15" s="17" t="s">
        <v>1858</v>
      </c>
      <c r="D15" s="5" t="s">
        <v>3365</v>
      </c>
      <c r="E15" s="5"/>
      <c r="F15" s="5" t="s">
        <v>3366</v>
      </c>
      <c r="G15" s="5" t="s">
        <v>291</v>
      </c>
    </row>
  </sheetData>
  <pageMargins left="0.7" right="0.7" top="0.75" bottom="0.75" header="0.3" footer="0.3"/>
  <pageSetup paperSize="9" fitToHeight="0" orientation="landscape"/>
</worksheet>
</file>

<file path=xl/worksheets/sheet6.xml><?xml version="1.0" encoding="utf-8"?>
<worksheet xmlns="http://schemas.openxmlformats.org/spreadsheetml/2006/main" xmlns:r="http://schemas.openxmlformats.org/officeDocument/2006/relationships">
  <sheetPr>
    <pageSetUpPr fitToPage="1"/>
  </sheetPr>
  <dimension ref="A1:G73"/>
  <sheetViews>
    <sheetView workbookViewId="0">
      <pane ySplit="1" topLeftCell="A2" activePane="bottomLeft" state="frozen"/>
      <selection pane="bottomLeft"/>
    </sheetView>
  </sheetViews>
  <sheetFormatPr defaultRowHeight="15"/>
  <cols>
    <col min="1" max="1" width="8.7109375" customWidth="1"/>
    <col min="2" max="2" width="18.7109375" customWidth="1"/>
    <col min="3" max="3" width="28.7109375" customWidth="1"/>
    <col min="4" max="4" width="34.7109375" customWidth="1"/>
    <col min="5" max="5" width="16.7109375" customWidth="1"/>
    <col min="6" max="6" width="45.7109375" customWidth="1"/>
    <col min="7" max="7" width="6.7109375" customWidth="1"/>
  </cols>
  <sheetData>
    <row r="1" spans="1:7">
      <c r="A1" s="12" t="s">
        <v>3367</v>
      </c>
      <c r="B1" s="12" t="s">
        <v>3368</v>
      </c>
      <c r="C1" s="12" t="s">
        <v>3369</v>
      </c>
      <c r="D1" s="12" t="s">
        <v>3370</v>
      </c>
      <c r="E1" s="12" t="s">
        <v>3371</v>
      </c>
      <c r="F1" s="12" t="s">
        <v>1849</v>
      </c>
      <c r="G1" s="12" t="s">
        <v>20</v>
      </c>
    </row>
    <row r="2" spans="1:7">
      <c r="A2" s="5" t="s">
        <v>3372</v>
      </c>
      <c r="B2" s="5" t="s">
        <v>3373</v>
      </c>
      <c r="C2" s="5" t="s">
        <v>3374</v>
      </c>
      <c r="D2" s="5" t="s">
        <v>3375</v>
      </c>
      <c r="E2" s="5" t="s">
        <v>3376</v>
      </c>
      <c r="F2" s="5" t="s">
        <v>3377</v>
      </c>
      <c r="G2" s="5" t="s">
        <v>47</v>
      </c>
    </row>
    <row r="3" spans="1:7">
      <c r="A3" s="5" t="s">
        <v>3378</v>
      </c>
      <c r="B3" s="5" t="s">
        <v>3379</v>
      </c>
      <c r="C3" s="5" t="s">
        <v>3380</v>
      </c>
      <c r="D3" s="5" t="s">
        <v>3375</v>
      </c>
      <c r="E3" s="5" t="s">
        <v>3376</v>
      </c>
      <c r="F3" s="5" t="s">
        <v>3381</v>
      </c>
      <c r="G3" s="5" t="s">
        <v>47</v>
      </c>
    </row>
    <row r="4" spans="1:7">
      <c r="A4" s="5" t="s">
        <v>3382</v>
      </c>
      <c r="B4" s="5" t="s">
        <v>3383</v>
      </c>
      <c r="C4" s="5" t="s">
        <v>3384</v>
      </c>
      <c r="D4" s="5" t="s">
        <v>3375</v>
      </c>
      <c r="E4" s="5" t="s">
        <v>3376</v>
      </c>
      <c r="F4" s="5" t="s">
        <v>3385</v>
      </c>
      <c r="G4" s="5" t="s">
        <v>47</v>
      </c>
    </row>
    <row r="5" spans="1:7">
      <c r="A5" s="5" t="s">
        <v>3386</v>
      </c>
      <c r="B5" s="5" t="s">
        <v>619</v>
      </c>
      <c r="C5" s="5" t="s">
        <v>3387</v>
      </c>
      <c r="D5" s="5" t="s">
        <v>936</v>
      </c>
      <c r="E5" s="5" t="s">
        <v>3388</v>
      </c>
      <c r="F5" s="5" t="s">
        <v>3389</v>
      </c>
      <c r="G5" s="5" t="s">
        <v>291</v>
      </c>
    </row>
    <row r="6" spans="1:7">
      <c r="A6" s="5" t="s">
        <v>3390</v>
      </c>
      <c r="B6" s="5" t="s">
        <v>3391</v>
      </c>
      <c r="C6" s="5" t="s">
        <v>3392</v>
      </c>
      <c r="D6" s="5" t="s">
        <v>923</v>
      </c>
      <c r="E6" s="5" t="s">
        <v>3388</v>
      </c>
      <c r="F6" s="5" t="s">
        <v>3393</v>
      </c>
      <c r="G6" s="5" t="s">
        <v>291</v>
      </c>
    </row>
    <row r="7" spans="1:7">
      <c r="A7" s="5" t="s">
        <v>3394</v>
      </c>
      <c r="B7" s="5" t="s">
        <v>3395</v>
      </c>
      <c r="C7" s="5" t="s">
        <v>3396</v>
      </c>
      <c r="D7" s="5" t="s">
        <v>3397</v>
      </c>
      <c r="E7" s="5" t="s">
        <v>3388</v>
      </c>
      <c r="F7" s="5" t="s">
        <v>3398</v>
      </c>
      <c r="G7" s="5" t="s">
        <v>291</v>
      </c>
    </row>
    <row r="8" spans="1:7">
      <c r="A8" s="5" t="s">
        <v>3399</v>
      </c>
      <c r="B8" s="5" t="s">
        <v>619</v>
      </c>
      <c r="C8" s="5" t="s">
        <v>3400</v>
      </c>
      <c r="D8" s="5" t="s">
        <v>936</v>
      </c>
      <c r="E8" s="5" t="s">
        <v>3401</v>
      </c>
      <c r="F8" s="5" t="s">
        <v>3402</v>
      </c>
      <c r="G8" s="5" t="s">
        <v>291</v>
      </c>
    </row>
    <row r="9" spans="1:7">
      <c r="A9" s="5" t="s">
        <v>3403</v>
      </c>
      <c r="B9" s="5" t="s">
        <v>619</v>
      </c>
      <c r="C9" s="5" t="s">
        <v>3404</v>
      </c>
      <c r="D9" s="5" t="s">
        <v>923</v>
      </c>
      <c r="E9" s="5" t="s">
        <v>3401</v>
      </c>
      <c r="F9" s="5" t="s">
        <v>3405</v>
      </c>
      <c r="G9" s="5" t="s">
        <v>291</v>
      </c>
    </row>
    <row r="10" spans="1:7">
      <c r="A10" s="5" t="s">
        <v>3406</v>
      </c>
      <c r="B10" s="5" t="s">
        <v>3407</v>
      </c>
      <c r="C10" s="5" t="s">
        <v>3408</v>
      </c>
      <c r="D10" s="5" t="s">
        <v>3409</v>
      </c>
      <c r="E10" s="5" t="s">
        <v>3388</v>
      </c>
      <c r="F10" s="5" t="s">
        <v>3410</v>
      </c>
      <c r="G10" s="5" t="s">
        <v>291</v>
      </c>
    </row>
    <row r="11" spans="1:7">
      <c r="A11" s="5" t="s">
        <v>3411</v>
      </c>
      <c r="B11" s="5" t="s">
        <v>3412</v>
      </c>
      <c r="C11" s="5" t="s">
        <v>3413</v>
      </c>
      <c r="D11" s="5" t="s">
        <v>3409</v>
      </c>
      <c r="E11" s="5" t="s">
        <v>3401</v>
      </c>
      <c r="F11" s="5" t="s">
        <v>3414</v>
      </c>
      <c r="G11" s="5" t="s">
        <v>291</v>
      </c>
    </row>
    <row r="12" spans="1:7">
      <c r="A12" s="5" t="s">
        <v>3415</v>
      </c>
      <c r="B12" s="5" t="s">
        <v>3412</v>
      </c>
      <c r="C12" s="5" t="s">
        <v>3416</v>
      </c>
      <c r="D12" s="5" t="s">
        <v>3409</v>
      </c>
      <c r="E12" s="5" t="s">
        <v>3401</v>
      </c>
      <c r="F12" s="5" t="s">
        <v>3417</v>
      </c>
      <c r="G12" s="5" t="s">
        <v>291</v>
      </c>
    </row>
    <row r="13" spans="1:7">
      <c r="A13" s="5" t="s">
        <v>3418</v>
      </c>
      <c r="B13" s="5" t="s">
        <v>3391</v>
      </c>
      <c r="C13" s="5" t="s">
        <v>3419</v>
      </c>
      <c r="D13" s="5"/>
      <c r="E13" s="5" t="s">
        <v>3388</v>
      </c>
      <c r="F13" s="5" t="s">
        <v>3420</v>
      </c>
      <c r="G13" s="5" t="s">
        <v>627</v>
      </c>
    </row>
    <row r="14" spans="1:7">
      <c r="A14" s="5" t="s">
        <v>3421</v>
      </c>
      <c r="B14" s="5" t="s">
        <v>3407</v>
      </c>
      <c r="C14" s="5" t="s">
        <v>3422</v>
      </c>
      <c r="D14" s="5"/>
      <c r="E14" s="5" t="s">
        <v>3388</v>
      </c>
      <c r="F14" s="5" t="s">
        <v>3423</v>
      </c>
      <c r="G14" s="5" t="s">
        <v>627</v>
      </c>
    </row>
    <row r="15" spans="1:7">
      <c r="A15" s="5" t="s">
        <v>3424</v>
      </c>
      <c r="B15" s="5" t="s">
        <v>3425</v>
      </c>
      <c r="C15" s="5" t="s">
        <v>3426</v>
      </c>
      <c r="D15" s="5"/>
      <c r="E15" s="5" t="s">
        <v>3376</v>
      </c>
      <c r="F15" s="5" t="s">
        <v>3427</v>
      </c>
      <c r="G15" s="5" t="s">
        <v>627</v>
      </c>
    </row>
    <row r="16" spans="1:7">
      <c r="A16" s="5" t="s">
        <v>3428</v>
      </c>
      <c r="B16" s="5" t="s">
        <v>619</v>
      </c>
      <c r="C16" s="5" t="s">
        <v>3429</v>
      </c>
      <c r="D16" s="5"/>
      <c r="E16" s="5" t="s">
        <v>3388</v>
      </c>
      <c r="F16" s="5" t="s">
        <v>3430</v>
      </c>
      <c r="G16" s="5" t="s">
        <v>641</v>
      </c>
    </row>
    <row r="17" spans="1:7">
      <c r="A17" s="5" t="s">
        <v>3431</v>
      </c>
      <c r="B17" s="5" t="s">
        <v>3391</v>
      </c>
      <c r="C17" s="5" t="s">
        <v>3432</v>
      </c>
      <c r="D17" s="5"/>
      <c r="E17" s="5" t="s">
        <v>3388</v>
      </c>
      <c r="F17" s="5" t="s">
        <v>3433</v>
      </c>
      <c r="G17" s="5" t="s">
        <v>641</v>
      </c>
    </row>
    <row r="18" spans="1:7">
      <c r="A18" s="5" t="s">
        <v>3434</v>
      </c>
      <c r="B18" s="5" t="s">
        <v>3395</v>
      </c>
      <c r="C18" s="5" t="s">
        <v>3435</v>
      </c>
      <c r="D18" s="5"/>
      <c r="E18" s="5" t="s">
        <v>3388</v>
      </c>
      <c r="F18" s="5" t="s">
        <v>3436</v>
      </c>
      <c r="G18" s="5" t="s">
        <v>641</v>
      </c>
    </row>
    <row r="19" spans="1:7">
      <c r="A19" s="5" t="s">
        <v>3437</v>
      </c>
      <c r="B19" s="5" t="s">
        <v>3438</v>
      </c>
      <c r="C19" s="5" t="s">
        <v>3439</v>
      </c>
      <c r="D19" s="5"/>
      <c r="E19" s="5" t="s">
        <v>3388</v>
      </c>
      <c r="F19" s="5" t="s">
        <v>3440</v>
      </c>
      <c r="G19" s="5" t="s">
        <v>641</v>
      </c>
    </row>
    <row r="20" spans="1:7">
      <c r="A20" s="5" t="s">
        <v>3441</v>
      </c>
      <c r="B20" s="5" t="s">
        <v>3442</v>
      </c>
      <c r="C20" s="5" t="s">
        <v>3443</v>
      </c>
      <c r="D20" s="5"/>
      <c r="E20" s="5" t="s">
        <v>3388</v>
      </c>
      <c r="F20" s="5" t="s">
        <v>3444</v>
      </c>
      <c r="G20" s="5" t="s">
        <v>641</v>
      </c>
    </row>
    <row r="21" spans="1:7">
      <c r="A21" s="5" t="s">
        <v>3445</v>
      </c>
      <c r="B21" s="5" t="s">
        <v>3446</v>
      </c>
      <c r="C21" s="5" t="s">
        <v>3447</v>
      </c>
      <c r="D21" s="5" t="s">
        <v>3375</v>
      </c>
      <c r="E21" s="5" t="s">
        <v>3376</v>
      </c>
      <c r="F21" s="5" t="s">
        <v>3448</v>
      </c>
      <c r="G21" s="5" t="s">
        <v>811</v>
      </c>
    </row>
    <row r="22" spans="1:7">
      <c r="A22" s="5" t="s">
        <v>3449</v>
      </c>
      <c r="B22" s="5" t="s">
        <v>3450</v>
      </c>
      <c r="C22" s="5" t="s">
        <v>3451</v>
      </c>
      <c r="D22" s="5" t="s">
        <v>3375</v>
      </c>
      <c r="E22" s="5" t="s">
        <v>3376</v>
      </c>
      <c r="F22" s="5" t="s">
        <v>3452</v>
      </c>
      <c r="G22" s="5" t="s">
        <v>811</v>
      </c>
    </row>
    <row r="23" spans="1:7">
      <c r="A23" s="5" t="s">
        <v>3453</v>
      </c>
      <c r="B23" s="5" t="s">
        <v>619</v>
      </c>
      <c r="C23" s="5" t="s">
        <v>3454</v>
      </c>
      <c r="D23" s="5" t="s">
        <v>3455</v>
      </c>
      <c r="E23" s="5" t="s">
        <v>3388</v>
      </c>
      <c r="F23" s="5" t="s">
        <v>3456</v>
      </c>
      <c r="G23" s="5" t="s">
        <v>811</v>
      </c>
    </row>
    <row r="24" spans="1:7">
      <c r="A24" s="5" t="s">
        <v>3457</v>
      </c>
      <c r="B24" s="5" t="s">
        <v>619</v>
      </c>
      <c r="C24" s="5" t="s">
        <v>3458</v>
      </c>
      <c r="D24" s="5" t="s">
        <v>3455</v>
      </c>
      <c r="E24" s="5" t="s">
        <v>3388</v>
      </c>
      <c r="F24" s="5" t="s">
        <v>3459</v>
      </c>
      <c r="G24" s="5" t="s">
        <v>811</v>
      </c>
    </row>
    <row r="25" spans="1:7">
      <c r="A25" s="5" t="s">
        <v>3460</v>
      </c>
      <c r="B25" s="5" t="s">
        <v>3391</v>
      </c>
      <c r="C25" s="5" t="s">
        <v>3461</v>
      </c>
      <c r="D25" s="5" t="s">
        <v>923</v>
      </c>
      <c r="E25" s="5" t="s">
        <v>3388</v>
      </c>
      <c r="F25" s="5" t="s">
        <v>3462</v>
      </c>
      <c r="G25" s="5" t="s">
        <v>811</v>
      </c>
    </row>
    <row r="26" spans="1:7">
      <c r="A26" s="5" t="s">
        <v>3463</v>
      </c>
      <c r="B26" s="5" t="s">
        <v>3464</v>
      </c>
      <c r="C26" s="5" t="s">
        <v>3465</v>
      </c>
      <c r="D26" s="5" t="s">
        <v>3466</v>
      </c>
      <c r="E26" s="5" t="s">
        <v>3388</v>
      </c>
      <c r="F26" s="5" t="s">
        <v>3467</v>
      </c>
      <c r="G26" s="5" t="s">
        <v>811</v>
      </c>
    </row>
    <row r="27" spans="1:7">
      <c r="A27" s="5" t="s">
        <v>3468</v>
      </c>
      <c r="B27" s="5" t="s">
        <v>3469</v>
      </c>
      <c r="C27" s="5" t="s">
        <v>3470</v>
      </c>
      <c r="D27" s="5" t="s">
        <v>1119</v>
      </c>
      <c r="E27" s="5" t="s">
        <v>3388</v>
      </c>
      <c r="F27" s="5" t="s">
        <v>3471</v>
      </c>
      <c r="G27" s="5" t="s">
        <v>811</v>
      </c>
    </row>
    <row r="28" spans="1:7">
      <c r="A28" s="5" t="s">
        <v>3472</v>
      </c>
      <c r="B28" s="5" t="s">
        <v>3473</v>
      </c>
      <c r="C28" s="5" t="s">
        <v>3474</v>
      </c>
      <c r="D28" s="5" t="s">
        <v>1119</v>
      </c>
      <c r="E28" s="5" t="s">
        <v>3401</v>
      </c>
      <c r="F28" s="5" t="s">
        <v>3475</v>
      </c>
      <c r="G28" s="5" t="s">
        <v>811</v>
      </c>
    </row>
    <row r="29" spans="1:7">
      <c r="A29" s="5" t="s">
        <v>3476</v>
      </c>
      <c r="B29" s="5" t="s">
        <v>3477</v>
      </c>
      <c r="C29" s="5" t="s">
        <v>3478</v>
      </c>
      <c r="D29" s="5" t="s">
        <v>3479</v>
      </c>
      <c r="E29" s="5" t="s">
        <v>3388</v>
      </c>
      <c r="F29" s="5" t="s">
        <v>3480</v>
      </c>
      <c r="G29" s="5" t="s">
        <v>811</v>
      </c>
    </row>
    <row r="30" spans="1:7">
      <c r="A30" s="5" t="s">
        <v>3481</v>
      </c>
      <c r="B30" s="5" t="s">
        <v>3482</v>
      </c>
      <c r="C30" s="5" t="s">
        <v>3483</v>
      </c>
      <c r="D30" s="5" t="s">
        <v>3484</v>
      </c>
      <c r="E30" s="5" t="s">
        <v>3388</v>
      </c>
      <c r="F30" s="5" t="s">
        <v>3485</v>
      </c>
      <c r="G30" s="5" t="s">
        <v>811</v>
      </c>
    </row>
    <row r="31" spans="1:7">
      <c r="A31" s="5" t="s">
        <v>3486</v>
      </c>
      <c r="B31" s="5" t="s">
        <v>3438</v>
      </c>
      <c r="C31" s="5" t="s">
        <v>3487</v>
      </c>
      <c r="D31" s="5" t="s">
        <v>3488</v>
      </c>
      <c r="E31" s="5" t="s">
        <v>3388</v>
      </c>
      <c r="F31" s="5" t="s">
        <v>3489</v>
      </c>
      <c r="G31" s="5" t="s">
        <v>811</v>
      </c>
    </row>
    <row r="32" spans="1:7">
      <c r="A32" s="5" t="s">
        <v>3490</v>
      </c>
      <c r="B32" s="5" t="s">
        <v>3491</v>
      </c>
      <c r="C32" s="5" t="s">
        <v>3492</v>
      </c>
      <c r="D32" s="5" t="s">
        <v>3488</v>
      </c>
      <c r="E32" s="5" t="s">
        <v>3388</v>
      </c>
      <c r="F32" s="5" t="s">
        <v>3493</v>
      </c>
      <c r="G32" s="5" t="s">
        <v>811</v>
      </c>
    </row>
    <row r="33" spans="1:7">
      <c r="A33" s="5" t="s">
        <v>3494</v>
      </c>
      <c r="B33" s="5" t="s">
        <v>3495</v>
      </c>
      <c r="C33" s="5" t="s">
        <v>3496</v>
      </c>
      <c r="D33" s="5" t="s">
        <v>3497</v>
      </c>
      <c r="E33" s="5" t="s">
        <v>3388</v>
      </c>
      <c r="F33" s="5" t="s">
        <v>3498</v>
      </c>
      <c r="G33" s="5" t="s">
        <v>811</v>
      </c>
    </row>
    <row r="34" spans="1:7">
      <c r="A34" s="5" t="s">
        <v>3499</v>
      </c>
      <c r="B34" s="5" t="s">
        <v>3500</v>
      </c>
      <c r="C34" s="5" t="s">
        <v>3501</v>
      </c>
      <c r="D34" s="5" t="s">
        <v>3502</v>
      </c>
      <c r="E34" s="5" t="s">
        <v>3388</v>
      </c>
      <c r="F34" s="5" t="s">
        <v>3503</v>
      </c>
      <c r="G34" s="5" t="s">
        <v>811</v>
      </c>
    </row>
    <row r="35" spans="1:7">
      <c r="A35" s="5" t="s">
        <v>3504</v>
      </c>
      <c r="B35" s="5" t="s">
        <v>3505</v>
      </c>
      <c r="C35" s="5" t="s">
        <v>3506</v>
      </c>
      <c r="D35" s="5" t="s">
        <v>3507</v>
      </c>
      <c r="E35" s="5" t="s">
        <v>3388</v>
      </c>
      <c r="F35" s="5" t="s">
        <v>3508</v>
      </c>
      <c r="G35" s="5" t="s">
        <v>811</v>
      </c>
    </row>
    <row r="36" spans="1:7">
      <c r="A36" s="5" t="s">
        <v>3509</v>
      </c>
      <c r="B36" s="5" t="s">
        <v>3510</v>
      </c>
      <c r="C36" s="5" t="s">
        <v>3511</v>
      </c>
      <c r="D36" s="5" t="s">
        <v>1622</v>
      </c>
      <c r="E36" s="5" t="s">
        <v>3388</v>
      </c>
      <c r="F36" s="5" t="s">
        <v>3512</v>
      </c>
      <c r="G36" s="5" t="s">
        <v>811</v>
      </c>
    </row>
    <row r="37" spans="1:7">
      <c r="A37" s="5" t="s">
        <v>3513</v>
      </c>
      <c r="B37" s="5" t="s">
        <v>3514</v>
      </c>
      <c r="C37" s="5" t="s">
        <v>3515</v>
      </c>
      <c r="D37" s="5" t="s">
        <v>1622</v>
      </c>
      <c r="E37" s="5" t="s">
        <v>3388</v>
      </c>
      <c r="F37" s="5" t="s">
        <v>3516</v>
      </c>
      <c r="G37" s="5" t="s">
        <v>811</v>
      </c>
    </row>
    <row r="38" spans="1:7">
      <c r="A38" s="5" t="s">
        <v>3517</v>
      </c>
      <c r="B38" s="5" t="s">
        <v>3518</v>
      </c>
      <c r="C38" s="5" t="s">
        <v>3519</v>
      </c>
      <c r="D38" s="5" t="s">
        <v>1622</v>
      </c>
      <c r="E38" s="5" t="s">
        <v>3376</v>
      </c>
      <c r="F38" s="5" t="s">
        <v>3520</v>
      </c>
      <c r="G38" s="5" t="s">
        <v>811</v>
      </c>
    </row>
    <row r="39" spans="1:7">
      <c r="A39" s="5" t="s">
        <v>3521</v>
      </c>
      <c r="B39" s="5" t="s">
        <v>3522</v>
      </c>
      <c r="C39" s="5" t="s">
        <v>3523</v>
      </c>
      <c r="D39" s="5" t="s">
        <v>995</v>
      </c>
      <c r="E39" s="5" t="s">
        <v>3388</v>
      </c>
      <c r="F39" s="5" t="s">
        <v>3524</v>
      </c>
      <c r="G39" s="5" t="s">
        <v>811</v>
      </c>
    </row>
    <row r="40" spans="1:7">
      <c r="A40" s="5" t="s">
        <v>3525</v>
      </c>
      <c r="B40" s="5" t="s">
        <v>3526</v>
      </c>
      <c r="C40" s="5" t="s">
        <v>3527</v>
      </c>
      <c r="D40" s="5" t="s">
        <v>3375</v>
      </c>
      <c r="E40" s="5" t="s">
        <v>3376</v>
      </c>
      <c r="F40" s="5" t="s">
        <v>3528</v>
      </c>
      <c r="G40" s="5" t="s">
        <v>811</v>
      </c>
    </row>
    <row r="41" spans="1:7">
      <c r="A41" s="5" t="s">
        <v>3529</v>
      </c>
      <c r="B41" s="5" t="s">
        <v>3530</v>
      </c>
      <c r="C41" s="5" t="s">
        <v>3531</v>
      </c>
      <c r="D41" s="5" t="s">
        <v>3455</v>
      </c>
      <c r="E41" s="5" t="s">
        <v>3388</v>
      </c>
      <c r="F41" s="5" t="s">
        <v>3532</v>
      </c>
      <c r="G41" s="5" t="s">
        <v>811</v>
      </c>
    </row>
    <row r="42" spans="1:7">
      <c r="A42" s="5" t="s">
        <v>3533</v>
      </c>
      <c r="B42" s="5" t="s">
        <v>3391</v>
      </c>
      <c r="C42" s="5" t="s">
        <v>3534</v>
      </c>
      <c r="D42" s="5" t="s">
        <v>923</v>
      </c>
      <c r="E42" s="5" t="s">
        <v>3388</v>
      </c>
      <c r="F42" s="5" t="s">
        <v>3535</v>
      </c>
      <c r="G42" s="5" t="s">
        <v>1654</v>
      </c>
    </row>
    <row r="43" spans="1:7">
      <c r="A43" s="5" t="s">
        <v>3536</v>
      </c>
      <c r="B43" s="5" t="s">
        <v>3395</v>
      </c>
      <c r="C43" s="5" t="s">
        <v>3537</v>
      </c>
      <c r="D43" s="5" t="s">
        <v>3397</v>
      </c>
      <c r="E43" s="5" t="s">
        <v>3388</v>
      </c>
      <c r="F43" s="5" t="s">
        <v>3538</v>
      </c>
      <c r="G43" s="5" t="s">
        <v>1654</v>
      </c>
    </row>
    <row r="44" spans="1:7">
      <c r="A44" s="5" t="s">
        <v>3539</v>
      </c>
      <c r="B44" s="5" t="s">
        <v>3407</v>
      </c>
      <c r="C44" s="5" t="s">
        <v>3540</v>
      </c>
      <c r="D44" s="5" t="s">
        <v>3409</v>
      </c>
      <c r="E44" s="5" t="s">
        <v>3388</v>
      </c>
      <c r="F44" s="5" t="s">
        <v>3541</v>
      </c>
      <c r="G44" s="5" t="s">
        <v>1654</v>
      </c>
    </row>
    <row r="45" spans="1:7">
      <c r="A45" s="5" t="s">
        <v>3542</v>
      </c>
      <c r="B45" s="5" t="s">
        <v>3469</v>
      </c>
      <c r="C45" s="5" t="s">
        <v>3543</v>
      </c>
      <c r="D45" s="5" t="s">
        <v>1119</v>
      </c>
      <c r="E45" s="5" t="s">
        <v>3388</v>
      </c>
      <c r="F45" s="5" t="s">
        <v>3544</v>
      </c>
      <c r="G45" s="5" t="s">
        <v>1654</v>
      </c>
    </row>
    <row r="46" spans="1:7">
      <c r="A46" s="5" t="s">
        <v>3545</v>
      </c>
      <c r="B46" s="5" t="s">
        <v>3482</v>
      </c>
      <c r="C46" s="5" t="s">
        <v>3546</v>
      </c>
      <c r="D46" s="5" t="s">
        <v>3484</v>
      </c>
      <c r="E46" s="5" t="s">
        <v>3388</v>
      </c>
      <c r="F46" s="5" t="s">
        <v>3547</v>
      </c>
      <c r="G46" s="5" t="s">
        <v>1654</v>
      </c>
    </row>
    <row r="47" spans="1:7">
      <c r="A47" s="5" t="s">
        <v>3548</v>
      </c>
      <c r="B47" s="5" t="s">
        <v>2672</v>
      </c>
      <c r="C47" s="5" t="s">
        <v>3549</v>
      </c>
      <c r="D47" s="5" t="s">
        <v>3488</v>
      </c>
      <c r="E47" s="5" t="s">
        <v>3388</v>
      </c>
      <c r="F47" s="5" t="s">
        <v>3550</v>
      </c>
      <c r="G47" s="5" t="s">
        <v>1654</v>
      </c>
    </row>
    <row r="48" spans="1:7">
      <c r="A48" s="5" t="s">
        <v>3551</v>
      </c>
      <c r="B48" s="5" t="s">
        <v>3438</v>
      </c>
      <c r="C48" s="5" t="s">
        <v>3552</v>
      </c>
      <c r="D48" s="5" t="s">
        <v>3488</v>
      </c>
      <c r="E48" s="5" t="s">
        <v>3388</v>
      </c>
      <c r="F48" s="5" t="s">
        <v>3553</v>
      </c>
      <c r="G48" s="5" t="s">
        <v>1654</v>
      </c>
    </row>
    <row r="49" spans="1:7">
      <c r="A49" s="5" t="s">
        <v>3554</v>
      </c>
      <c r="B49" s="5" t="s">
        <v>3510</v>
      </c>
      <c r="C49" s="5" t="s">
        <v>3555</v>
      </c>
      <c r="D49" s="5" t="s">
        <v>1622</v>
      </c>
      <c r="E49" s="5" t="s">
        <v>3388</v>
      </c>
      <c r="F49" s="5" t="s">
        <v>3556</v>
      </c>
      <c r="G49" s="5" t="s">
        <v>1654</v>
      </c>
    </row>
    <row r="50" spans="1:7">
      <c r="A50" s="5" t="s">
        <v>3557</v>
      </c>
      <c r="B50" s="5" t="s">
        <v>3495</v>
      </c>
      <c r="C50" s="5" t="s">
        <v>3558</v>
      </c>
      <c r="D50" s="5" t="s">
        <v>3497</v>
      </c>
      <c r="E50" s="5" t="s">
        <v>3388</v>
      </c>
      <c r="F50" s="5" t="s">
        <v>3559</v>
      </c>
      <c r="G50" s="5" t="s">
        <v>1654</v>
      </c>
    </row>
    <row r="51" spans="1:7">
      <c r="A51" s="5" t="s">
        <v>3560</v>
      </c>
      <c r="B51" s="5" t="s">
        <v>3505</v>
      </c>
      <c r="C51" s="5" t="s">
        <v>3561</v>
      </c>
      <c r="D51" s="5" t="s">
        <v>3507</v>
      </c>
      <c r="E51" s="5" t="s">
        <v>3388</v>
      </c>
      <c r="F51" s="5" t="s">
        <v>3562</v>
      </c>
      <c r="G51" s="5" t="s">
        <v>1654</v>
      </c>
    </row>
    <row r="52" spans="1:7">
      <c r="A52" s="5" t="s">
        <v>3563</v>
      </c>
      <c r="B52" s="5" t="s">
        <v>3500</v>
      </c>
      <c r="C52" s="5" t="s">
        <v>3564</v>
      </c>
      <c r="D52" s="5" t="s">
        <v>3502</v>
      </c>
      <c r="E52" s="5" t="s">
        <v>3388</v>
      </c>
      <c r="F52" s="5" t="s">
        <v>3565</v>
      </c>
      <c r="G52" s="5" t="s">
        <v>1654</v>
      </c>
    </row>
    <row r="53" spans="1:7">
      <c r="A53" s="5" t="s">
        <v>3566</v>
      </c>
      <c r="B53" s="5" t="s">
        <v>3567</v>
      </c>
      <c r="C53" s="5" t="s">
        <v>3568</v>
      </c>
      <c r="D53" s="5" t="s">
        <v>3479</v>
      </c>
      <c r="E53" s="5" t="s">
        <v>3388</v>
      </c>
      <c r="F53" s="5" t="s">
        <v>3569</v>
      </c>
      <c r="G53" s="5" t="s">
        <v>1654</v>
      </c>
    </row>
    <row r="54" spans="1:7">
      <c r="A54" s="5" t="s">
        <v>3570</v>
      </c>
      <c r="B54" s="5" t="s">
        <v>619</v>
      </c>
      <c r="C54" s="5" t="s">
        <v>3571</v>
      </c>
      <c r="D54" s="5" t="s">
        <v>3455</v>
      </c>
      <c r="E54" s="5" t="s">
        <v>3388</v>
      </c>
      <c r="F54" s="5" t="s">
        <v>3572</v>
      </c>
      <c r="G54" s="5" t="s">
        <v>1721</v>
      </c>
    </row>
    <row r="55" spans="1:7">
      <c r="A55" s="5" t="s">
        <v>3573</v>
      </c>
      <c r="B55" s="5" t="s">
        <v>3574</v>
      </c>
      <c r="C55" s="5" t="s">
        <v>3575</v>
      </c>
      <c r="D55" s="5" t="s">
        <v>3409</v>
      </c>
      <c r="E55" s="5" t="s">
        <v>3388</v>
      </c>
      <c r="F55" s="5" t="s">
        <v>3576</v>
      </c>
      <c r="G55" s="5" t="s">
        <v>1721</v>
      </c>
    </row>
    <row r="56" spans="1:7">
      <c r="A56" s="5" t="s">
        <v>3577</v>
      </c>
      <c r="B56" s="5" t="s">
        <v>3391</v>
      </c>
      <c r="C56" s="5" t="s">
        <v>3578</v>
      </c>
      <c r="D56" s="5" t="s">
        <v>923</v>
      </c>
      <c r="E56" s="5" t="s">
        <v>3388</v>
      </c>
      <c r="F56" s="5" t="s">
        <v>3579</v>
      </c>
      <c r="G56" s="5" t="s">
        <v>1721</v>
      </c>
    </row>
    <row r="57" spans="1:7">
      <c r="A57" s="5" t="s">
        <v>3580</v>
      </c>
      <c r="B57" s="5" t="s">
        <v>3581</v>
      </c>
      <c r="C57" s="5" t="s">
        <v>3582</v>
      </c>
      <c r="D57" s="5" t="s">
        <v>3375</v>
      </c>
      <c r="E57" s="5" t="s">
        <v>3376</v>
      </c>
      <c r="F57" s="5" t="s">
        <v>3583</v>
      </c>
      <c r="G57" s="5" t="s">
        <v>1721</v>
      </c>
    </row>
    <row r="58" spans="1:7">
      <c r="A58" s="5" t="s">
        <v>3584</v>
      </c>
      <c r="B58" s="5" t="s">
        <v>3581</v>
      </c>
      <c r="C58" s="5" t="s">
        <v>3585</v>
      </c>
      <c r="D58" s="5" t="s">
        <v>3375</v>
      </c>
      <c r="E58" s="5" t="s">
        <v>3376</v>
      </c>
      <c r="F58" s="5" t="s">
        <v>3586</v>
      </c>
      <c r="G58" s="5" t="s">
        <v>1721</v>
      </c>
    </row>
    <row r="59" spans="1:7">
      <c r="A59" s="5" t="s">
        <v>3587</v>
      </c>
      <c r="B59" s="5" t="s">
        <v>3588</v>
      </c>
      <c r="C59" s="5" t="s">
        <v>3589</v>
      </c>
      <c r="D59" s="5" t="s">
        <v>3497</v>
      </c>
      <c r="E59" s="5" t="s">
        <v>3388</v>
      </c>
      <c r="F59" s="5" t="s">
        <v>3590</v>
      </c>
      <c r="G59" s="5" t="s">
        <v>1721</v>
      </c>
    </row>
    <row r="60" spans="1:7">
      <c r="A60" s="5" t="s">
        <v>3591</v>
      </c>
      <c r="B60" s="5" t="s">
        <v>3592</v>
      </c>
      <c r="C60" s="5" t="s">
        <v>3593</v>
      </c>
      <c r="D60" s="5" t="s">
        <v>1622</v>
      </c>
      <c r="E60" s="5" t="s">
        <v>3388</v>
      </c>
      <c r="F60" s="5" t="s">
        <v>3594</v>
      </c>
      <c r="G60" s="5" t="s">
        <v>1721</v>
      </c>
    </row>
    <row r="61" spans="1:7">
      <c r="A61" s="5" t="s">
        <v>3595</v>
      </c>
      <c r="B61" s="5" t="s">
        <v>3596</v>
      </c>
      <c r="C61" s="5" t="s">
        <v>3597</v>
      </c>
      <c r="D61" s="5" t="s">
        <v>1622</v>
      </c>
      <c r="E61" s="5" t="s">
        <v>3388</v>
      </c>
      <c r="F61" s="5" t="s">
        <v>3598</v>
      </c>
      <c r="G61" s="5" t="s">
        <v>1721</v>
      </c>
    </row>
    <row r="62" spans="1:7">
      <c r="A62" s="5" t="s">
        <v>3599</v>
      </c>
      <c r="B62" s="5" t="s">
        <v>3600</v>
      </c>
      <c r="C62" s="5" t="s">
        <v>3601</v>
      </c>
      <c r="D62" s="5" t="s">
        <v>3479</v>
      </c>
      <c r="E62" s="5" t="s">
        <v>3388</v>
      </c>
      <c r="F62" s="5" t="s">
        <v>3602</v>
      </c>
      <c r="G62" s="5" t="s">
        <v>1721</v>
      </c>
    </row>
    <row r="63" spans="1:7">
      <c r="A63" s="5" t="s">
        <v>3603</v>
      </c>
      <c r="B63" s="5" t="s">
        <v>3604</v>
      </c>
      <c r="C63" s="5" t="s">
        <v>3605</v>
      </c>
      <c r="D63" s="5" t="s">
        <v>3484</v>
      </c>
      <c r="E63" s="5" t="s">
        <v>3388</v>
      </c>
      <c r="F63" s="5" t="s">
        <v>3606</v>
      </c>
      <c r="G63" s="5" t="s">
        <v>1721</v>
      </c>
    </row>
    <row r="64" spans="1:7">
      <c r="A64" s="5" t="s">
        <v>3607</v>
      </c>
      <c r="B64" s="5" t="s">
        <v>3608</v>
      </c>
      <c r="C64" s="5" t="s">
        <v>3609</v>
      </c>
      <c r="D64" s="5" t="s">
        <v>3488</v>
      </c>
      <c r="E64" s="5" t="s">
        <v>3388</v>
      </c>
      <c r="F64" s="5" t="s">
        <v>3610</v>
      </c>
      <c r="G64" s="5" t="s">
        <v>1721</v>
      </c>
    </row>
    <row r="65" spans="1:7">
      <c r="A65" s="5" t="s">
        <v>3611</v>
      </c>
      <c r="B65" s="5" t="s">
        <v>3612</v>
      </c>
      <c r="C65" s="5" t="s">
        <v>3613</v>
      </c>
      <c r="D65" s="5" t="s">
        <v>3488</v>
      </c>
      <c r="E65" s="5" t="s">
        <v>3388</v>
      </c>
      <c r="F65" s="5" t="s">
        <v>3614</v>
      </c>
      <c r="G65" s="5" t="s">
        <v>1721</v>
      </c>
    </row>
    <row r="66" spans="1:7">
      <c r="A66" s="5" t="s">
        <v>3615</v>
      </c>
      <c r="B66" s="5" t="s">
        <v>3616</v>
      </c>
      <c r="C66" s="5" t="s">
        <v>3617</v>
      </c>
      <c r="D66" s="5" t="s">
        <v>3502</v>
      </c>
      <c r="E66" s="5" t="s">
        <v>3388</v>
      </c>
      <c r="F66" s="5" t="s">
        <v>3618</v>
      </c>
      <c r="G66" s="5" t="s">
        <v>1721</v>
      </c>
    </row>
    <row r="67" spans="1:7">
      <c r="A67" s="5" t="s">
        <v>3619</v>
      </c>
      <c r="B67" s="5" t="s">
        <v>3620</v>
      </c>
      <c r="C67" s="5" t="s">
        <v>3621</v>
      </c>
      <c r="D67" s="5" t="s">
        <v>3507</v>
      </c>
      <c r="E67" s="5" t="s">
        <v>3388</v>
      </c>
      <c r="F67" s="5" t="s">
        <v>3622</v>
      </c>
      <c r="G67" s="5" t="s">
        <v>1721</v>
      </c>
    </row>
    <row r="68" spans="1:7">
      <c r="A68" s="5" t="s">
        <v>3623</v>
      </c>
      <c r="B68" s="5" t="s">
        <v>3624</v>
      </c>
      <c r="C68" s="5" t="s">
        <v>3625</v>
      </c>
      <c r="D68" s="5" t="s">
        <v>3507</v>
      </c>
      <c r="E68" s="5" t="s">
        <v>3388</v>
      </c>
      <c r="F68" s="5" t="s">
        <v>3626</v>
      </c>
      <c r="G68" s="5" t="s">
        <v>1721</v>
      </c>
    </row>
    <row r="69" spans="1:7">
      <c r="A69" s="5" t="s">
        <v>3627</v>
      </c>
      <c r="B69" s="5" t="s">
        <v>3628</v>
      </c>
      <c r="C69" s="5" t="s">
        <v>3629</v>
      </c>
      <c r="D69" s="5" t="s">
        <v>3630</v>
      </c>
      <c r="E69" s="5" t="s">
        <v>3388</v>
      </c>
      <c r="F69" s="5" t="s">
        <v>3631</v>
      </c>
      <c r="G69" s="5" t="s">
        <v>1721</v>
      </c>
    </row>
    <row r="70" spans="1:7">
      <c r="A70" s="5" t="s">
        <v>3632</v>
      </c>
      <c r="B70" s="5" t="s">
        <v>3633</v>
      </c>
      <c r="C70" s="5" t="s">
        <v>3634</v>
      </c>
      <c r="D70" s="5" t="s">
        <v>3630</v>
      </c>
      <c r="E70" s="5" t="s">
        <v>3388</v>
      </c>
      <c r="F70" s="5" t="s">
        <v>3635</v>
      </c>
      <c r="G70" s="5" t="s">
        <v>1721</v>
      </c>
    </row>
    <row r="71" spans="1:7">
      <c r="A71" s="5" t="s">
        <v>3636</v>
      </c>
      <c r="B71" s="5" t="s">
        <v>3637</v>
      </c>
      <c r="C71" s="5" t="s">
        <v>3638</v>
      </c>
      <c r="D71" s="5" t="s">
        <v>3630</v>
      </c>
      <c r="E71" s="5" t="s">
        <v>3388</v>
      </c>
      <c r="F71" s="5" t="s">
        <v>3639</v>
      </c>
      <c r="G71" s="5" t="s">
        <v>1721</v>
      </c>
    </row>
    <row r="72" spans="1:7">
      <c r="A72" s="5" t="s">
        <v>3640</v>
      </c>
      <c r="B72" s="5" t="s">
        <v>3641</v>
      </c>
      <c r="C72" s="5" t="s">
        <v>3642</v>
      </c>
      <c r="D72" s="5" t="s">
        <v>995</v>
      </c>
      <c r="E72" s="5" t="s">
        <v>3388</v>
      </c>
      <c r="F72" s="5" t="s">
        <v>3643</v>
      </c>
      <c r="G72" s="5" t="s">
        <v>1721</v>
      </c>
    </row>
    <row r="73" spans="1:7">
      <c r="A73" s="5" t="s">
        <v>3644</v>
      </c>
      <c r="B73" s="5" t="s">
        <v>3645</v>
      </c>
      <c r="C73" s="5" t="s">
        <v>3646</v>
      </c>
      <c r="D73" s="5" t="s">
        <v>3647</v>
      </c>
      <c r="E73" s="5" t="s">
        <v>3388</v>
      </c>
      <c r="F73" s="5" t="s">
        <v>3648</v>
      </c>
      <c r="G73" s="5" t="s">
        <v>1721</v>
      </c>
    </row>
  </sheetData>
  <pageMargins left="0.7" right="0.7" top="0.75" bottom="0.75" header="0.3" footer="0.3"/>
  <pageSetup paperSize="9" fitToHeight="0" orientation="landscape"/>
</worksheet>
</file>

<file path=xl/worksheets/sheet7.xml><?xml version="1.0" encoding="utf-8"?>
<worksheet xmlns="http://schemas.openxmlformats.org/spreadsheetml/2006/main" xmlns:r="http://schemas.openxmlformats.org/officeDocument/2006/relationships">
  <dimension ref="A1:A10"/>
  <sheetViews>
    <sheetView workbookViewId="0"/>
  </sheetViews>
  <sheetFormatPr defaultRowHeight="15"/>
  <sheetData>
    <row r="1" spans="1:1">
      <c r="A1" t="s">
        <v>3649</v>
      </c>
    </row>
    <row r="2" spans="1:1">
      <c r="A2" t="s">
        <v>3650</v>
      </c>
    </row>
    <row r="3" spans="1:1">
      <c r="A3" t="s">
        <v>3651</v>
      </c>
    </row>
    <row r="4" spans="1:1">
      <c r="A4" t="s">
        <v>3652</v>
      </c>
    </row>
    <row r="5" spans="1:1">
      <c r="A5" t="s">
        <v>3653</v>
      </c>
    </row>
    <row r="6" spans="1:1">
      <c r="A6" t="s">
        <v>3654</v>
      </c>
    </row>
    <row r="7" spans="1:1">
      <c r="A7" t="s">
        <v>3655</v>
      </c>
    </row>
    <row r="8" spans="1:1">
      <c r="A8" t="s">
        <v>3656</v>
      </c>
    </row>
    <row r="9" spans="1:1">
      <c r="A9" t="s">
        <v>3657</v>
      </c>
    </row>
    <row r="10" spans="1:1">
      <c r="A10" t="s">
        <v>3658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Summary</vt:lpstr>
      <vt:lpstr>Bugs</vt:lpstr>
      <vt:lpstr>Coverage</vt:lpstr>
      <vt:lpstr>Screens</vt:lpstr>
      <vt:lpstr>Flows</vt:lpstr>
      <vt:lpstr>Test data</vt:lpstr>
      <vt:lpstr>_ledger</vt:lpstr>
      <vt:lpstr>Bugs!Print_Titles</vt:lpstr>
      <vt:lpstr>Coverage!Print_Titles</vt:lpstr>
      <vt:lpstr>Flows!Print_Titles</vt:lpstr>
      <vt:lpstr>Screens!Print_Titles</vt:lpstr>
      <vt:lpstr>'Test data'!Print_Titles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Multiship - QA bug list</dc:title>
  <dc:creator>Claude (Cowork) for Manoj</dc:creator>
  <cp:lastModifiedBy>Claude (Cowork) for Manoj</cp:lastModifiedBy>
  <dcterms:created xsi:type="dcterms:W3CDTF">2026-10-16T05:20:46Z</dcterms:created>
  <dcterms:modified xsi:type="dcterms:W3CDTF">2026-10-16T05:20:46Z</dcterms:modified>
</cp:coreProperties>
</file>