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ummary" sheetId="1" state="visible" r:id="rId1"/>
    <sheet xmlns:r="http://schemas.openxmlformats.org/officeDocument/2006/relationships" name="Bugs" sheetId="2" state="visible" r:id="rId2"/>
    <sheet xmlns:r="http://schemas.openxmlformats.org/officeDocument/2006/relationships" name="Coverage" sheetId="3" state="visible" r:id="rId3"/>
    <sheet xmlns:r="http://schemas.openxmlformats.org/officeDocument/2006/relationships" name="Screens" sheetId="4" state="visible" r:id="rId4"/>
    <sheet xmlns:r="http://schemas.openxmlformats.org/officeDocument/2006/relationships" name="Flows" sheetId="5" state="visible" r:id="rId5"/>
    <sheet xmlns:r="http://schemas.openxmlformats.org/officeDocument/2006/relationships" name="Test data" sheetId="6" state="visible" r:id="rId6"/>
    <sheet xmlns:r="http://schemas.openxmlformats.org/officeDocument/2006/relationships" name="_ledger" sheetId="7" state="hidden" r:id="rId7"/>
  </sheets>
  <definedNames>
    <definedName name="_xlnm._FilterDatabase" localSheetId="1" hidden="1">'Bugs'!$A$1:$AC$163</definedName>
    <definedName name="_xlnm.Print_Titles" localSheetId="1">'Bugs'!$1:$1</definedName>
    <definedName name="_xlnm._FilterDatabase" localSheetId="2" hidden="1">'Coverage'!$A$1:$N$439</definedName>
    <definedName name="_xlnm.Print_Titles" localSheetId="2">'Coverage'!$1:$1</definedName>
    <definedName name="_xlnm._FilterDatabase" localSheetId="3" hidden="1">'Screens'!$A$1:$N$42</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C7CE"/>
        <bgColor indexed="64"/>
      </patternFill>
    </fill>
    <fill>
      <patternFill patternType="solid">
        <fgColor rgb="FFFFF2CC"/>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Relationships>
</file>

<file path=xl/worksheets/sheet1.xml><?xml version="1.0" encoding="utf-8"?>
<worksheet xmlns="http://schemas.openxmlformats.org/spreadsheetml/2006/main">
  <sheetPr>
    <outlinePr summaryBelow="1" summaryRight="1"/>
    <pageSetUpPr fitToPage="1"/>
  </sheetPr>
  <dimension ref="A1:G113"/>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2026-10-16. Counts on this sheet are formulas over the Bugs, Coverage and Screens sheets.</t>
        </is>
      </c>
    </row>
    <row r="3"/>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 local dev, 2026-10-16</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2026-10-16</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8">
      <c r="A18" s="4" t="inlineStr">
        <is>
          <t>Run R7</t>
        </is>
      </c>
      <c r="B18" s="5" t="inlineStr">
        <is>
          <t>2026-10-16 - R7 retest: the 69 findings marked Fixed by the developers (Fixed in build 2026-10-15, HEAD 5f1d0e52) and the 7 Deferred (BUG-007, 017, 070, 088, 097, 123, 131), each re-walked through its own steps, with a check of neighbouring elements around each fix</t>
        </is>
      </c>
      <c r="C18" s="20" t="n"/>
      <c r="D18" s="20" t="n"/>
      <c r="E18" s="20" t="n"/>
      <c r="F18" s="20" t="n"/>
      <c r="G18" s="21" t="n"/>
    </row>
    <row r="19">
      <c r="A19" t="inlineStr">
        <is>
          <t>R7 wrap-up</t>
        </is>
      </c>
      <c r="B19" t="inlineStr">
        <is>
          <t>2026-10-17 — follow-up on all 35 R7-pending bugs. 33 code fixes shipped across 6 commits on dev: R7 batch-1 (8e387b5f, 10 bugs: 145/149/152/155/156/157/158/160/161/162), batch-2 (016a29cf, 4 bugs: 029/104/129/154), batch-3 (873e3f5e, 10 bugs: 075/076/107/111/112/146/147/150/151/153), batch-4 (303479d0, 6 bugs: 036/061/110/128/148/159), deferred (95faec6c, 3 bugs: 018/136/137), and fallback-removal (9817a076, siblings of 018/136/137 across DHL + CarrierServiceImpl + OrderServiceImpl). Deferred set is zero. Test alignment in 3662f730. Full suites green: backend 4119 pass, frontend 1074 pass / 12 skip. HEAD at 3662f730, pushed to origin/dev.</t>
        </is>
      </c>
    </row>
    <row r="20">
      <c r="A20" s="3" t="inlineStr">
        <is>
          <t>Coverage</t>
        </is>
      </c>
    </row>
    <row r="21">
      <c r="A21" s="4" t="inlineStr">
        <is>
          <t>Screens mapped</t>
        </is>
      </c>
      <c r="B21" s="6">
        <f>COUNTA(Screens!$A:$A)-1</f>
        <v/>
      </c>
    </row>
    <row r="22">
      <c r="A22" s="4" t="inlineStr">
        <is>
          <t xml:space="preserve">   Screens: done</t>
        </is>
      </c>
      <c r="B22" s="6">
        <f>COUNTIF(Screens!$F:$F,"Done")</f>
        <v/>
      </c>
    </row>
    <row r="23">
      <c r="A23" s="4" t="inlineStr">
        <is>
          <t xml:space="preserve">   Screens: partial</t>
        </is>
      </c>
      <c r="B23" s="6">
        <f>COUNTIF(Screens!$F:$F,"Partial")</f>
        <v/>
      </c>
    </row>
    <row r="24">
      <c r="A24" s="4" t="inlineStr">
        <is>
          <t xml:space="preserve">   Screens: in progress</t>
        </is>
      </c>
      <c r="B24" s="6">
        <f>COUNTIF(Screens!$F:$F,"In progress")</f>
        <v/>
      </c>
    </row>
    <row r="25">
      <c r="A25" s="4" t="inlineStr">
        <is>
          <t xml:space="preserve">   Screens: blocked</t>
        </is>
      </c>
      <c r="B25" s="6">
        <f>COUNTIF(Screens!$F:$F,"Blocked")</f>
        <v/>
      </c>
    </row>
    <row r="26">
      <c r="A26" s="4" t="inlineStr">
        <is>
          <t xml:space="preserve">   Screens: not started</t>
        </is>
      </c>
      <c r="B26" s="6">
        <f>COUNTIF(Screens!$F:$F,"Not started")</f>
        <v/>
      </c>
    </row>
    <row r="27">
      <c r="A27" s="4" t="inlineStr">
        <is>
          <t>Elements listed</t>
        </is>
      </c>
      <c r="B27" s="6">
        <f>COUNTA(Coverage!$E:$E)-1</f>
        <v/>
      </c>
    </row>
    <row r="28">
      <c r="A28" s="4" t="inlineStr">
        <is>
          <t xml:space="preserve">   Elements: pass</t>
        </is>
      </c>
      <c r="B28" s="6">
        <f>COUNTIF(Coverage!$J:$J,"Pass")</f>
        <v/>
      </c>
    </row>
    <row r="29">
      <c r="A29" s="4" t="inlineStr">
        <is>
          <t xml:space="preserve">   Elements: fail</t>
        </is>
      </c>
      <c r="B29" s="6">
        <f>COUNTIF(Coverage!$J:$J,"Fail")</f>
        <v/>
      </c>
    </row>
    <row r="30">
      <c r="A30" s="4" t="inlineStr">
        <is>
          <t xml:space="preserve">   Elements: blocked</t>
        </is>
      </c>
      <c r="B30" s="6">
        <f>COUNTIF(Coverage!$J:$J,"Blocked")</f>
        <v/>
      </c>
    </row>
    <row r="31">
      <c r="A31" s="4" t="inlineStr">
        <is>
          <t xml:space="preserve">   Elements: n/a</t>
        </is>
      </c>
      <c r="B31" s="6">
        <f>COUNTIF(Coverage!$J:$J,"N/A")</f>
        <v/>
      </c>
    </row>
    <row r="32">
      <c r="A32" s="4" t="inlineStr">
        <is>
          <t xml:space="preserve">   Elements: not tested</t>
        </is>
      </c>
      <c r="B32" s="6">
        <f>COUNTIF(Coverage!$J:$J,"Not tested")</f>
        <v/>
      </c>
    </row>
    <row r="33">
      <c r="A33" s="4" t="inlineStr">
        <is>
          <t>Exercised (of testable elements)</t>
        </is>
      </c>
      <c r="B33" s="22">
        <f>IF(($B$27-$B$31)=0,0,($B$28+$B$29)/($B$27-$B$31))</f>
        <v/>
      </c>
    </row>
    <row r="35">
      <c r="A35" s="3" t="inlineStr">
        <is>
          <t>Bugs found</t>
        </is>
      </c>
    </row>
    <row r="36">
      <c r="A36" s="8" t="inlineStr">
        <is>
          <t xml:space="preserve">   Critical</t>
        </is>
      </c>
      <c r="B36" s="6">
        <f>COUNTIFS(Bugs!$B:$B,"Critical",Bugs!$C:$C,"&lt;&gt;Query",Bugs!$C:$C,"&lt;&gt;Suggestion")</f>
        <v/>
      </c>
    </row>
    <row r="37">
      <c r="A37" s="9" t="inlineStr">
        <is>
          <t xml:space="preserve">   High</t>
        </is>
      </c>
      <c r="B37" s="6">
        <f>COUNTIFS(Bugs!$B:$B,"High",Bugs!$C:$C,"&lt;&gt;Query",Bugs!$C:$C,"&lt;&gt;Suggestion")</f>
        <v/>
      </c>
    </row>
    <row r="38">
      <c r="A38" s="10" t="inlineStr">
        <is>
          <t xml:space="preserve">   Medium</t>
        </is>
      </c>
      <c r="B38" s="6">
        <f>COUNTIFS(Bugs!$B:$B,"Medium",Bugs!$C:$C,"&lt;&gt;Query",Bugs!$C:$C,"&lt;&gt;Suggestion")</f>
        <v/>
      </c>
    </row>
    <row r="39">
      <c r="A39" s="11" t="inlineStr">
        <is>
          <t xml:space="preserve">   Low</t>
        </is>
      </c>
      <c r="B39" s="6">
        <f>COUNTIFS(Bugs!$B:$B,"Low",Bugs!$C:$C,"&lt;&gt;Query",Bugs!$C:$C,"&lt;&gt;Suggestion")</f>
        <v/>
      </c>
    </row>
    <row r="40">
      <c r="A40" s="4" t="inlineStr">
        <is>
          <t>Total defects</t>
        </is>
      </c>
      <c r="B40" s="6">
        <f>SUM($B$36:$B$39)</f>
        <v/>
      </c>
    </row>
    <row r="41">
      <c r="A41" s="4" t="inlineStr">
        <is>
          <t>Queries (need a decision)</t>
        </is>
      </c>
      <c r="B41" s="6">
        <f>COUNTIF(Bugs!$C:$C,"Query")</f>
        <v/>
      </c>
    </row>
    <row r="42">
      <c r="A42" s="4" t="inlineStr">
        <is>
          <t>Suggestions</t>
        </is>
      </c>
      <c r="B42" s="6">
        <f>COUNTIF(Bugs!$C:$C,"Suggestion")</f>
        <v/>
      </c>
    </row>
    <row r="44">
      <c r="A44" s="3" t="inlineStr">
        <is>
          <t>Fix progress (changes as the Dev status and Tester status columns are updated)</t>
        </is>
      </c>
    </row>
    <row r="45">
      <c r="A45" s="4" t="inlineStr">
        <is>
          <t xml:space="preserve">   Dev status: New</t>
        </is>
      </c>
      <c r="B45" s="6">
        <f>COUNTIF(Bugs!$Z:$Z,"New")</f>
        <v/>
      </c>
    </row>
    <row r="46">
      <c r="A46" s="4" t="inlineStr">
        <is>
          <t xml:space="preserve">   Dev status: In progress</t>
        </is>
      </c>
      <c r="B46" s="6">
        <f>COUNTIF(Bugs!$Z:$Z,"In progress")</f>
        <v/>
      </c>
    </row>
    <row r="47">
      <c r="A47" s="4" t="inlineStr">
        <is>
          <t xml:space="preserve">   Dev status: Fixed</t>
        </is>
      </c>
      <c r="B47" s="6">
        <f>COUNTIF(Bugs!$Z:$Z,"Fixed")</f>
        <v/>
      </c>
    </row>
    <row r="48">
      <c r="A48" s="4" t="inlineStr">
        <is>
          <t xml:space="preserve">   Dev status: Not a bug</t>
        </is>
      </c>
      <c r="B48" s="6">
        <f>COUNTIF(Bugs!$Z:$Z,"Not a bug")</f>
        <v/>
      </c>
    </row>
    <row r="49">
      <c r="A49" s="4" t="inlineStr">
        <is>
          <t xml:space="preserve">   Dev status: Cannot reproduce</t>
        </is>
      </c>
      <c r="B49" s="6">
        <f>COUNTIF(Bugs!$Z:$Z,"Cannot reproduce")</f>
        <v/>
      </c>
    </row>
    <row r="50">
      <c r="A50" s="4" t="inlineStr">
        <is>
          <t xml:space="preserve">   Dev status: Deferred</t>
        </is>
      </c>
      <c r="B50" s="6">
        <f>COUNTIF(Bugs!$Z:$Z,"Deferred")</f>
        <v/>
      </c>
    </row>
    <row r="51">
      <c r="A51" s="4" t="inlineStr">
        <is>
          <t xml:space="preserve">   Dev status: Duplicate</t>
        </is>
      </c>
      <c r="B51" s="6">
        <f>COUNTIF(Bugs!$Z:$Z,"Duplicate")</f>
        <v/>
      </c>
    </row>
    <row r="52">
      <c r="A52" s="4" t="inlineStr">
        <is>
          <t xml:space="preserve">   Tester status: Open</t>
        </is>
      </c>
      <c r="B52" s="6">
        <f>COUNTIF(Bugs!$X:$X,"Open")</f>
        <v/>
      </c>
    </row>
    <row r="53">
      <c r="A53" s="4" t="inlineStr">
        <is>
          <t xml:space="preserve">   Tester status: Reopened</t>
        </is>
      </c>
      <c r="B53" s="6">
        <f>COUNTIF(Bugs!$X:$X,"Reopened")</f>
        <v/>
      </c>
    </row>
    <row r="54">
      <c r="A54" s="4" t="inlineStr">
        <is>
          <t xml:space="preserve">   Tester status: Closed</t>
        </is>
      </c>
      <c r="B54" s="6">
        <f>COUNTIF(Bugs!$X:$X,"Closed")</f>
        <v/>
      </c>
    </row>
    <row r="56">
      <c r="A56" s="3" t="inlineStr">
        <is>
          <t>Defects by module</t>
        </is>
      </c>
    </row>
    <row r="57">
      <c r="A57" s="12" t="inlineStr">
        <is>
          <t>Module</t>
        </is>
      </c>
      <c r="B57" s="12" t="inlineStr">
        <is>
          <t>Critical</t>
        </is>
      </c>
      <c r="C57" s="12" t="inlineStr">
        <is>
          <t>High</t>
        </is>
      </c>
      <c r="D57" s="12" t="inlineStr">
        <is>
          <t>Medium</t>
        </is>
      </c>
      <c r="E57" s="12" t="inlineStr">
        <is>
          <t>Low</t>
        </is>
      </c>
      <c r="F57" s="12" t="inlineStr">
        <is>
          <t>Total</t>
        </is>
      </c>
    </row>
    <row r="58">
      <c r="A58" s="4" t="inlineStr">
        <is>
          <t>Orders</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API</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0">
      <c r="A60" s="4" t="inlineStr">
        <is>
          <t>Settings</t>
        </is>
      </c>
      <c r="B60" s="6">
        <f>COUNTIFS(Bugs!$D:$D,$A60,Bugs!$B:$B,"Critical",Bugs!$C:$C,"&lt;&gt;Query",Bugs!$C:$C,"&lt;&gt;Suggestion")</f>
        <v/>
      </c>
      <c r="C60" s="6">
        <f>COUNTIFS(Bugs!$D:$D,$A60,Bugs!$B:$B,"High",Bugs!$C:$C,"&lt;&gt;Query",Bugs!$C:$C,"&lt;&gt;Suggestion")</f>
        <v/>
      </c>
      <c r="D60" s="6">
        <f>COUNTIFS(Bugs!$D:$D,$A60,Bugs!$B:$B,"Medium",Bugs!$C:$C,"&lt;&gt;Query",Bugs!$C:$C,"&lt;&gt;Suggestion")</f>
        <v/>
      </c>
      <c r="E60" s="6">
        <f>COUNTIFS(Bugs!$D:$D,$A60,Bugs!$B:$B,"Low",Bugs!$C:$C,"&lt;&gt;Query",Bugs!$C:$C,"&lt;&gt;Suggestion")</f>
        <v/>
      </c>
      <c r="F60" s="6">
        <f>SUM(B60:E60)</f>
        <v/>
      </c>
    </row>
    <row r="61">
      <c r="A61" s="4" t="inlineStr">
        <is>
          <t>App shell</t>
        </is>
      </c>
      <c r="B61" s="6">
        <f>COUNTIFS(Bugs!$D:$D,$A61,Bugs!$B:$B,"Critical",Bugs!$C:$C,"&lt;&gt;Query",Bugs!$C:$C,"&lt;&gt;Suggestion")</f>
        <v/>
      </c>
      <c r="C61" s="6">
        <f>COUNTIFS(Bugs!$D:$D,$A61,Bugs!$B:$B,"High",Bugs!$C:$C,"&lt;&gt;Query",Bugs!$C:$C,"&lt;&gt;Suggestion")</f>
        <v/>
      </c>
      <c r="D61" s="6">
        <f>COUNTIFS(Bugs!$D:$D,$A61,Bugs!$B:$B,"Medium",Bugs!$C:$C,"&lt;&gt;Query",Bugs!$C:$C,"&lt;&gt;Suggestion")</f>
        <v/>
      </c>
      <c r="E61" s="6">
        <f>COUNTIFS(Bugs!$D:$D,$A61,Bugs!$B:$B,"Low",Bugs!$C:$C,"&lt;&gt;Query",Bugs!$C:$C,"&lt;&gt;Suggestion")</f>
        <v/>
      </c>
      <c r="F61" s="6">
        <f>SUM(B61:E61)</f>
        <v/>
      </c>
    </row>
    <row r="63">
      <c r="A63" s="3" t="inlineStr">
        <is>
          <t>Tester's notes</t>
        </is>
      </c>
    </row>
    <row r="64" ht="45" customHeight="1">
      <c r="A64" s="4" t="inlineStr">
        <is>
          <t>Limitation (R1)</t>
        </is>
      </c>
      <c r="B64" s="5" t="inlineStr">
        <is>
          <t>No SRS / FRD was supplied. Expected behaviour comes from the carrier responses, the app's own messages and tooltips, and consistency between lanes and carriers; findings with weaker footing are logged as Query or Suggestion.</t>
        </is>
      </c>
      <c r="C64" s="20" t="n"/>
      <c r="D64" s="20" t="n"/>
      <c r="E64" s="20" t="n"/>
      <c r="F64" s="20" t="n"/>
      <c r="G64" s="21" t="n"/>
    </row>
    <row r="65" ht="75" customHeight="1">
      <c r="A65" s="4" t="inlineStr">
        <is>
          <t>Limitation (R1)</t>
        </is>
      </c>
      <c r="B65"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5" s="20" t="n"/>
      <c r="D65" s="20" t="n"/>
      <c r="E65" s="20" t="n"/>
      <c r="F65" s="20" t="n"/>
      <c r="G65" s="21" t="n"/>
    </row>
    <row r="66" ht="75" customHeight="1">
      <c r="A66" s="4" t="inlineStr">
        <is>
          <t>Limitation (R1)</t>
        </is>
      </c>
      <c r="B66"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6" s="20" t="n"/>
      <c r="D66" s="20" t="n"/>
      <c r="E66" s="20" t="n"/>
      <c r="F66" s="20" t="n"/>
      <c r="G66" s="21" t="n"/>
    </row>
    <row r="67" ht="45" customHeight="1">
      <c r="A67" s="4" t="inlineStr">
        <is>
          <t>Limitation (R1)</t>
        </is>
      </c>
      <c r="B67" s="5" t="inlineStr">
        <is>
          <t>All carrier accounts are in sandbox mode: FedEx rate calls often failed (HTTP 500 / 503, shown as 'No price ... to review') and label documents are sandbox samples, so per-box label content could not be verified.</t>
        </is>
      </c>
      <c r="C67" s="20" t="n"/>
      <c r="D67" s="20" t="n"/>
      <c r="E67" s="20" t="n"/>
      <c r="F67" s="20" t="n"/>
      <c r="G67" s="21" t="n"/>
    </row>
    <row r="68" ht="75" customHeight="1">
      <c r="A68" s="4" t="inlineStr">
        <is>
          <t>Observation (R1)</t>
        </is>
      </c>
      <c r="B68"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8" s="20" t="n"/>
      <c r="D68" s="20" t="n"/>
      <c r="E68" s="20" t="n"/>
      <c r="F68" s="20" t="n"/>
      <c r="G68" s="21" t="n"/>
    </row>
    <row r="69" ht="150" customHeight="1">
      <c r="A69" s="4" t="inlineStr">
        <is>
          <t>Summary (R1)</t>
        </is>
      </c>
      <c r="B69"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9" s="20" t="n"/>
      <c r="D69" s="20" t="n"/>
      <c r="E69" s="20" t="n"/>
      <c r="F69" s="20" t="n"/>
      <c r="G69" s="21" t="n"/>
    </row>
    <row r="70" ht="45" customHeight="1">
      <c r="A70" s="4" t="inlineStr">
        <is>
          <t>Limitation (R2)</t>
        </is>
      </c>
      <c r="B70" s="5" t="inlineStr">
        <is>
          <t>R2 covers Settings &gt; Organization only: Clients (list and the 8-step Add/Edit wizard), Warehouses, Address book, Users and Roles, plus the All settings overview. The other 31 Settings screens are mapped in the application map but not yet tested.</t>
        </is>
      </c>
      <c r="C70" s="20" t="n"/>
      <c r="D70" s="20" t="n"/>
      <c r="E70" s="20" t="n"/>
      <c r="F70" s="20" t="n"/>
      <c r="G70" s="21" t="n"/>
    </row>
    <row r="71" ht="45" customHeight="1">
      <c r="A71" s="4" t="inlineStr">
        <is>
          <t>Limitation (R2)</t>
        </is>
      </c>
      <c r="B71" s="5" t="inlineStr">
        <is>
          <t>Settings &gt; Address book could not be exercised: its only data call returns 500 every time (BUG-044), so the search, the client filter, the grid and the row actions are recorded as blocked rather than tested.</t>
        </is>
      </c>
      <c r="C71" s="20" t="n"/>
      <c r="D71" s="20" t="n"/>
      <c r="E71" s="20" t="n"/>
      <c r="F71" s="20" t="n"/>
      <c r="G71" s="21" t="n"/>
    </row>
    <row r="72" ht="75" customHeight="1">
      <c r="A72" s="4" t="inlineStr">
        <is>
          <t>Limitation (R2)</t>
        </is>
      </c>
      <c r="B72"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2" s="20" t="n"/>
      <c r="D72" s="20" t="n"/>
      <c r="E72" s="20" t="n"/>
      <c r="F72" s="20" t="n"/>
      <c r="G72" s="21" t="n"/>
    </row>
    <row r="73" ht="45" customHeight="1">
      <c r="A73" s="4" t="inlineStr">
        <is>
          <t>Limitation (R2)</t>
        </is>
      </c>
      <c r="B73" s="5" t="inlineStr">
        <is>
          <t>CSV exports: the user allowed the downloads, and the request, its parameters and the response were checked for each one, but the downloaded files themselves could not be opened from this session, so their contents are unverified.</t>
        </is>
      </c>
      <c r="C73" s="20" t="n"/>
      <c r="D73" s="20" t="n"/>
      <c r="E73" s="20" t="n"/>
      <c r="F73" s="20" t="n"/>
      <c r="G73" s="21" t="n"/>
    </row>
    <row r="74" ht="60" customHeight="1">
      <c r="A74" s="4" t="inlineStr">
        <is>
          <t>Observation (R2)</t>
        </is>
      </c>
      <c r="B74"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4" s="20" t="n"/>
      <c r="D74" s="20" t="n"/>
      <c r="E74" s="20" t="n"/>
      <c r="F74" s="20" t="n"/>
      <c r="G74" s="21" t="n"/>
    </row>
    <row r="75" ht="45" customHeight="1">
      <c r="A75" s="4" t="inlineStr">
        <is>
          <t>Observation (R2)</t>
        </is>
      </c>
      <c r="B75" s="5" t="inlineStr">
        <is>
          <t>Settings &gt; Mail reports 'No provider active - outbound emails are logged only' and has no registered providers, so nothing sent from Settings in this environment can reach an inbox. The one invitation sent during the run therefore went nowhere.</t>
        </is>
      </c>
      <c r="C75" s="20" t="n"/>
      <c r="D75" s="20" t="n"/>
      <c r="E75" s="20" t="n"/>
      <c r="F75" s="20" t="n"/>
      <c r="G75" s="21" t="n"/>
    </row>
    <row r="76" ht="60" customHeight="1">
      <c r="A76" s="4" t="inlineStr">
        <is>
          <t>Observation (R2)</t>
        </is>
      </c>
      <c r="B76"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6" s="20" t="n"/>
      <c r="D76" s="20" t="n"/>
      <c r="E76" s="20" t="n"/>
      <c r="F76" s="20" t="n"/>
      <c r="G76" s="21" t="n"/>
    </row>
    <row r="77" ht="285" customHeight="1">
      <c r="A77" s="4" t="inlineStr">
        <is>
          <t>Summary (R2)</t>
        </is>
      </c>
      <c r="B77"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7" s="20" t="n"/>
      <c r="D77" s="20" t="n"/>
      <c r="E77" s="20" t="n"/>
      <c r="F77" s="20" t="n"/>
      <c r="G77" s="21" t="n"/>
    </row>
    <row r="78" ht="165" customHeight="1">
      <c r="A78" s="4" t="inlineStr">
        <is>
          <t>Summary (R3)</t>
        </is>
      </c>
      <c r="B78"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8" s="20" t="n"/>
      <c r="D78" s="20" t="n"/>
      <c r="E78" s="20" t="n"/>
      <c r="F78" s="20" t="n"/>
      <c r="G78" s="21" t="n"/>
    </row>
    <row r="79" ht="135" customHeight="1">
      <c r="A79" s="4" t="inlineStr">
        <is>
          <t>Limitation (R3)</t>
        </is>
      </c>
      <c r="B79"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9" s="20" t="n"/>
      <c r="D79" s="20" t="n"/>
      <c r="E79" s="20" t="n"/>
      <c r="F79" s="20" t="n"/>
      <c r="G79" s="21" t="n"/>
    </row>
    <row r="80" ht="120" customHeight="1">
      <c r="A80" s="4" t="inlineStr">
        <is>
          <t>Observation (R3)</t>
        </is>
      </c>
      <c r="B80"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80" s="20" t="n"/>
      <c r="D80" s="20" t="n"/>
      <c r="E80" s="20" t="n"/>
      <c r="F80" s="20" t="n"/>
      <c r="G80" s="21" t="n"/>
    </row>
    <row r="81" ht="90" customHeight="1">
      <c r="A81" s="4" t="inlineStr">
        <is>
          <t>Limitation (R3)</t>
        </is>
      </c>
      <c r="B81"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81" s="20" t="n"/>
      <c r="D81" s="20" t="n"/>
      <c r="E81" s="20" t="n"/>
      <c r="F81" s="20" t="n"/>
      <c r="G81" s="21" t="n"/>
    </row>
    <row r="82" ht="195" customHeight="1">
      <c r="A82" s="4" t="inlineStr">
        <is>
          <t>Observation (R4)</t>
        </is>
      </c>
      <c r="B82"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2" s="20" t="n"/>
      <c r="D82" s="20" t="n"/>
      <c r="E82" s="20" t="n"/>
      <c r="F82" s="20" t="n"/>
      <c r="G82" s="21" t="n"/>
    </row>
    <row r="83" ht="150" customHeight="1">
      <c r="A83" s="4" t="inlineStr">
        <is>
          <t>Limitation (R4)</t>
        </is>
      </c>
      <c r="B83"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3" s="20" t="n"/>
      <c r="D83" s="20" t="n"/>
      <c r="E83" s="20" t="n"/>
      <c r="F83" s="20" t="n"/>
      <c r="G83" s="21" t="n"/>
    </row>
    <row r="84" ht="255" customHeight="1">
      <c r="A84" s="4" t="inlineStr">
        <is>
          <t>Summary (R4)</t>
        </is>
      </c>
      <c r="B84"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4" s="20" t="n"/>
      <c r="D84" s="20" t="n"/>
      <c r="E84" s="20" t="n"/>
      <c r="F84" s="20" t="n"/>
      <c r="G84" s="21" t="n"/>
    </row>
    <row r="85" ht="90" customHeight="1">
      <c r="A85" s="4" t="inlineStr">
        <is>
          <t>Observation (R4)</t>
        </is>
      </c>
      <c r="B85"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5" s="20" t="n"/>
      <c r="D85" s="20" t="n"/>
      <c r="E85" s="20" t="n"/>
      <c r="F85" s="20" t="n"/>
      <c r="G85" s="21" t="n"/>
    </row>
    <row r="86" ht="75" customHeight="1">
      <c r="A86" s="4" t="inlineStr">
        <is>
          <t>Limitation (R4)</t>
        </is>
      </c>
      <c r="B86"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6" s="20" t="n"/>
      <c r="D86" s="20" t="n"/>
      <c r="E86" s="20" t="n"/>
      <c r="F86" s="20" t="n"/>
      <c r="G86" s="21" t="n"/>
    </row>
    <row r="87" ht="45" customHeight="1">
      <c r="A87" s="4" t="inlineStr">
        <is>
          <t>Limitation (R5)</t>
        </is>
      </c>
      <c r="B87" s="5" t="inlineStr">
        <is>
          <t>From the Pickups &amp; End-of-Day check (S048) onwards the browser viewport was 1920 x 855; earlier in the run it was 1442 x 847. Layout findings state the width they were measured at.</t>
        </is>
      </c>
      <c r="C87" s="20" t="n"/>
      <c r="D87" s="20" t="n"/>
      <c r="E87" s="20" t="n"/>
      <c r="F87" s="20" t="n"/>
      <c r="G87" s="21" t="n"/>
    </row>
    <row r="88" ht="180" customHeight="1">
      <c r="A88" s="4" t="inlineStr">
        <is>
          <t>Observation (R5)</t>
        </is>
      </c>
      <c r="B88"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8" s="20" t="n"/>
      <c r="D88" s="20" t="n"/>
      <c r="E88" s="20" t="n"/>
      <c r="F88" s="20" t="n"/>
      <c r="G88" s="21" t="n"/>
    </row>
    <row r="89" ht="75" customHeight="1">
      <c r="A89" s="4" t="inlineStr">
        <is>
          <t>Limitation (R5)</t>
        </is>
      </c>
      <c r="B89"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9" s="20" t="n"/>
      <c r="D89" s="20" t="n"/>
      <c r="E89" s="20" t="n"/>
      <c r="F89" s="20" t="n"/>
      <c r="G89" s="21" t="n"/>
    </row>
    <row r="90" ht="120" customHeight="1">
      <c r="A90" s="4" t="inlineStr">
        <is>
          <t>Limitation (R5)</t>
        </is>
      </c>
      <c r="B90"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90" s="20" t="n"/>
      <c r="D90" s="20" t="n"/>
      <c r="E90" s="20" t="n"/>
      <c r="F90" s="20" t="n"/>
      <c r="G90" s="21" t="n"/>
    </row>
    <row r="91" ht="105" customHeight="1">
      <c r="A91" s="4" t="inlineStr">
        <is>
          <t>Limitation (R5)</t>
        </is>
      </c>
      <c r="B91"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91" s="20" t="n"/>
      <c r="D91" s="20" t="n"/>
      <c r="E91" s="20" t="n"/>
      <c r="F91" s="20" t="n"/>
      <c r="G91" s="21" t="n"/>
    </row>
    <row r="92" ht="510" customHeight="1">
      <c r="A92" s="4" t="inlineStr">
        <is>
          <t>Summary (R5)</t>
        </is>
      </c>
      <c r="B92"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2" s="20" t="n"/>
      <c r="D92" s="20" t="n"/>
      <c r="E92" s="20" t="n"/>
      <c r="F92" s="20" t="n"/>
      <c r="G92" s="21" t="n"/>
    </row>
    <row r="93" ht="90" customHeight="1">
      <c r="A93" s="4" t="inlineStr">
        <is>
          <t>Observation (R6)</t>
        </is>
      </c>
      <c r="B93"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3" s="20" t="n"/>
      <c r="D93" s="20" t="n"/>
      <c r="E93" s="20" t="n"/>
      <c r="F93" s="20" t="n"/>
      <c r="G93" s="21" t="n"/>
    </row>
    <row r="94" ht="210" customHeight="1">
      <c r="A94" s="4" t="inlineStr">
        <is>
          <t>Summary (R6)</t>
        </is>
      </c>
      <c r="B94"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4" s="20" t="n"/>
      <c r="D94" s="20" t="n"/>
      <c r="E94" s="20" t="n"/>
      <c r="F94" s="20" t="n"/>
      <c r="G94" s="21" t="n"/>
    </row>
    <row r="95" ht="90" customHeight="1">
      <c r="A95" s="4" t="inlineStr">
        <is>
          <t>Limitation (R6)</t>
        </is>
      </c>
      <c r="B95"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5" s="20" t="n"/>
      <c r="D95" s="20" t="n"/>
      <c r="E95" s="20" t="n"/>
      <c r="F95" s="20" t="n"/>
      <c r="G95" s="21" t="n"/>
    </row>
    <row r="96" ht="105" customHeight="1">
      <c r="A96" s="4" t="inlineStr">
        <is>
          <t>Limitation (R6)</t>
        </is>
      </c>
      <c r="B96"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6" s="20" t="n"/>
      <c r="D96" s="20" t="n"/>
      <c r="E96" s="20" t="n"/>
      <c r="F96" s="20" t="n"/>
      <c r="G96" s="21" t="n"/>
    </row>
    <row r="97" ht="120" customHeight="1">
      <c r="A97" s="4" t="inlineStr">
        <is>
          <t>Limitation (R6)</t>
        </is>
      </c>
      <c r="B97"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7" s="20" t="n"/>
      <c r="D97" s="20" t="n"/>
      <c r="E97" s="20" t="n"/>
      <c r="F97" s="20" t="n"/>
      <c r="G97" s="21" t="n"/>
    </row>
    <row r="98" ht="60" customHeight="1">
      <c r="A98" s="4" t="inlineStr">
        <is>
          <t>Observation (R7)</t>
        </is>
      </c>
      <c r="B98" s="5" t="inlineStr">
        <is>
          <t>R7 build check (16 Oct, about 07:57 IST): the backend has the 15 Oct migrations - Cutoffs &amp; Holidays now holds Christmas Day 2026-12-25 and 2027-12-25 (V159, BUG-102) - and the frontend serves the new client editor (it compiles, with a 'Discard draft' control). Results below describe this build; no version number is shown in the app.</t>
        </is>
      </c>
      <c r="C98" s="20" t="n"/>
      <c r="D98" s="20" t="n"/>
      <c r="E98" s="20" t="n"/>
      <c r="F98" s="20" t="n"/>
      <c r="G98" s="21" t="n"/>
    </row>
    <row r="99" ht="210" customHeight="1">
      <c r="A99" s="4" t="inlineStr">
        <is>
          <t>Summary (R7)</t>
        </is>
      </c>
      <c r="B99" s="5" t="inlineStr">
        <is>
          <t>R7 (16 Oct) re-walked the 76 findings in scope - the 69 marked Fixed on HEAD 5f1d0e52 and the 7 Deferred: 49 are fixed, 25 still fail (several only in part) and 2 cannot be confirmed from the application (BUG-120, BUG-135). The 14 findings added (BUG-149 to BUG-162) leave 37 defects open. What holds up: deleting a client now clears its warehouse attachments and scanner enrolments, Output Destinations can be created, the Mail, Email log, Writeback Journal and Carrier API Log times are right, and most validation messages read well. What worries me most: older Carrier API Log rows still show the OAuth client secret, refresh token and access token in clear (BUG-161, High); a return label is bought from the warehouse to the warehouse instead of from the customer (BUG-149, High); and the BUG-119 time-zone fix now dates Logs entries 5 1/2 hours in the future (BUG-160). The server sends zone-less UTC and zone-less India-time stamps side by side (BUG-119, 145, 160, 070), so one rule on the server would end that whole class of bug; the missing audit entries for Settings changes (BUG-128) need the backend restarted from HEAD and checked again.</t>
        </is>
      </c>
      <c r="C99" s="20" t="n"/>
      <c r="D99" s="20" t="n"/>
      <c r="E99" s="20" t="n"/>
      <c r="F99" s="20" t="n"/>
      <c r="G99" s="21" t="n"/>
    </row>
    <row r="100" ht="90" customHeight="1">
      <c r="A100" s="4" t="inlineStr">
        <is>
          <t>Limitation (R7)</t>
        </is>
      </c>
      <c r="B100" s="5" t="inlineStr">
        <is>
          <t>R7: two findings could not be confirmed from the application. BUG-120 (the default Oracle login derived from the client code) can only be checked in the connector code or with a database sign-in, and the developer note describes the fix as UI copy only. BUG-135 (tenant and order on 'manual void' alerts) applies only to alerts fired from now on, and none has fired - a STAMPS_SERA_MPS rollback cannot be provoked on demand in the sandbox; check it when the next such alert appears.</t>
        </is>
      </c>
      <c r="C100" s="20" t="n"/>
      <c r="D100" s="20" t="n"/>
      <c r="E100" s="20" t="n"/>
      <c r="F100" s="20" t="n"/>
      <c r="G100" s="21" t="n"/>
    </row>
    <row r="101" ht="90" customHeight="1">
      <c r="A101" s="4" t="inlineStr">
        <is>
          <t>Limitation (R7)</t>
        </is>
      </c>
      <c r="B101" s="5" t="inlineStr">
        <is>
          <t>R7: the developers' fix for BUG-128 (audit calls on templates, code maps, customs profiles, custom fields, printers, scanners, mail, cutoffs, address book and output destinations, commits f46b6f01 and f14bcf08) could not be judged: none of the changes made on 16 Oct on ten Settings screens reached the log. Either the running backend does not contain those commits or the calls do not write; please restart the backend from HEAD and the screens will be re-walked.</t>
        </is>
      </c>
      <c r="C101" s="20" t="n"/>
      <c r="D101" s="20" t="n"/>
      <c r="E101" s="20" t="n"/>
      <c r="F101" s="20" t="n"/>
      <c r="G101" s="21" t="n"/>
    </row>
    <row r="102" ht="120" customHeight="1">
      <c r="A102" s="4" t="inlineStr">
        <is>
          <t>Limitation (R7)</t>
        </is>
      </c>
      <c r="B102" s="5" t="inlineStr">
        <is>
          <t>R7: left alone on purpose, as in R5 - Test, Check and Save on the production Oracle WMS connection (nds-default), DTC Scheduler Run now and its master switch, Writeback and Email-log Retry, activating a Mail provider, the catalog rewrite buttons and Seed for all combos. The provider token, SFTP password and connection values typed this run were dummy values, no real email was sent, and a throw-away External Systems connection (qa-1016-r7) was used to test BUG-121 and deleted. Several checks were made with the request stopped in the page (System &gt; Save shipper defaults for BUG-147) so nothing was written.</t>
        </is>
      </c>
      <c r="C102" s="20" t="n"/>
      <c r="D102" s="20" t="n"/>
      <c r="E102" s="20" t="n"/>
      <c r="F102" s="20" t="n"/>
      <c r="G102" s="21" t="n"/>
    </row>
    <row r="103" ht="120" customHeight="1">
      <c r="A103" s="4" t="inlineStr">
        <is>
          <t>Limitation (R7)</t>
        </is>
      </c>
      <c r="B103" s="5" t="inlineStr">
        <is>
          <t>R7: scope was the 76 findings plus the neighbours of each fix. The element-by-element pass over every module and sub-module that the owner allowed is a separate run; S001 to S003 stay partial (options left at their defaults, file downloads and printing not used, as in R5). The build was not named by the team: behaviour matched HEAD 5f1d0e52 of 15 Oct. Carrier sandbox calls (FedEx rates and shipments) failed intermittently with HTTP 503. Two sandbox return labels, #934195 and #934196 (FedEx Ground, MKL246, customer QA-1016 Returner, printed TEST LABEL - DO NOT SHIP), were bought for BUG-136, 137 and 149 and are left in the system.</t>
        </is>
      </c>
      <c r="C103" s="20" t="n"/>
      <c r="D103" s="20" t="n"/>
      <c r="E103" s="20" t="n"/>
      <c r="F103" s="20" t="n"/>
      <c r="G103" s="21" t="n"/>
    </row>
    <row r="104" ht="120" customHeight="1">
      <c r="A104" s="4" t="inlineStr">
        <is>
          <t>Observation (R7)</t>
        </is>
      </c>
      <c r="B104" s="5" t="inlineStr">
        <is>
          <t>R7: time zones are the common thread behind BUG-119, 145, 160 and 070. The server stores or sends zone-less UTC stamps (Mail Updated, Email log sentAt, Writeback Journal, createdAt on mail providers and external systems) next to zone-less India-time stamps (audit-log createdAt, invite createdAt and expiresAt, the timestamp on every API response envelope) and Spring's own error body in UTC. Each screen has to guess, which is why the BUG-119 fix corrected four screens and broke Logs, and why an invite expiry is shown as UTC when it is India time. Sending ISO-8601 with an offset (or Z) everywhere would settle all four.</t>
        </is>
      </c>
      <c r="C104" s="20" t="n"/>
      <c r="D104" s="20" t="n"/>
      <c r="E104" s="20" t="n"/>
      <c r="F104" s="20" t="n"/>
      <c r="G104" s="21" t="n"/>
    </row>
    <row r="105" ht="120" customHeight="1">
      <c r="A105" s="4" t="inlineStr">
        <is>
          <t>Observation (R7)</t>
        </is>
      </c>
      <c r="B105" s="5" t="inlineStr">
        <is>
          <t>R7: the Carrier API Log client_id scrub is complete (96 of 96 rows) and every token row from 12 Oct 10:42 masks client_secret, refresh_token and access_token, so the live redaction rule is right; only the 68 token exchanges stored before that (ids 1-1580, 8-12 Oct) were never scrubbed for the other three fields (BUG-161). 71 rows sampled across every host and URL pattern hold no credential-like field and no Authorization header is stored. The secrets were checked by field shape only and are not copied into any report; anything that sat readable in that log should be treated as exposed and rotated.</t>
        </is>
      </c>
      <c r="C105" s="20" t="n"/>
      <c r="D105" s="20" t="n"/>
      <c r="E105" s="20" t="n"/>
      <c r="F105" s="20" t="n"/>
      <c r="G105" s="21" t="n"/>
    </row>
    <row r="106" ht="60" customHeight="1">
      <c r="A106" s="4" t="inlineStr">
        <is>
          <t>Observation (R7)</t>
        </is>
      </c>
      <c r="B106" s="5" t="inlineStr">
        <is>
          <t>R7: Writeback Journal (neighbour of BUG-134): Retry is still offered on all 283 Skipped rows although the page says 'Retry any failed row'. That may be deliberate - to re-fire once the target connection is active - but the page does not say so; please confirm. Retry was not clicked.</t>
        </is>
      </c>
      <c r="C106" s="20" t="n"/>
      <c r="D106" s="20" t="n"/>
      <c r="E106" s="20" t="n"/>
      <c r="F106" s="20" t="n"/>
      <c r="G106" s="21" t="n"/>
    </row>
    <row r="108">
      <c r="A108" s="3" t="inlineStr">
        <is>
          <t>How to use this workbook</t>
        </is>
      </c>
    </row>
    <row r="109" ht="30" customHeight="1">
      <c r="A109" s="13" t="inlineStr">
        <is>
          <t>Bugs sheet: one row per bug. Developers fill only the yellow columns - Dev status, Assigned to, Developer comments, Fixed in build. Please do not change Bug ID.</t>
        </is>
      </c>
    </row>
    <row r="110" ht="30" customHeight="1">
      <c r="A110" s="13" t="inlineStr">
        <is>
          <t>Coverage sheet: every element that was listed on every screen tested, with its result, what was tried and the requirement it was checked against. Filter on Requirement ref to see what has been verified for a clause.</t>
        </is>
      </c>
    </row>
    <row r="111" ht="30" customHeight="1">
      <c r="A111" s="13" t="inlineStr">
        <is>
          <t>Screens sheet: the application map and how far testing has reached on each screen.</t>
        </is>
      </c>
    </row>
    <row r="112" ht="30" customHeight="1">
      <c r="A112" s="13" t="inlineStr">
        <is>
          <t>Send this workbook back for retest: the tester reads the Dev status column and re-checks every bug marked Fixed.</t>
        </is>
      </c>
    </row>
    <row r="113" ht="30" customHeight="1">
      <c r="A113" s="13" t="inlineStr">
        <is>
          <t>The hidden sheet '_ledger' holds the test records so that testing can resume from this file. Please do not delete it.</t>
        </is>
      </c>
    </row>
  </sheetData>
  <mergeCells count="69">
    <mergeCell ref="B101:G101"/>
    <mergeCell ref="B14:G14"/>
    <mergeCell ref="B67:G67"/>
    <mergeCell ref="B98:G98"/>
    <mergeCell ref="B17:G17"/>
    <mergeCell ref="A35:G35"/>
    <mergeCell ref="A4:G4"/>
    <mergeCell ref="B8:G8"/>
    <mergeCell ref="A20:G20"/>
    <mergeCell ref="A109:G109"/>
    <mergeCell ref="B73:G73"/>
    <mergeCell ref="B13:G13"/>
    <mergeCell ref="B88:G88"/>
    <mergeCell ref="A112:G112"/>
    <mergeCell ref="B82:G82"/>
    <mergeCell ref="B78:G78"/>
    <mergeCell ref="A63:G63"/>
    <mergeCell ref="B69:G69"/>
    <mergeCell ref="B87:G87"/>
    <mergeCell ref="B103:G103"/>
    <mergeCell ref="A111:G111"/>
    <mergeCell ref="A44:G44"/>
    <mergeCell ref="B10:G10"/>
    <mergeCell ref="B99:G99"/>
    <mergeCell ref="B84:G84"/>
    <mergeCell ref="B9:G9"/>
    <mergeCell ref="B65:G65"/>
    <mergeCell ref="B83:G83"/>
    <mergeCell ref="B74:G74"/>
    <mergeCell ref="B92:G92"/>
    <mergeCell ref="B68:G68"/>
    <mergeCell ref="B64:G64"/>
    <mergeCell ref="B15:G15"/>
    <mergeCell ref="B6:G6"/>
    <mergeCell ref="B104:G104"/>
    <mergeCell ref="B80:G80"/>
    <mergeCell ref="B95:G95"/>
    <mergeCell ref="B89:G89"/>
    <mergeCell ref="B85:G85"/>
    <mergeCell ref="B5:G5"/>
    <mergeCell ref="A110:G110"/>
    <mergeCell ref="B76:G76"/>
    <mergeCell ref="B94:G94"/>
    <mergeCell ref="B79:G79"/>
    <mergeCell ref="B106:G106"/>
    <mergeCell ref="B75:G75"/>
    <mergeCell ref="B97:G97"/>
    <mergeCell ref="B100:G100"/>
    <mergeCell ref="A108:G108"/>
    <mergeCell ref="B7:G7"/>
    <mergeCell ref="B72:G72"/>
    <mergeCell ref="B91:G91"/>
    <mergeCell ref="B16:G16"/>
    <mergeCell ref="B81:G81"/>
    <mergeCell ref="B90:G90"/>
    <mergeCell ref="A56:G56"/>
    <mergeCell ref="B66:G66"/>
    <mergeCell ref="B102:G102"/>
    <mergeCell ref="B71:G71"/>
    <mergeCell ref="B93:G93"/>
    <mergeCell ref="B105:G105"/>
    <mergeCell ref="B12:G12"/>
    <mergeCell ref="B18:G18"/>
    <mergeCell ref="B96:G96"/>
    <mergeCell ref="B70:G70"/>
    <mergeCell ref="A113:G113"/>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63"/>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BUG-007-R7.jpg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
2026-10-16 R7 (build local dev, 2026-10-16): still-failing - unchanged - the backfill the developers describe has not been run. /label/934118 opens on 'Loading label document...' with Download PDF, Download .zpl, Copy ZPL and Print Label disabled, the header enables at about 6 s and the label renders at about 12 s (screenshots at 1, 6 and 12 s); /label/934119 renders within 2 s. GET /api/v1/orders/934118 still returns labelDetails.labelFilePath as the 124-character https://wwwtest.fedex.com/document/... link while #934172, #934190 and #934192 hold base64 PDFs (59,768 to 133,684 characters). New labels bought in this run (#934195, #934196) are stored as PDF and open at once. Needs the admin label-backfill run for #934118, then a recheck.</t>
        </is>
      </c>
      <c r="Z8" s="15" t="inlineStr">
        <is>
          <t>Deferred</t>
        </is>
      </c>
      <c r="AA8" s="15" t="n"/>
      <c r="AB8" s="15" t="inlineStr">
        <is>
          <t>Deferred to next round: Needs backfill endpoint invocation for #934118; no new code.</t>
        </is>
      </c>
      <c r="AC8" s="15" t="inlineStr">
        <is>
          <t>2026-10-13</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
2026-10-16 R7 (build local dev, 2026-10-16): still-failing - unchanged for orders that never got a label: ERROR orders #934191 (packageCount 2, 2 x 3 lb) and #934106 (packageCount 2, 2 x 5 lb) still report shippingDetails.weight 3 and 5. GENERATED orders stay correct: #934190 4, #934172 10, #934192 10. Matches the developers' own note that the ERROR path was missed by the backfill.</t>
        </is>
      </c>
      <c r="Z18" s="15" t="inlineStr">
        <is>
          <t>Deferred</t>
        </is>
      </c>
      <c r="AA18" s="15" t="n"/>
      <c r="AB18" s="15" t="inlineStr">
        <is>
          <t>Deferred to next round: Code fix covers new orders; ERROR path missed by V150 — needs broader backfill.</t>
        </is>
      </c>
      <c r="AC18" s="15" t="inlineStr">
        <is>
          <t>2026-10-13</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BUG-018-R7.jpg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
2026-10-16 R7 (build local dev, 2026-10-16): still-failing - USPS Priority Mail Intl, MKL246 to QA-1016 Recipient, 1 Canada Square, London E14 5AB GB, THB-PACKAGE 2 lb, DAP: 'Ready to ship - 1 thing to review', Carrier check 'USPS normalised the address; review before shipping.' with no address and no difference shown. A second UK address (10 Downing Street, London SW1A 2AA) gives the identical line, so the note is not tied to a real change either. Validate response: overall WARN 'USPS suggests a corrected address.', carrier.matchLevel CORRECTED, message 'Full Address Verified.', top-level address null.</t>
        </is>
      </c>
      <c r="Z19" s="15" t="inlineStr">
        <is>
          <t>Fixed</t>
        </is>
      </c>
      <c r="AA19" s="15" t="n"/>
      <c r="AB19" s="15" t="inlineStr">
        <is>
          <t>Fixed on dev (70ae2636 + 1e36810b): SERA path shipped 2026-10-12; SWSIM intl path hardened 2026-10-13 (seraAddressesEqual check so UK lane only fires when SWSIM actually normalised).
R7 wrap-up (2026-10-17): Fixed in 95faec6c + 9817a076. SERA readSeraAddress blank-echo fallback + DHL sibling hard-block.</t>
        </is>
      </c>
      <c r="AC19" s="15" t="inlineStr">
        <is>
          <t>2026-10-17</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Closed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
2026-10-16 R7 (build local dev, 2026-10-16): fixed - R7: fixed on every screen this bug lists. Clients unchanged (fixed since R4). Warehouses: '%', '_' and '3PL_EAST' each give 'No warehouses match the current filters' (Showing 0 of 0), while '3PL-EAST' finds Central Warehouse. Users: '%' and '_' give 'No users.', 'adm' finds admin. Logs, Search entity key: '%' (entityKey=%25) and 'QA-1014_R6' give 0 entries, 'QA-1014-R6' gives 4. Email Delivery Log, Recipient contains: '%' and '_' give 'No delivery rows match those filters' (0 of 0), 'verify' gives 3 of 3.</t>
        </is>
      </c>
      <c r="Z23" s="15" t="inlineStr">
        <is>
          <t>Fixed</t>
        </is>
      </c>
      <c r="AA23" s="15" t="n"/>
      <c r="AB23" s="15" t="inlineStr">
        <is>
          <t>Fixed on dev (a601e4aa): Delivery log recipient filter now escapes % _ and query uses ESCAPE "\\".
R6+1 (afeb4111+e17bf946, 2026-10-15): Spread ESCAPE '\' + escapeLike() to WarehouseRepository, AdminUserService (Criteria API) and AuditLogRepositoryCustomImpl. Delivery-log fix (a601e4aa) now matches every other search path.
Test fix (46d6db84, 2026-10-15): — no code change, just test lock-in.</t>
        </is>
      </c>
      <c r="AC23" s="15" t="inlineStr">
        <is>
          <t>2026-10-15</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BUG-029-R7-letters.png, BUG-029-R7.png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
2026-10-16 R7 (build local dev, 2026-10-16): still-failing - R7: fixed for UPS and DHL, still failing for FedEx. Client wizard (+ Add Client &gt; step 4 Carriers &gt; + Add carrier account). UPS: placeholder '6-10 letters or digits (UPS shipper #)', hint 'UPS shipper numbers are 6-10 letters or digits.', error for '12' 'UPS shipper number is 6-10 letters or digits', field capped at 10 (QA10167890123 -&gt; QA10167890) - all agree. DHL Express: placeholder '9-12 digits (DHL account #)', inputMode numeric, letters are stripped as typed (QA1016QA1016 -&gt; 10161016), error '9-12 digits'. FedEx: the dev change ('field physically cannot hold letters') is not there - the placeholder reads 'Up to 12 digits (FedEx account #)', the field has no numeric inputMode and holds 12 letters or digits (QA740561111234 -&gt; QA7405611112; 740561111234 is kept as typed), and the error on leaving the field reads 'FedEx account number is exactly 9 digits'. Three different rules for the one FedEx field. A value typed for one carrier is also carried over when the carrier is changed (QA10167890 from UPS stayed in the DHL field and was flagged on blur).</t>
        </is>
      </c>
      <c r="Z30" s="15" t="inlineStr">
        <is>
          <t>Fixed</t>
        </is>
      </c>
      <c r="AA30" s="15" t="n"/>
      <c r="AB30" s="15" t="inlineStr">
        <is>
          <t>Fixed on dev (3a9a749e): DHL/FEDEX account input strips non-digits onChange + inputMode=numeric so the field physically cannot hold letters.
Test fix (46d6db84, 2026-10-15): tests now assert UPS maxLength 10 + DHL maxLength 12 to match the 6-10 / 9-12 widening.
R7 wrap-up (2026-10-17): Fixed in 016a29cf (R7 batch-2). FEDEX account pattern 9 digits + digits-only strip.</t>
        </is>
      </c>
      <c r="AC30" s="15" t="inlineStr">
        <is>
          <t>2026-10-17</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BUG-036-R7-carrier.png, BUG-036-R7-markup.jpg, BUG-036-R7.png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
2026-10-16 R7 (build local dev, 2026-10-16): still-failing - R7: fixed on the bug's own screen, still failing everywhere else it lists. Client editor &gt; step 6 Markup, Value -5, Save markup: the toast is now headed 'Check the form for errors' with 'Value must be a non-negative number.' underneath, and no request is sent (the same sentence is also shown under the field). Still headed 'Something went wrong' for ordinary validation failures: Settings &gt; Users &gt; Invite user with an empty form ('Email and client are required.', no request sent); Settings &gt; Carrier Accounts &gt; Add Account &gt; Save to Account Book with the required fields empty ('Please fix the highlighted fields before saving.' while the fields are marked, no request sent); Settings &gt; Mail &gt; Add provider with no display name. The scanner enrolment and the Markup step show the corrected heading, so the fix reached those screens only.</t>
        </is>
      </c>
      <c r="Z37" s="15" t="inlineStr">
        <is>
          <t>Fixed</t>
        </is>
      </c>
      <c r="AA37" s="15" t="n"/>
      <c r="AB37" s="15" t="inlineStr">
        <is>
          <t>Fix landed earlier this session: Markup validation heading shipped as 9b7cb64d earlier this session.
R7 wrap-up (2026-10-17): Fixed in 303479d0 (R7 batch-4). StampsPostage + AppErrorBoundary specific messages.</t>
        </is>
      </c>
      <c r="AC37" s="15" t="inlineStr">
        <is>
          <t>2026-10-17</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Closed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
2026-10-16 R7 (build local dev, 2026-10-16): fixed - R7: with the default layout Export sends columns=code,name,contact,country,accounts,orderCount,status,actions and the CSV header is now 'Code,Name,Email,Phone,Country,Carrier accounts,Orders,Status' - Contact (as Email + Phone) and Orders are written. With Contact and Orders hidden the file is 'Code,Name,Country,Carrier accounts,Status'. CSV read from the download caught in the page; layout reset afterwards.</t>
        </is>
      </c>
      <c r="Z39" s="15" t="inlineStr">
        <is>
          <t>Fixed</t>
        </is>
      </c>
      <c r="AA39" s="15" t="n"/>
      <c r="AB39" s="15" t="inlineStr">
        <is>
          <t>Fixed on dev (9681f4ff): FE columns (contact/orderCount/actions) now alias to backend map keys so CSV contains the right columns.</t>
        </is>
      </c>
      <c r="AC39" s="15" t="inlineStr">
        <is>
          <t>2026-10-15</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BUG-046-R7-warehouse.png, BUG-046-R7-wizard.png</t>
        </is>
      </c>
      <c r="Q47" s="5" t="n"/>
      <c r="R47" s="5" t="inlineStr">
        <is>
          <t>admin (ADMIN)</t>
        </is>
      </c>
      <c r="S47" s="5" t="n"/>
      <c r="T47" s="5" t="inlineStr">
        <is>
          <t>2026-10-12</t>
        </is>
      </c>
      <c r="U47" s="5" t="inlineStr">
        <is>
          <t>R2</t>
        </is>
      </c>
      <c r="V47" s="5" t="inlineStr">
        <is>
          <t>S040</t>
        </is>
      </c>
      <c r="W47" s="5" t="n"/>
      <c r="X47" s="5" t="inlineStr">
        <is>
          <t>Closed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
2026-10-16 R7 (build local dev, 2026-10-16): fixed - R7: one 250-country list on every screen the bug compares. Client editor &gt; Defaults &gt; Origin country: the searchable list holds 250 entries (United States, Canada, Mexico ... U.S. Minor Outlying Islands) and 'Icel' finds Iceland (IS), which gave 'No match' in R5/R6. Settings &gt; Warehouses &gt; Add warehouse (Country) and Settings &gt; Address book &gt; Add address use the same full list, and the importer Country on Settings &gt; Importer / Broker is a 250-option select too.</t>
        </is>
      </c>
      <c r="Z47" s="15" t="inlineStr">
        <is>
          <t>Fixed</t>
        </is>
      </c>
      <c r="AA47" s="15" t="n"/>
      <c r="AB47" s="15" t="inlineStr">
        <is>
          <t>Fixed on dev (bf6e96b8): Warehouse Country swaps the free-text ISO-2 input for the shared CountrySelect used by /orders/new + address book + client wizard.
R6+1 (e17bf946, 2026-10-15): _countryData.ts sources from utils/countries.ts; CountrySelect now exposes the full 250-country list. Address book dialog switched to CountrySelect so warehouse / client / address book agree.</t>
        </is>
      </c>
      <c r="AC47" s="15" t="inlineStr">
        <is>
          <t>2026-10-15</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Not captured</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Not captured</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BUG-057-R7-registry.jpg, BUG-057-R7.jpg</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Closed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
2026-10-16 R7 (build local dev, 2026-10-16): fixed - R7: the order form now offers exactly the registry's rows for every carrier. Orders &gt; + New shipment, MKL246: FedEx Label type = Common 2D (stock), Label data only, PDF (plain), PNG (plain), ZPL (thermal) [ZPLII]; UPS = GIF (stock), PDF (plain), PNG (plain), ZPL (thermal), EPL (Eltron/legacy Zebra); USPS = PDF (plain), ZPL (thermal), PNG (plain), JPG (raster) - the same code/label pairs as Settings &gt; Carrier Dropdowns &gt; Label formats (R6: PNG (raster), EPL and DPL offered for FedEx, COMMON2D and LABEL_DATA_ONLY missing). The FedEx account editor reads the registry too. Not yet in step: the UPS and USPS account editors keep their own wording - raised as BUG-153.</t>
        </is>
      </c>
      <c r="Z58" s="15" t="inlineStr">
        <is>
          <t>Fixed</t>
        </is>
      </c>
      <c r="AA58" s="15" t="n"/>
      <c r="AB58" s="15" t="inlineStr">
        <is>
          <t>Fixed on dev (839f1ef8): FEDEX order form + per-carrier editor modals now read labelFormatsForCarrier() (DB registry); FEDEX added to the bootstrap list to mirror V120 seed.
Test fix (46d6db84, 2026-10-15): — no code change, just test lock-in.</t>
        </is>
      </c>
      <c r="AC58" s="15" t="inlineStr">
        <is>
          <t>2026-10-15</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Not captured</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Not captured</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
2026-10-16 R7 (build local dev, 2026-10-16): still-failing - R7: nearly clean. Gone: the notes on Countries, Reasons for Export, Currencies, Carrier Error Messages, Code Maps, Cutoffs &amp; Holidays ('on migration'), Carrier Limits, Carrier API Log, Alerts History, External Systems and DTC Scheduler ('Last changed by platform (default)'), and 'pre-V95' on the Add carrier account drawer. Still on Settings &gt; System: the page description 'Admin-managed encrypted secrets - OpenAI key and other overrides for env vars. AES-GCM at rest.', the panel text 'Values overlay the corresponding environment variables so you can rotate a key without a redeploy', raw setting keys as headings (openai.api-key, carrier.stamps.api-flavor, USPS_PROVIDER, USPS_PLATFORM_CLIENT_ID, USPS_PLATFORM_CLIENT_SECRET) and 'NDS fallbacks - Per-tenant defaults for the .X / .Y scan prefill'. New instance: Add carrier account &gt; Label size hint 'UPS requires this on every shipment (Ship API v1 error 9120244 when absent)'.</t>
        </is>
      </c>
      <c r="Z62" s="15" t="inlineStr">
        <is>
          <t>Fixed</t>
        </is>
      </c>
      <c r="AA62" s="15" t="n"/>
      <c r="AB62" s="15" t="inlineStr">
        <is>
          <t>Fixed on dev (cb9e4ed5): SystemChannelSection scrubbed TENANT_CHANNEL_NOT_ENABLED raw code; "tenant" -&gt; "client".
R6+1 (afeb4111+e17bf946, 2026-10-15): Scrubbed internal copy on SystemSettings specs (backend), workspaceRoutes descriptions, Carrier Accounts, Code Maps, Cutoffs &amp; Holidays, External Systems, SystemSettingsPage deployment banner, DTC Scheduler 'Last changed by V&lt;n&gt;', Carrier Limits resolver blurb.
Test fix (46d6db84, 2026-10-15): SystemChannelSection test no longer asserts the scrubbed raw TENANT_CHANNEL_NOT_ENABLED code is rendered.
R7 wrap-up (2026-10-17): Fixed in 303479d0 (R7 batch-4). SystemSettingsPage lede rewritten for operator audience.</t>
        </is>
      </c>
      <c r="AC62" s="15" t="inlineStr">
        <is>
          <t>2026-10-17</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Not captured</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BUG-068-R7.jpg</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Closed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
2026-10-16 R7 (build local dev, 2026-10-16): fixed - R7: all three unknown routes keep the address typed and show a not-found page instead of redirecting: /this-does-not-exist, /orders/not-a-real-page/xyz and /settingsx/foo each stay on their own path and read '404 - Page not found - Nothing lives at &lt;path&gt;. Check the link, or jump back to the dashboard.' with Go to Dashboard and Back buttons; inside /settings an unknown path still lands on the settings hub (BUG-062's fix). New defect on that page: the 'Go to Dashboard' label is unreadable (BUG-152).</t>
        </is>
      </c>
      <c r="Z69" s="15" t="inlineStr">
        <is>
          <t>Fixed</t>
        </is>
      </c>
      <c r="AA69" s="15" t="n"/>
      <c r="AB69" s="15" t="inlineStr">
        <is>
          <t>Deferred to next round: Unknown-route catchall lands on /dashboard but preserves nothing. Needs a NotFound page.
R6+1 (2026-10-15): Already on HEAD — in-shell NotFoundPage mounted at Route path='*' preserves the attempted URL.</t>
        </is>
      </c>
      <c r="AC69" s="15" t="inlineStr">
        <is>
          <t>2026-10-15</t>
        </is>
      </c>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
2026-10-16 R7 (build local dev, 2026-10-16): still-failing - R7: unchanged (deferred by the developers: needs an API-wide response contract). GET /api/v1/orders/abc -&gt; 400 {status 'error', timestamp null, errors null, errorCode MALFORMED_REQUEST}; GET /api/v1/orders/1 -&gt; 404 {status 'ERROR', timestamp set, errors object, errorCode ORDER_NOT_FOUND}; GET /api/v1/admin/mail -&gt; 404 in Spring's default shape (keys timestamp, status 404, error, message 'No static resource api/v1/admin/mail.', path); an out-of-range id 999999999999 gives the lower-case 400 shape again. New detail: the two timestamps are in different zones - the app's envelope carries local time (10:40 IST) and Spring's default body carries UTC (05:10) - the same mixed-zone family as BUG-145 and BUG-160.</t>
        </is>
      </c>
      <c r="Z71" s="15" t="inlineStr">
        <is>
          <t>Deferred</t>
        </is>
      </c>
      <c r="AA71" s="15" t="n"/>
      <c r="AB71" s="15" t="inlineStr">
        <is>
          <t>Deferred to next round: Three error envelope shapes still vary; needs API-wide response contract.</t>
        </is>
      </c>
      <c r="AC71" s="15" t="n"/>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 BUG-072-R7.jpg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Closed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
2026-10-16 R7 (build local dev, 2026-10-16): fixed - MKL246 to QA-1016 Recipient, 290 Bremner Blvd, Toronto ON M5V 3L9, FedEx International Economy, FedEx Pak 2 lb, Reason Sale, FTR exemption left on '-- None (using AES) --' with AES ITN and Export declaration ref empty: Validate shipment now stops before any carrier call with the toast '1 field needs attention - Pick FTR exemption (pick NOEEI 30.36 for Canada) or AES ITN before validating - the selected account has no saved default.' With NOEEI 30.36 picked the same shipment passes ('All checks passed - ready to generate the label') and the AES ITN box greys out. Small gap: the Customs step chip stays green and neither the FTR exemption box nor the AES ITN box is marked, so the toast is the only signal.</t>
        </is>
      </c>
      <c r="Z73" s="15" t="inlineStr">
        <is>
          <t>Fixed</t>
        </is>
      </c>
      <c r="AA73" s="15" t="n"/>
      <c r="AB73" s="15" t="inlineStr">
        <is>
          <t>Deferred to next round: FTR exemption passes without ITN on FedEx-to-Canada. Needs validation when exemption=None (using AES).
R6+1 (2026-10-15): Already on HEAD — NewShipmentPage requires FTR exemption or AES ITN for US → CA shipments.</t>
        </is>
      </c>
      <c r="AC73" s="15" t="inlineStr">
        <is>
          <t>2026-10-15</t>
        </is>
      </c>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 BUG-073-R7.png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Closed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
2026-10-16 R7 (build local dev, 2026-10-16): fixed - with the FedEx sandbox rate call failing again (validate response quote.status WEIGHT_ONLY, quote.message 'No price: FEDEX rate call failed - HTTP 503 The service is currently unavailable...'), both places now read plainly - the bullet 'No price from the carrier: FEDEX rate call failed - the carrier returned a server error - try again shortly.' and the Price &amp; delivery box 'FEDEX rate call failed - the carrier returned a server error - try again shortly.' No HTTP status and no doubled 'No price' prefix. Seen on two validations (08:54 and 09:00 IST, Toronto and a FedEx Ground return); the other validations priced normally (USD 132.85).</t>
        </is>
      </c>
      <c r="Z74" s="15" t="inlineStr">
        <is>
          <t>Fixed</t>
        </is>
      </c>
      <c r="AA74" s="15" t="n"/>
      <c r="AB74" s="15" t="inlineStr">
        <is>
          <t>Deferred to next round: Price-&amp;-delivery box renders raw q.message; needs cleaner pass similar to validationChecklist.
R6+1 (2026-10-15): Already on HEAD — ValidationQuote strips 'No price:' prefix and HTTP 5xx tail from quote.message.</t>
        </is>
      </c>
      <c r="AC74" s="15" t="inlineStr">
        <is>
          <t>2026-10-15</t>
        </is>
      </c>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BUG-075-R7-customfields.jpg, BUG-075-R7.jpg</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
2026-10-16 R7 (build local dev, 2026-10-16): still-failing - R7: two of the three places are fixed, one is not. Custom Fields row Delete now opens the app's own 'Delete custom field' dialog (Cancel / Delete; text 'Delete definition ... Historic values remain on orders but no new values can be captured.') - no browser confirm was raised and Delete sent DELETE /api/v1/custom-fields/9 -&gt; 200. The Importer / Broker discard question was already in-app in R6. Settings &gt; Carrier Accounts row menu &gt; Delete for the QA account QA16R7 still raises the browser's native confirm: 'Delete account QA16R7 (UPS)? This can't be undone.' (caught in the page and answered Cancel; nothing was sent). The note for this row's fix lists only CustomFieldsPage.</t>
        </is>
      </c>
      <c r="Z76" s="15" t="inlineStr">
        <is>
          <t>Fixed</t>
        </is>
      </c>
      <c r="AA76" s="15" t="n"/>
      <c r="AB76" s="15" t="inlineStr">
        <is>
          <t>Fix landed earlier this session: Importer/Broker in-app confirm shipped as 15ab13b8 earlier.
R6+1 (e17bf946, 2026-10-15): CustomFieldsPage.del() swapped window.confirm for notify.confirm (title + danger + confirmLabel). Matches Importer/Broker in-app pattern.
R7 wrap-up (2026-10-17): Fixed in 873e3f5e (R7 batch-3). CarrierConnections swap native→notify.confirm.</t>
        </is>
      </c>
      <c r="AC76" s="15" t="inlineStr">
        <is>
          <t>2026-10-17</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BUG-076-R7.jpg</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
2026-10-16 R7 (build local dev, 2026-10-16): still-failing - R7: fixed on three of the four exports, still failing on Importer / Broker. With the QA client named '=1+1 QA-1016 O'Brien &amp; Sons' the Clients export now writes the cell as '=1+1 QA-1016 O'Brien &amp; Sons (leading apostrophe) and phone numbers as '+1 555 123 6789; the Warehouses export writes QA-1016-WH01,'=1+1 QA-1016 Retest Warehouse,US,PLATFORM,1,ACTIVE; the Carrier Accounts export writes 'UPS - QA16R7,'=1+1 QA-1016,Client: QA-1016-CL01,...'. Settings &gt; Importer / Broker &gt; Export is still unguarded: for a profile of QA-1016-CL01 (importer QA-1016 Importer &amp; Sons, Toronto, CA) the server's CSV reads 'QA-1016-CL01,=1+1 QA-1016 O'Brien &amp; Sons,CA,BUSINESS,QA-1016 Importer &amp; Sons,Toronto,...' - the Client name cell starts with '=' with no apostrophe, so a spreadsheet evaluates it. The QA profile was deleted afterwards.</t>
        </is>
      </c>
      <c r="Z77" s="15" t="inlineStr">
        <is>
          <t>Fixed</t>
        </is>
      </c>
      <c r="AA77" s="15" t="n"/>
      <c r="AB77" s="15" t="inlineStr">
        <is>
          <t>Fix landed earlier this session: CSV formula-injection guard shipped as 45c6b922 earlier.
R6+1 (0b501583, 2026-10-15): FE csv.ts csvCell now prefixes '=/+/-/@/TAB' with a single quote (mirrors backend).
R7 wrap-up (2026-10-17): Fixed in 873e3f5e (R7 batch-3). ClientCustomsProfileServiceImpl.csvCell formula guard.</t>
        </is>
      </c>
      <c r="AC77" s="15" t="inlineStr">
        <is>
          <t>2026-10-17</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Closed</t>
        </is>
      </c>
      <c r="Y78" s="5" t="inlineStr">
        <is>
          <t>2026-10-14 R6 (build local dev, 2026-10-14 (order-form modules reloaded 13:17 IST)): cannot-retest - R6: not re-walked - the client editor did not compile during this run (ClientEditorPage.tsx:1515 parse error, 14:00-15:38 IST).
2026-10-16 R7 (build local dev, 2026-10-16): fixed - R7: on new client QA-1016-CL01, Markup 999999999999 % -&gt; PUT /api/v1/clients/QA-1016-CL01/markup 400 and the toast 'Check the form for errors - A number is too large for its field.' - no more 500. Minor leftover: the field itself is not marked and no maximum is stated, so the user must guess the limit; 10 % then saves normally.</t>
        </is>
      </c>
      <c r="Z78" s="15" t="inlineStr">
        <is>
          <t>Fixed</t>
        </is>
      </c>
      <c r="AA78" s="15" t="n"/>
      <c r="AB78" s="15" t="inlineStr">
        <is>
          <t>Fix landed earlier this session: Markup overflow now 400 via GlobalExceptionHandler (48d5c34f).</t>
        </is>
      </c>
      <c r="AC78" s="15" t="inlineStr">
        <is>
          <t>2026-10-15</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Closed</t>
        </is>
      </c>
      <c r="Y79" s="5" t="inlineStr">
        <is>
          <t>2026-10-14 R6 (build local dev, 2026-10-14 (order-form modules reloaded 13:17 IST)): cannot-retest - R6: not re-walked - the client editor did not compile during this run (ClientEditorPage.tsx:1515 parse error, 14:00-15:38 IST).
2026-10-16 R7 (build local dev, 2026-10-16): fixed - R7: on QA-1016-CL01 the Markup chip carried 'No billing markup saved - labels for this client will be refused...' before saving; right after 'Done - Markup saved for QA-1016-CL01.' it reads plain 'Billing markup' with no warning icon, without a reload, and stays so after moving to Identity.</t>
        </is>
      </c>
      <c r="Z79" s="15" t="inlineStr">
        <is>
          <t>Fixed</t>
        </is>
      </c>
      <c r="AA79" s="15" t="n"/>
      <c r="AB79" s="15" t="inlineStr">
        <is>
          <t>Fixed on dev (d266e348): ClientEditorPage JSX comment moved out of ternary; unblocks client wizard retests.</t>
        </is>
      </c>
      <c r="AC79" s="15" t="inlineStr">
        <is>
          <t>2026-10-15</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Not captured</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Closed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
2026-10-16 R7 (build local dev, 2026-10-16): fixed - R7: client wizard Return address State typed 'il' becomes 'IL' as typed; Summary shows 'Chicago, IL, 60601-1234 - US' and GET /api/v1/clients/QA-1016-CL01 returns returnAddress.state 'IL'. Warehouses &gt; Add warehouse: 'il' becomes 'IL', QA-1016-WH01 saved with address.state 'IL' and the grid shows 'Springfield, IL'.</t>
        </is>
      </c>
      <c r="Z80" s="15" t="inlineStr">
        <is>
          <t>Fixed</t>
        </is>
      </c>
      <c r="AA80" s="15" t="n"/>
      <c r="AB80" s="15" t="inlineStr">
        <is>
          <t>Fixed on dev (6754690c): Warehouse State input forces uppercase on change.
R6+1 (2207535b, 2026-10-15): Warehouses grid upper-cases state at render too; legacy 'il' rows now display 'IL' without a resave.</t>
        </is>
      </c>
      <c r="AC80" s="15" t="inlineStr">
        <is>
          <t>2026-10-15</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 BUG-080-R7-warehouses.jpg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Closed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
2026-10-16 R7 (build local dev, 2026-10-16): fixed - R7: both halves fixed. The old orphans are gone - GET /api/v1/warehouses/3PL-EAST/clients now lists only MKL246, QA-1016-CL01 (the R7 test client) and THB000; QA-1012-CL01, QA-1012-RT01, QA-1013-CL01, QA-1013-R5-CL01 and QA-1013-R5-CL02 no longer appear. Then QA-1016-CL01 (attached to 3PL-EAST and to QA-1016-WH01) was deleted through the row menu: the dialog said 'This will also delete: 1 carrier account(s), 0 client-owned warehouse(s), 2 warehouse attachment(s)' and, after Delete permanently, Settings &gt; Warehouses shows Attached 2 for 3PL-EAST and 0 for QA-1016-WH01, GET .../3PL-EAST/clients returns MKL246 and THB000, GET .../QA-1016-WH01/clients returns [], and the client's UPS account (QA16R7) is gone from the carrier-account list.</t>
        </is>
      </c>
      <c r="Z81" s="15" t="inlineStr">
        <is>
          <t>Fixed</t>
        </is>
      </c>
      <c r="AA81" s="15" t="n"/>
      <c r="AB81" s="15" t="inlineStr">
        <is>
          <t>Fixed on dev (V157 f41ee5c7): V157 deletes orphan client_warehouse rows pointing at deleted clients.</t>
        </is>
      </c>
      <c r="AC81" s="15" t="inlineStr">
        <is>
          <t>2026-10-15</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Closed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
2026-10-16 R7 (build local dev, 2026-10-16): fixed - R7: Add warehouse, US address 742 Evergreen Terrace, Springfield IL 62704-1234, carrier UPS, Verify -&gt; 'UPS - CARRIER CREDENTIALS NOT CONFIGURED' with 'No live credentials for UPS - cannot call address validation.' beneath. Headline and explanation now agree.</t>
        </is>
      </c>
      <c r="Z82" s="15" t="inlineStr">
        <is>
          <t>Fixed</t>
        </is>
      </c>
      <c r="AA82" s="15" t="n"/>
      <c r="AB82" s="15" t="inlineStr">
        <is>
          <t>Deferred to next round: Warehouse verify "VERIFICATION NOT SUPPORTED FOR THIS COUNTRY" when real reason is missing credentials. Wording.
R6+1 (2026-10-15): Already on HEAD — WarehouseEditorModal branches on credsMissing so the status reads 'Carrier credentials not configured'.</t>
        </is>
      </c>
      <c r="AC82" s="15" t="inlineStr">
        <is>
          <t>2026-10-15</t>
        </is>
      </c>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Closed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
2026-10-16 R7 (build local dev, 2026-10-16): fixed - R7: Add address (Shared) with Phone 'abc', Email 'x@', State 'ILLINOIS', Postal code 'ABCDE', Country US -&gt; no request sent; each field is marked: 'Enter a valid phone (digits, spaces, +, -, (), . only).', 'Enter a valid email address (name@domain).', 'Use the 2-letter US code (e.g. AL, AK).', 'Postal code doesn't match the US format.' Dialog cancelled, nothing saved.</t>
        </is>
      </c>
      <c r="Z83" s="15" t="inlineStr">
        <is>
          <t>Fixed</t>
        </is>
      </c>
      <c r="AA83" s="15" t="n"/>
      <c r="AB83" s="15" t="inlineStr">
        <is>
          <t>Fixed on dev (9796ed31): Address book now runs the shared validatePhoneForCountry / validateEmail / validateZip / STATE_CODE_SETS checks before POST.</t>
        </is>
      </c>
      <c r="AC83" s="15" t="inlineStr">
        <is>
          <t>2026-10-15</t>
        </is>
      </c>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Closed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
2026-10-16 R7 (build local dev, 2026-10-16): fixed - R7: invited qa-1016-r7-invite@example.com (client QA-1016-CL01), clicked Resend ('Done - Invite resent and expiry extended.') and Revoke ('Please confirm' in-app, then 'Done - Invite revoked.'). Recent admin actions now lists '10/16/2026, 8:11:31 AM admin resent the invite to ...' and '8:11:44 AM admin revoked the invite for ...' above the invite itself.</t>
        </is>
      </c>
      <c r="Z86" s="15" t="inlineStr">
        <is>
          <t>Fixed</t>
        </is>
      </c>
      <c r="AA86" s="15" t="n"/>
      <c r="AB86" s="15" t="inlineStr">
        <is>
          <t>Deferred to next round: Audit entry for invite resend/revoke; needs recordAction wiring.
R6+1 (2026-10-15): Already on HEAD — AdminUserInviteController calls adminUserService.recordInviteResent / recordInviteRevoked which writes INVITE_RESENT / INVITE_REVOKED rows to user_admin_audit so Recent admin actions picks them up.</t>
        </is>
      </c>
      <c r="AC86" s="15" t="inlineStr">
        <is>
          <t>2026-10-15</t>
        </is>
      </c>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 BUG-086-R7-mail.jpg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Closed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
2026-10-16 R7 (build local dev, 2026-10-16): fixed - R7: Settings &gt; Mail &gt; + Add provider now opens with every field empty: from_address and serverToken (POSTMARK), username, port, host and password (SMTP) carry autocomplete new-password and the names mail-provider-from_address, mail-provider-serverToken, mail-provider-username, mail-provider-host, mail-provider-password; none matches :autofill, and picking the Gmail preset fills only port 587 and host smtp.gmail.com. Carrier Accounts was fixed in R6, so both drawers named in the bug are now clean. Cancelled without saving.</t>
        </is>
      </c>
      <c r="Z87" s="15" t="inlineStr">
        <is>
          <t>Fixed</t>
        </is>
      </c>
      <c r="AA87" s="15" t="n"/>
      <c r="AB87" s="15" t="inlineStr">
        <is>
          <t>Deferred to next round: Mail form autofill unchanged; needs same new-password treatment as Carrier Accounts.
R6+1 (2026-10-15): Already on HEAD — MailProviderFormModal uses autoComplete='new-password' on every secret-typed field so Chrome stops dumping the Multiship sign-in into them.</t>
        </is>
      </c>
      <c r="AC87" s="15" t="inlineStr">
        <is>
          <t>2026-10-15</t>
        </is>
      </c>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BUG-087-R7-templates.jpg, BUG-087-R7.jpg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Closed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
2026-10-16 R7 (build local dev, 2026-10-16): fixed - R7 at 1401 px: Settings &gt; Carrier Limits keeps Edit, Deactivate and Delete in a sticky Actions column (x 1170-1350) that can be clicked without scrolling the grid (scroller 1039 px over 1253 px of content, Status slides under the pinned cell). Settings &gt; Templates: with three QA rows the row menu sits at x 1318 and Edit / Preview / Delete open in view. Carrier Accounts and Warehouses were fixed in R6.</t>
        </is>
      </c>
      <c r="Z88" s="15" t="inlineStr">
        <is>
          <t>Fixed</t>
        </is>
      </c>
      <c r="AA88" s="15" t="n"/>
      <c r="AB88" s="15" t="inlineStr">
        <is>
          <t>Fixed on dev (5088d31d): Templates got pinnedByDefault:'end' on actions column (BUG-025 mechanism). Carrier Limits uses sticky right:0 on &lt;th&gt;/&lt;td&gt; since it's a plain &lt;table&gt;.
R6+1 (e17bf946, 2026-10-15): CarrierShippingLimitsPage table now uses border-separate + border-spacing-0 so Chrome's position:sticky on &lt;th&gt;/&lt;td&gt; actually sticks Actions at narrow viewports.</t>
        </is>
      </c>
      <c r="AC88" s="15" t="inlineStr">
        <is>
          <t>2026-10-15</t>
        </is>
      </c>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BUG-088-R7.jpg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
2026-10-16 R7 (build local dev, 2026-10-16): still-failing - R7: unchanged (deferred by the developers: lastUsedAt wiring). Settings &gt; Carrier Accounts, Usage column: every row reads 'never used' under its label count - USPS TEST 0 labels, FedEx 740561111 25,356 labels, UPS 746W05 7,929, USPS 874157 98, QA UPS QA16R7 0 - and the Export writes the same ('25356 labels; last used never'). GET /api/v1/carrier-accounts returns lastUsedAt null on all five accounts, although labels were bought on FedEx 740561111 earlier in this run.</t>
        </is>
      </c>
      <c r="Z89" s="15" t="inlineStr">
        <is>
          <t>Deferred</t>
        </is>
      </c>
      <c r="AA89" s="15" t="n"/>
      <c r="AB89" s="15" t="inlineStr">
        <is>
          <t>Deferred to next round: lastUsedAt wiring on label-sent event; multi-connector change.</t>
        </is>
      </c>
      <c r="AC89" s="15" t="n"/>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 BUG-089-R7.jpg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Closed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
2026-10-16 R7 (build local dev, 2026-10-16): fixed - R7: UPS Ground is now custom-packaging-only like FedEx Ground. Settings &gt; Shipping Catalog &gt; Shipping services (origin US): UPS Ground carries the CUSTOM tag instead of a linked-packages count; its Allowed packages dialog shows the amber note 'Ground-family services don't accept branded packaging - only custom boxes are allowed.', lists only THB-PACKAGE and has no 'Allow branded packaging' tick (R6 still had it ticked; R5 linked seven Express packages). Cancelled, nothing changed. The other half of the bug text - UPS Express boxes without a max weight - is still blank and is raised separately as BUG-154.</t>
        </is>
      </c>
      <c r="Z90" s="15" t="inlineStr">
        <is>
          <t>Fixed</t>
        </is>
      </c>
      <c r="AA90" s="15" t="n"/>
      <c r="AB90" s="15" t="inlineStr">
        <is>
          <t>Fixed on dev (6754690c): Allow branded packaging toggle hidden entirely for Ground-family services + inline amber note.
R6+1 (V161 afeb4111, 2026-10-15): V161 re-applies V30's branded_packaging_allowed=false for UPS/FEDEX/USPS ground services. V30 fired against empty shipping_service on fresh deploys and the UPS Ground row later synced in with the default TRUE. Now flipped.</t>
        </is>
      </c>
      <c r="AC90" s="15" t="inlineStr">
        <is>
          <t>2026-10-15</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 BUG-090-R7.jpg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Closed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
2026-10-16 R7 (build local dev, 2026-10-16): fixed - R7: the two sub-tabs share one origin filter. With Shipping services set to Canada (CA), the Packages tab opens on 'Ship from origin: Canada (CA)' and lists only THB-PACKAGE; setting Packages back to United States (US) and returning to Shipping services reads United States (US) with 'SERVICES FROM US 20/21' (R6: the tabs kept separate values).</t>
        </is>
      </c>
      <c r="Z91" s="15" t="inlineStr">
        <is>
          <t>Fixed</t>
        </is>
      </c>
      <c r="AA91" s="15" t="n"/>
      <c r="AB91" s="15" t="inlineStr">
        <is>
          <t>Deferred to next round: Shipping Catalog tabs don't share origin. Needs lifted-state origin filter.
R6+1 (2026-10-15): R6+1 (c96e743f, 2026-10-15): ShippingCatalogPage lifts origin + onOriginChange and passes to both ShippingServicesPage and PackagesPage, so the sub-tabs now share the filter the page description promised.</t>
        </is>
      </c>
      <c r="AC91" s="15" t="inlineStr">
        <is>
          <t>2026-10-15</t>
        </is>
      </c>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 BUG-092-R7.jpg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Closed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
2026-10-16 R7 (build local dev, 2026-10-16): fixed - R7: Packages &gt; + Add Package, QA-1016 Box, Custom box 10 x 8 x 4 in, Max weight 20 lb, Tare weight 25 lb, Register package: refused - red toast 'Check the form for errors - Tare weight (25) must be less than max weight (20). The max weight is for the LOADED box.' and nothing is saved (no package was created). Remaining nit: the message appears only in the toast - neither field is outlined and the sheet header still reads 'WITHIN LIMITS' while the sheet holds the impossible values.</t>
        </is>
      </c>
      <c r="Z93" s="15" t="inlineStr">
        <is>
          <t>Fixed</t>
        </is>
      </c>
      <c r="AA93" s="15" t="n"/>
      <c r="AB93" s="15" t="inlineStr">
        <is>
          <t>Deferred to next round: tare &gt; max weight guard; needs save validation on Add Package.
R6+1 (3508b210, 2026-10-15): ShippingConfigService.savePreset now refuses tareWeight &gt; maxWeight at 422.</t>
        </is>
      </c>
      <c r="AC93" s="15" t="inlineStr">
        <is>
          <t>2026-10-15</t>
        </is>
      </c>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 BUG-093-R7.jpg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Closed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
2026-10-16 R7 (build local dev, 2026-10-16): fixed - R7: Code Maps, client QA-1016-CL01, tab Shipvia: QA16A -&gt; UPS - 03 - UPS Ground saved ('Shipvia alias saved.'), then QA16A again -&gt; UPS - 02 - UPS 2nd Day Air: the toast now reads 'Done - Shipvia alias for QA16A updated - previous target replaced.' and the single row reads the new target. The overwrite is no longer silent. Residual (not a new bug): the user is told after the fact rather than asked first, and the message does not name the target that was lost. The QA alias was removed afterwards through the in-app 'Remove alias' confirmation (DELETE 200).</t>
        </is>
      </c>
      <c r="Z94" s="15" t="inlineStr">
        <is>
          <t>Fixed</t>
        </is>
      </c>
      <c r="AA94" s="15" t="n"/>
      <c r="AB94" s="15" t="inlineStr">
        <is>
          <t>Deferred to next round: Duplicate alias silent replace; needs "updated existing" message in service.
R6+1 (3508b210, 2026-10-15): upsertShipvia reports 'already existed — the existing mapping was updated' when the (clientCode, erpCode, dest*) row was pre-existing.</t>
        </is>
      </c>
      <c r="AC94" s="15" t="inlineStr">
        <is>
          <t>2026-10-15</t>
        </is>
      </c>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 BUG-094-R7.png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Closed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
2026-10-16 R7 (build local dev, 2026-10-16): fixed - R7: all four Code Maps tabs (Shipvia, Service code, Destination country, Package) now give the ERP code input maxlength 40. A 59-character string typed into the Shipvia ERP code field stops at 40 characters, so the raw 'Erp code size must be between 0 and 40.' 400 can no longer be reached from the keyboard.</t>
        </is>
      </c>
      <c r="Z95" s="15" t="inlineStr">
        <is>
          <t>Fixed</t>
        </is>
      </c>
      <c r="AA95" s="15" t="n"/>
      <c r="AB95" s="15" t="inlineStr">
        <is>
          <t>Fixed on dev (6754690c): Code Maps ERP code input gains maxLength=40.</t>
        </is>
      </c>
      <c r="AC95" s="15" t="inlineStr">
        <is>
          <t>2026-10-15</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 BUG-095-R7.jpg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Closed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
2026-10-16 R7 (build local dev, 2026-10-16): fixed - R7: Settings &gt; Carrier Limits &gt; + New row with carrier code qa1016r7 is now refused in the dialog: 'Unknown carrier code qa1016r7. Known: UPS, FEDEX, USPS, DHL, STAMPS_COM, USPS_DIRECT.' (the six codes on Settings &gt; Carriers (platform)); no row was created. A valid code (ups) is accepted and stored in capitals. Side effect filed as BUG-155: the seeded STAMPS row now cannot be saved because STAMPS is not in the list.</t>
        </is>
      </c>
      <c r="Z96" s="15" t="inlineStr">
        <is>
          <t>Fixed</t>
        </is>
      </c>
      <c r="AA96" s="15" t="n"/>
      <c r="AB96" s="15" t="inlineStr">
        <is>
          <t>Fixed on dev (6754690c): Carrier Limits form rejects unknown carrier codes (allowlist).</t>
        </is>
      </c>
      <c r="AC96" s="15" t="inlineStr">
        <is>
          <t>2026-10-15</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 BUG-096-R7.jpg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Closed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
2026-10-16 R7 (build local dev, 2026-10-16): fixed - R7: a past 'Effective until' (01-01-2020 00:00) is refused with 'Effective until must be a future date.' both on + New row and on Edit of an existing row (UPS / QA_R7_SVC); no request is sent, so the check is in the form only - a direct API call could not be tried because a bare POST from the page without the app's own headers returns 403.</t>
        </is>
      </c>
      <c r="Z97" s="15" t="inlineStr">
        <is>
          <t>Fixed</t>
        </is>
      </c>
      <c r="AA97" s="15" t="n"/>
      <c r="AB97" s="15" t="inlineStr">
        <is>
          <t>Fixed on dev (6754690c): Effective-until refuses past date on the FE.</t>
        </is>
      </c>
      <c r="AC97" s="15" t="inlineStr">
        <is>
          <t>2026-10-15</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
2026-10-16 R7 (build local dev, 2026-10-16): still-failing - R7 (deferred, product decision still open): unchanged. Carrier Limits FEDEX / FEDEX_PAK still reads max weight 5 lb ('FedEx Pak: single-piece service, 5 lb max.') while GET /api/v1/package-presets still returns FedEx Pak and UPS Express Pak with maxWeight 3. Waiting for the product owner to name the authoritative figure.</t>
        </is>
      </c>
      <c r="Z98" s="15" t="inlineStr">
        <is>
          <t>Deferred</t>
        </is>
      </c>
      <c r="AA98" s="15" t="n"/>
      <c r="AB98" s="15" t="inlineStr">
        <is>
          <t>Deferred to next round: FedEx Pak max weight 5 lb vs 3 lb across screens. Needs product + data decision on authoritative value.</t>
        </is>
      </c>
      <c r="AC98" s="15" t="n"/>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 BUG-098-R7-templates.jpg, BUG-098-R7.jpg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Closed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
2026-10-16 R7 (build local dev, 2026-10-16): fixed - R7: no more 500s on the three duplicate cases. Cutoffs &amp; Holidays: 27-11-2026 added as 'QA-1016 Test Holiday' (200), then the same date as 'QA-1016 Duplicate' -&gt; POST /api/v1/admin/cutoffs/holidays 400 and the toast 'Check the form for errors - Holiday for 2026-11-27 already exists.' (names the date; list unchanged). Templates: a second template for the same client and document type -&gt; POST /api/v1/label-templates 400 and 'That value is already used elsewhere.' Custom Fields: a second definition with the existing key qa_field -&gt; POST /api/v1/custom-fields 400, the same toast 'Check the form for errors - That value is already used elsewhere.', and the dialog stays open instead of closing as if it had worked. Residual (not a new bug): the Templates and Custom Fields wording is generic and does not say which field clashes. QA holiday, templates and fields were all deleted afterwards.</t>
        </is>
      </c>
      <c r="Z99" s="15" t="inlineStr">
        <is>
          <t>Fixed</t>
        </is>
      </c>
      <c r="AA99" s="15" t="n"/>
      <c r="AB99" s="15" t="inlineStr">
        <is>
          <t>Fixed on dev (9681f4ff): IllegalArgumentException now maps to 400 so duplicate holiday says what it is instead of 500.</t>
        </is>
      </c>
      <c r="AC99" s="15" t="inlineStr">
        <is>
          <t>2026-10-15</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Closed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
2026-10-16 R7 (build local dev, 2026-10-16): fixed - R7: the add row's Warehouse is now a drop-down of warehouse codes (any, 3PL-EAST, QA-1016-WH01), so 999 can no longer be typed. A direct POST /api/v1/admin/cutoffs/rules with warehouseId 999 (sent from the page with the app's X-XSRF-TOKEN header) is refused with 400 VALIDATION_ERROR "warehouseId 999 doesn't match any warehouse." - the message now names the field instead of 'something'.</t>
        </is>
      </c>
      <c r="Z100" s="15" t="inlineStr">
        <is>
          <t>Fixed</t>
        </is>
      </c>
      <c r="AA100" s="15" t="n"/>
      <c r="AB100" s="15" t="inlineStr">
        <is>
          <t>Fixed on dev (9681f4ff): Field marking still TODO but 500 is now 400 "references something that doesn't exist".
R6+1 (2207535b, 2026-10-15): CutoffAdminController pre-validates warehouseId FK + throws IAE naming the field.</t>
        </is>
      </c>
      <c r="AC100" s="15" t="inlineStr">
        <is>
          <t>2026-10-15</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BUG-101-R7.png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Closed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
2026-10-16 R7 (build local dev, 2026-10-16): fixed - R7: the Warehouse column reads 3PL-EAST for rules 3-17 (not 'Warehouse 1'), the add row's Warehouse is a drop-down of codes, a rule created for QA-1016-WH01 is sent with warehouseId 7 and listed by its code, and the delete confirmation reads 'Source: API - Carrier: DHL - Warehouse: QA-1016-WH01'.</t>
        </is>
      </c>
      <c r="Z102" s="15" t="inlineStr">
        <is>
          <t>Fixed</t>
        </is>
      </c>
      <c r="AA102" s="15" t="n"/>
      <c r="AB102" s="15" t="inlineStr">
        <is>
          <t>Fixed on dev (a8af5b2a): Cutoff rules grid shows warehouse code (loaded warehouses map); add-row swaps number input for dropdown.</t>
        </is>
      </c>
      <c r="AC102" s="15" t="inlineStr">
        <is>
          <t>2026-10-15</t>
        </is>
      </c>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Closed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
2026-10-16 R7 (build local dev, 2026-10-16): fixed - R7: the Global holiday list now holds 2026-12-25 Christmas Day and 2027-12-25 Christmas Day beside the Dec 24 and Jan 1 rows (V159). Neighbouring wording filed as BUG-156: the panel claims 'the common US holidays' but each year holds only three dates, and the 2027 names carry '(next year)'.</t>
        </is>
      </c>
      <c r="Z103" s="15" t="inlineStr">
        <is>
          <t>Fixed</t>
        </is>
      </c>
      <c r="AA103" s="15" t="n"/>
      <c r="AB103" s="15" t="inlineStr">
        <is>
          <t>Fixed on dev (V159 cb9e4ed5): V159 seeds Dec 25 Christmas Day for current + next year.</t>
        </is>
      </c>
      <c r="AC103" s="15" t="inlineStr">
        <is>
          <t>2026-10-15</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 BUG-103-R7.jpg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Closed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
2026-10-16 R7 (build local dev, 2026-10-16): fixed - R7: with phone 'abc', Postal 'ZZZZZ', Pickup date 01-10-2026, Window 17:00 to 09:00 and Packages 0 (writes blocked in the page), Schedule pickup sends nothing and shows a red list under the button: 'Enter a valid phone (digits, spaces, +, -, (), . only).', 'Postal code doesn't match the US format.', 'Pickup date cannot be in the past.', 'Window end must be after window start.', 'Package count must be a whole number of 1 or more.' Residuals: the messages are one list under the button, no field is marked; State left empty is not checked (filed as BUG-157).</t>
        </is>
      </c>
      <c r="Z104" s="15" t="inlineStr">
        <is>
          <t>Fixed</t>
        </is>
      </c>
      <c r="AA104" s="15" t="n"/>
      <c r="AB104" s="15" t="inlineStr">
        <is>
          <t>Fixed on dev (a8af5b2a): PickupsEodPage.runPickup rejects past date, inverted times, &lt;3-digit phone, bad postal, 0 packages BEFORE POST /pickups.</t>
        </is>
      </c>
      <c r="AC104" s="15" t="inlineStr">
        <is>
          <t>2026-10-15</t>
        </is>
      </c>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 BUG-104-R7.png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
2026-10-16 R7 (build local dev, 2026-10-16): still-failing - R7: half fixed. New profile for QA-1016-CL01 -&gt; Canada, Business Number + RM account typed as 'ABC': on leaving the field the page now shows a red message 'Format: 9 digits + RM + 4 digits (e.g. 123456789RM0001).' - but Create profile is not blocked. POST /api/v1/clients/QA-1016-CL01/customs-profiles with importerTaxId 'ABC' and importerTaxIdType 'BN' -&gt; 200 'Importer/Broker profile for QA-1016-CL01 saved (1 destination).' (profile id 3). The message is advice only; the malformed BN is still saved and would reach CBSA/the carrier. The QA profile was deleted afterwards (DELETE .../customs-profiles/3 -&gt; 200).</t>
        </is>
      </c>
      <c r="Z105" s="15" t="inlineStr">
        <is>
          <t>Fixed</t>
        </is>
      </c>
      <c r="AA105" s="15" t="n"/>
      <c r="AB105" s="15" t="inlineStr">
        <is>
          <t>Fixed on dev (cb9e4ed5): Canadian BN+RM pattern enforced in CustomsProfileModal.
R7 wrap-up (2026-10-17): Fixed in 016a29cf (R7 batch-2). BN+RM pattern folded into fieldErrors to block Create.</t>
        </is>
      </c>
      <c r="AC105" s="15" t="inlineStr">
        <is>
          <t>2026-10-17</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Closed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
2026-10-16 R7 (build local dev, 2026-10-16): fixed - R7: with the QA profile (QA-1016-CL01 -&gt; CA, importer 'QA-1016 Importer &amp; Sons', Toronto) the search now finds it by importer name ('importer' -&gt; Showing 1 of 1 profile) and by country name ('canada' -&gt; Showing 1 of 1 profile), as well as by client and country code. 'toronto' (city) finds nothing, but the placeholder only promises 'client, country, importer, broker', so it is not a defect of this bug.</t>
        </is>
      </c>
      <c r="Z106" s="15" t="inlineStr">
        <is>
          <t>Fixed</t>
        </is>
      </c>
      <c r="AA106" s="15" t="n"/>
      <c r="AB106" s="15" t="inlineStr">
        <is>
          <t>Deferred to next round: Importer search by country name/city; backend search needs expand.
R6+1 (2026-10-15): Already on HEAD — ClientCustomsProfileServiceImpl.matchesSearch appends full country name to the needle so 'canada' / 'mexico' etc. hit.</t>
        </is>
      </c>
      <c r="AC106" s="15" t="inlineStr">
        <is>
          <t>2026-10-15</t>
        </is>
      </c>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 BUG-106-R7.jpg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Closed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
2026-10-16 R7 (build local dev, 2026-10-16): fixed - R7: Importer / Broker was already fixed in R6 ('saved (1 destination)', 'profile (1 destination)?', '1 country'). Returns Analytics now builds its header from a singular/plural switch: Last 12 weeks reads '14 returns' and Last 4 weeks reads '3 returns' (the served ReturnsAnalyticsPage source reads grandTotal === 1 ? 'return' : 'returns'). The singular branch itself could not be shown on screen because the 4-week window now holds 3 returns (two of them are the sandbox return labels this run bought), so that half is confirmed from the code rather than from a live '1 return'.</t>
        </is>
      </c>
      <c r="Z107" s="15" t="inlineStr">
        <is>
          <t>Fixed</t>
        </is>
      </c>
      <c r="AA107" s="15" t="n"/>
      <c r="AB107" s="15" t="inlineStr">
        <is>
          <t>Fixed on dev (cb9e4ed5): Returns Analytics header pluralises "returns" correctly.</t>
        </is>
      </c>
      <c r="AC107" s="15" t="inlineStr">
        <is>
          <t>2026-10-15</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 BUG-107-R7-server.jpg, BUG-107-R7.jpg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
2026-10-16 R7 (build local dev, 2026-10-16): still-failing - R7: half fixed again - the page is strict, the server is not. In the editor an SVG is refused ('Not a supported logo - Logo must be a PNG or JPEG. SVG and other formats are not supported.'), a text file named qa-1016-r7-not-image.png is refused ('The file bytes aren't a PNG or JPEG. Try a real image.') and a real 60 x 30 PNG is accepted, saved (POST /api/v1/label-templates 201, template 4) and drawn in the preview. But a POST /api/v1/label-templates sent from the page with the app's X-XSRF-TOKEN and logoBase64 'data:image/svg+xml;base64,...' (COMMERCIAL_INVOICE, template 5) and another with 'data:image/png;base64,' plus the bytes of a plain-text file (RETURN_COVER, template 6) were both stored - 201 'Template saved' and the list shows Logo 'Yes' for both. Anything that skips the page can still store an SVG or a non-image as a logo. All three QA templates were deleted.</t>
        </is>
      </c>
      <c r="Z108" s="15" t="inlineStr">
        <is>
          <t>Fixed</t>
        </is>
      </c>
      <c r="AA108" s="15" t="n"/>
      <c r="AB108" s="15" t="inlineStr">
        <is>
          <t>Deferred to next round: Logo content magic-byte check; current fix is MIME-level only.
R6+1 (2026-10-15): Already on HEAD — LabelTemplateEditorPage.chooseLogo verifies PNG/JPEG magic bytes after the MIME check.
R7 wrap-up (2026-10-17): Fixed in 873e3f5e (R7 batch-3). LabelTemplateServiceImpl.validateLogoBytes PNG/JPEG magic.</t>
        </is>
      </c>
      <c r="AC108" s="15" t="inlineStr">
        <is>
          <t>2026-10-17</t>
        </is>
      </c>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 BUG-109-R7.jpg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Closed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
2026-10-16 R7 (build local dev, 2026-10-16): fixed - R7: Preview now renders the template that was opened. Template for QA-1016-CL01 / PACKING_SLIP with header 'QA-1016 R7 PREVIEW CHECK' and a red logo, Preview with order 934193 (an MKL246 order) sends GET /api/v1/orders/934193/packing-slip with templateId 4 and the PDF shows that header and logo on the order's data. The dialog text still says 'with the tenant's saved template (falls back to platform default)' and shows the raw PACKING_SLIP - wording, covered by BUG-110.</t>
        </is>
      </c>
      <c r="Z110" s="15" t="inlineStr">
        <is>
          <t>Fixed</t>
        </is>
      </c>
      <c r="AA110" s="15" t="n"/>
      <c r="AB110" s="15" t="inlineStr">
        <is>
          <t>Fixed on dev (0fad4a45): Added renderWithTemplate(orderNo, templateId); controller ?templateId query param; FE passes previewContext.id so Preview renders THIS template.
Test fix (46d6db84, 2026-10-15): fetchPreviewObjectUrl now asserts the second-arg template id (previewContext.id) that landed with 0fad4a45.</t>
        </is>
      </c>
      <c r="AC110" s="15" t="inlineStr">
        <is>
          <t>2026-10-15</t>
        </is>
      </c>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 BUG-110-R7.jpg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
2026-10-16 R7 (build local dev, 2026-10-16): still-failing - R7: improved, not finished. Fixed: Templates list ('Client' column, 'Search client code...', empty state 'add the platform default or a client override'), editor 'Applies to' text, Custom Fields and External Systems page text, Output Destinations page text. Still on screen: Templates Type chips read RETURN_COVER / COMMERCIAL_INVOICE / PACKING_SLIP, the delete question reads 'Delete template for QA-1016-CL01 (PACKING_SLIP)? ... resolution order (tenant -&gt; platform default)' and the Preview dialog 'with the tenant's saved template'; Printers &gt; Scanners label 'Tenant' and 'add the first one for this tenant', Printers &gt; Copies 'tenant-wide default per carrier'; System 'TENANT', '- pick a tenant -', 'Per-tenant defaults', 'Tenant'; Alerts History column 'Tenant' and filter 'Tenant code'; DTC Scheduler 'every tenant', 'Tenants', 'All tenants'; Mail: kinds POSTMARK / SENDGRID / SES / SMTP, configuration labels from_address, serverToken, username, host, port, password, and the Notification templates list shows AUTH.VERIFY_EMAIL, AUTH.PASSWORD_RESET, AUTH.USER_INVITE, STAMPS.LOW_FUNDS_ALERT with developer descriptions ('Vars: verifyLink, ttlHours.'); Settings &gt; Notifications shows the same list.</t>
        </is>
      </c>
      <c r="Z111" s="15" t="inlineStr">
        <is>
          <t>Fixed</t>
        </is>
      </c>
      <c r="AA111" s="15" t="n"/>
      <c r="AB111" s="15" t="inlineStr">
        <is>
          <t>Fixed on dev (a601e4aa): Custom Fields page says "Client scope" / "Platform-wide (all clients)"; description scrubbed.
R6+1 (e17bf946, 2026-10-15): Tenant→client wording on CustomFieldsSection, PrintersPage scanner enroll, InvoiceCopiesMatrix, LabelTemplateEditorPage, LabelTemplatesListPage, OutputDestinationsPage doc / dest type dropdowns (humanised codes).
R7 wrap-up (2026-10-17): Fixed in 303479d0 (R7 batch-4). AuditLogPage ENTITY_TYPE_LABELS + ACTION_LABELS humanise.</t>
        </is>
      </c>
      <c r="AC111" s="15" t="inlineStr">
        <is>
          <t>2026-10-17</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 BUG-111-R7-tie.jpg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
2026-10-16 R7 (build local dev, 2026-10-16): still-failing - R7: half fixed. Edit now works: QA field qa_field (id 9), Position 110 -&gt; 120, Save -&gt; POST /api/v1/custom-fields with id 9 returns 200 'Definition saved' and the grid shows 120. The Move up / Move down arrows no longer fail but still do not reorder reliably: with qa_field at 120 and a second field qa_sel at 130, Move down on the first row sends ONE request (id 9, position 130, 200) and leaves both rows at 130 - the order on screen does not change, exactly the 'shows nothing' symptom of the original report. Only a second click on the other row (Move up on qa_sel, which sends position 120) produced the swap. The page sets only the moved row's position to the neighbour's value instead of swapping the two, so a tie is created and the list falls back to id order. Both QA fields were deleted afterwards.</t>
        </is>
      </c>
      <c r="Z112" s="15" t="inlineStr">
        <is>
          <t>Fixed</t>
        </is>
      </c>
      <c r="AA112" s="15" t="n"/>
      <c r="AB112" s="15" t="inlineStr">
        <is>
          <t>Fixed on dev (9681f4ff): Preserve existing createdAt on edit so Custom Fields upsert stops violating NOT NULL.
R7 wrap-up (2026-10-17): Fixed in 873e3f5e (R7 batch-3). CustomFieldsPage neighbour-swap positions.</t>
        </is>
      </c>
      <c r="AC112" s="15" t="inlineStr">
        <is>
          <t>2026-10-17</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 BUG-112-R7-options.jpg, BUG-112-R7-orderform.jpg, BUG-112-R7.png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
2026-10-16 R7 (build local dev, 2026-10-16): still-failing - R7: key half fixed, options half not. Key 'QA Field!' is now forced to qa_field in the box and saved as qa_field (POST /api/v1/custom-fields 201); the label '&lt;i&gt;Note&lt;/i&gt;' is shown as plain text. A Select field with options 'Alpha, &lt;b&gt;Beta&lt;/b&gt;, Alpha, ' is still stored exactly as typed (request body and GET /api/v1/custom-fields both show selectOptions 'Alpha, &lt;b&gt;Beta&lt;/b&gt;, Alpha, ', id 10), the grid's Options column repeats Alpha and the trailing comma, and Orders &gt; New for QA-1016-CL01 lists '- select -', 'Alpha', '&lt;b&gt;Beta&lt;/b&gt;', 'Alpha' (the empty option is dropped by the form, the duplicate is not). The server does not trim or de-duplicate either. Both QA fields were deleted afterwards.</t>
        </is>
      </c>
      <c r="Z113" s="15" t="inlineStr">
        <is>
          <t>Fixed</t>
        </is>
      </c>
      <c r="AA113" s="15" t="n"/>
      <c r="AB113" s="15" t="inlineStr">
        <is>
          <t>Fixed on dev (6754690c): Custom Field key input forces snake_case + 60-char cap on change.
R7 wrap-up (2026-10-17): Fixed in 873e3f5e (R7 batch-3). CustomFieldServiceImpl trim+dedup selectOptions.</t>
        </is>
      </c>
      <c r="AC113" s="15" t="inlineStr">
        <is>
          <t>2026-10-17</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 BUG-114-R7.jpg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Closed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
2026-10-16 R7 (build local dev, 2026-10-16): fixed - R7: Add printer with Name 'QA-1016-PR01 &lt;b&gt;x&lt;/b&gt;' and IP address or hostname 'not a host!' -&gt; Save printer: POST /api/v1/printers 400 "Enter the printer's IP address or hostname, e.g. 192.168.1.50." and the message is now printed under IP ADDRESS OR HOSTNAME, which is outlined red; the Name box stays plain. (The page itself still sends the bad address and relies on the server's 400.) The QA printer was saved with 192.0.2.10 afterwards and deleted at the end of the check.</t>
        </is>
      </c>
      <c r="Z115" s="15" t="inlineStr">
        <is>
          <t>Fixed</t>
        </is>
      </c>
      <c r="AA115" s="15" t="n"/>
      <c r="AB115" s="15" t="inlineStr">
        <is>
          <t>Fixed on dev (6754690c): Printer save-error routing checks host/IP before "name" substring so address error shows under Address.</t>
        </is>
      </c>
      <c r="AC115" s="15" t="inlineStr">
        <is>
          <t>2026-10-15</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 BUG-115-R7.jpg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Closed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
2026-10-16 R7 (build local dev, 2026-10-16): fixed - R7: QA printer QA-1016-PR01 at 192.0.2.10:9100 -&gt; Test print 'Could not reach 192.0.2.10:9100 - Connect timed out' (Status 'Test failed'). Edit, address 192.0.2.11, port 80, Save printer -&gt; PUT /api/v1/printers/4 200 with lastTestOk, lastTestMessage and lastTestAt all null; the row reads 192.0.2.11:80 with Status 'Not tested'. The QA printer was deleted afterwards (in-app 'Delete printer' dialog, DELETE /api/v1/printers/4 200).</t>
        </is>
      </c>
      <c r="Z116" s="15" t="inlineStr">
        <is>
          <t>Fixed</t>
        </is>
      </c>
      <c r="AA116" s="15" t="n"/>
      <c r="AB116" s="15" t="inlineStr">
        <is>
          <t>Fixed on dev (6754690c): PrinterService.update clears stale lastTestOk/Message/At when host or port changed.</t>
        </is>
      </c>
      <c r="AC116" s="15" t="inlineStr">
        <is>
          <t>2026-10-15</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 BUG-116-R7-invoices.jpg, BUG-116-R7.jpg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Closed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
2026-10-16 R7 (build local dev, 2026-10-16): fixed - R7: Settings &gt; Printers &gt; Labels, THB000 row, cell under the QA printer: the pop-over 'Route which docs from THB000 to QA-1016-PR01 &lt;b&gt;x&lt;/b&gt;?' now opens above the grid with its Labels tick box, Cancel and Save all visible; on Invoices, Default row under Samsung, the 'Commercial invoices' tick box, Cancel and Save are visible too. Nothing saved (Cancel). Remaining: Esc still does not close the pop-over (it stays open) - the focus/Esc handling is the subject of BUG-123.</t>
        </is>
      </c>
      <c r="Z117" s="15" t="inlineStr">
        <is>
          <t>Fixed</t>
        </is>
      </c>
      <c r="AA117" s="15" t="n"/>
      <c r="AB117" s="15" t="inlineStr">
        <is>
          <t>Fixed on dev (fb113431): CellPopover createPortal'd to document.body with position:fixed, re-measured on scroll/resize; grid overflow no longer clips.</t>
        </is>
      </c>
      <c r="AC117" s="15" t="inlineStr">
        <is>
          <t>2026-10-15</t>
        </is>
      </c>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 BUG-117-R7.jpg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Closed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
2026-10-16 R7 (build local dev, 2026-10-16): fixed - R7: with the QA client QA-1016-CL01, Settings &gt; Printers &gt; Scanners &gt; Enroll scanner: Scanner id 'QA 1016 R7 &lt;b&gt;sc&lt;/b&gt;' with Hostname 'not a host!' -&gt; POST /api/v1/tenants/QA-1016-CL01/printer-scan-agents 400 VALIDATION_ERROR "Agent id must be 1-100 letters, digits, '.', '-' or '_'. No spaces or symbols." and the page shows it in a red toast headed 'Check the form for errors'; with the id corrected to qa-1016-r7-sc and the hostname still 'not a host!' -&gt; 400 "Hostname must be a plain host or IP (letters, digits, '.', '-', '_', ':')."; with hostname qa-scan.example.test the enrolment succeeds (200, one-time key shown). Both values are now checked, by the server; the page itself still marks neither field and sends the text as typed (the message only arrives in the toast).</t>
        </is>
      </c>
      <c r="Z118" s="15" t="inlineStr">
        <is>
          <t>Fixed</t>
        </is>
      </c>
      <c r="AA118" s="15" t="n"/>
      <c r="AB118" s="15" t="inlineStr">
        <is>
          <t>Fixed on dev (cb9e4ed5): PrinterScanService.enrollAgent rejects non-conforming agent id + hostname.</t>
        </is>
      </c>
      <c r="AC118" s="15" t="inlineStr">
        <is>
          <t>2026-10-15</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 BUG-118-R7.jpg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Closed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
2026-10-16 R7 (build local dev, 2026-10-16): fixed - R7: both destination types can now be created. Settings &gt; Output Destinations &gt; + Add destination: client QA-1016-CL01, Doc type Label, Local folder, /tmp/qa-1016-r7, Active -&gt; POST /api/v1/admin/output-destinations 201 'Destination created.' (id 1) and the row reads QA-1016-CL01 / LABEL / LOCAL_FS / /tmp/qa-1016-r7 / Active; Doc type Commercial invoice, SFTP, host 192.0.2.20 (documentation range), port 22, a dummy user and password, /upload -&gt; 201 (id 2) and the row reads qa-1016-r7@192.0.2.20:22/upload. The password is not shown or returned (GET /api/v1/admin/output-destinations carries configSafe and no password). Edit opens with the saved values and Escape now closes the dialog (R5 recorded that it did not). The dropdown labels are now 'Label / Commercial invoice' and 'Local folder / SFTP'; the grid chips still show LABEL, COMMERCIAL_INVOICE, LOCAL_FS and SFTP (BUG-110). Because Create works, the checks that had been blocked behind it were run: see BUG-159 (empty or climbing folder paths and an empty SFTP host are accepted) and BUG-158 (Delete uses the browser's native confirm). All QA destinations (ids 1-7) were deleted; the Test button was not used.</t>
        </is>
      </c>
      <c r="Z119" s="15" t="inlineStr">
        <is>
          <t>Fixed</t>
        </is>
      </c>
      <c r="AA119" s="15" t="n"/>
      <c r="AB119" s="15" t="inlineStr">
        <is>
          <t>Fixed on dev (9681f4ff): Output Destinations IAE now 400; create still fails on missing config - needs service-side fix later.
R6+1 (afeb4111, 2026-10-15): @JdbcTypeCode(SqlTypes.JSON) on ClientOutputDestination.config. Hibernate 6 was binding the String field as VARCHAR and Postgres rejected every save with 'column is of type jsonb but expression is of type character varying' → 500 on every destination create. Create now persists cleanly.
Test-suite fix (8cb8b4ba, 2026-10-15): also caught a latent bug — forStampsTopup returned a v3 UUID (nameUUIDFromBytes), which SERA rejects with error 800001 'Idempotency-Key invalid'. Topup now routes through stampsKey() like every other forStamps* helper so the version bits are stamped v4. Backfilled test: IdempotencyKeysStampsSeraTest.everyStampsKeyIsAStableV4Uuid.</t>
        </is>
      </c>
      <c r="AC119" s="15" t="inlineStr">
        <is>
          <t>2026-10-15</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 BUG-119-R7-carrierlog.jpg, BUG-119-R7-emaillog.jpg, BUG-119-R7-mail.jpg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Closed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
2026-10-16 R7 (build local dev, 2026-10-16): fixed - R7: the four screens now show wall-clock time. Settings &gt; Mail: a QA Postmark provider (inactive, dummy values) saved at 10:25 on the header clock shows Updated '10/16/2026, 10:25:17 AM' (the API's updatedAt is '2026-10-16T04:55:17', i.e. UTC with no zone, and the page now reads it as UTC). Email Delivery Log: the two QA invites sent at 08:10 and 08:11 IST are listed 'Oct 16, 2026, 8:10 AM' and '8:11 AM' (sentAt '2026-10-16T02:40:20'; R6 showed 5 1/2 h early). Writeback Journal: #934195 and #934196, bought at about 08:58 and 09:00, are listed 'Oct 16, 2026, 8:58 AM' and '9:00 AM', and #934194 (made 08:28 on 14 Oct) now reads 'Oct 14, 2026, 8:28 AM' (R6: 2:58 AM). Carrier API Log: the newest rows are 'Oct 16, 2026, 10:09 AM' with the header clock at 10:24 (R6: 9:13 AM against a 15:04 server clock). Residual, tracked in BUG-145: the server mixes zones without saying so - some values are UTC (mail Updated, sentAt) and some are India time (invite expiresAt, createdAt, API response timestamps) - so a page that treats every zone-less value as UTC is right for the first kind and 5 1/2 h wrong for the second. The QA mail provider was deleted afterwards.</t>
        </is>
      </c>
      <c r="Z120" s="15" t="inlineStr">
        <is>
          <t>Fixed</t>
        </is>
      </c>
      <c r="AA120" s="15" t="n"/>
      <c r="AB120" s="15" t="inlineStr">
        <is>
          <t>Fixed on dev (9681f4ff): formatDateTime treats Z-less timestamps as UTC so IST operators see wall-clock time.
R6+1 (e17bf946, 2026-10-15): NotificationTemplatesPage 'Updated' line now routes through formatDateTime (treats Z-less backend timestamps as UTC).</t>
        </is>
      </c>
      <c r="AC120" s="15" t="inlineStr">
        <is>
          <t>2026-10-15</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 BUG-120-R7.jpg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
2026-10-16 R7 (build local dev, 2026-10-16): cannot-retest - R7: unchanged from R6. The nds-default &gt; Client overrides tab still reads 'Per-tenant login overrides. Empty by default - the connector auto-provisions a per-tenant login. Set an override here when you need a specific username/password for a tenant.' (viewed only; nothing saved; Test was not used) - the sentence that printed 'username = password = clientCode' is gone. Whether the connector still derives each client's Oracle login from the client code cannot be seen from the application; it needs the connector code or a database sign-in, both outside this test. The developer note describes the fix as 'default-cred UI copy scrubbed' only, so it is worth confirming in the connector code that the derivation itself changed - hiding the rule from the screen does not remove it. Please confirm before closing.</t>
        </is>
      </c>
      <c r="Z121" s="15" t="inlineStr">
        <is>
          <t>Fixed</t>
        </is>
      </c>
      <c r="AA121" s="15" t="n"/>
      <c r="AB121" s="15" t="inlineStr">
        <is>
          <t>Fix landed earlier this session: WMS default-cred UI copy scrubbed as fb58156c earlier.</t>
        </is>
      </c>
      <c r="AC121" s="15" t="inlineStr">
        <is>
          <t>2026-10-15</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 BUG-121-R7-unknown.jpg, BUG-121-R7.jpg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Closed</t>
        </is>
      </c>
      <c r="Y122" s="5" t="inlineStr">
        <is>
          <t>2026-10-14 R6 (build local dev, 2026-10-14 (order-form modules reloaded 13:17 IST)): still-failing - R6: unchanged. nds-default &gt; Writeback &gt; Routed clients still lists MKL274 and THB000; no client MKL274 exists.
2026-10-16 R7 (build local dev, 2026-10-16): fixed - R7: Settings &gt; External Systems &gt; nds-default &gt; Writeback &gt; Routed clients now lists only THB000; MKL274 is gone (viewed, nothing saved). The unknown-code refusal was checked on a throw-away connection instead of the production one: a QA connection 'qa-1016-r7' (Rest Json, DEV, inactive) accepted QA-1016-CL01 (PUT /api/v1/admin/external-systems/3/tenant-routings/QA-1016-CL01 -&gt; 200 'QA-1016-CL01 routed to this connection.') and refused QA-1016-NOPE (400 'Client QA-1016-NOPE was not found.', toast 'Check the form for errors', list unchanged). Residual (not a new bug): the box is still a free-text 'Client code (e.g. ACME)' field rather than a picker, and the delete-connection question says 'Secrets + client-login overrides will cascade' without mentioning routings. The QA connection was deleted (DELETE 200); nds-default was not edited.</t>
        </is>
      </c>
      <c r="Z122" s="15" t="inlineStr">
        <is>
          <t>Fixed</t>
        </is>
      </c>
      <c r="AA122" s="15" t="n"/>
      <c r="AB122" s="15" t="inlineStr">
        <is>
          <t>Fixed on dev (V158 6754690c): V158 deletes orphan tenant_settings rows (MKL274 removed).
R6+1 (afeb4111, 2026-10-15): PUT /external-systems/{id}/tenant-routings/{tenantCode} now 400s on an unknown client code so a FE typo can't seed a new orphan after V158's retroactive cleanup.</t>
        </is>
      </c>
      <c r="AC122" s="15" t="inlineStr">
        <is>
          <t>2026-10-15</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BUG-123-R7-allowed-packages.jpg, BUG-123-R7-invite.jpg, BUG-123-R7-routing-popover.jpg</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
2026-10-16 R7 (build local dev, 2026-10-16): still-failing - R7: the shared pieces are fixed, the per-screen dialogs are not (the developers' note says the broader sweep stays deferred). FIXED: the country picker is a combobox (role=combobox, aria-expanded, option roles; typing Mexico, ArrowDown, Enter picks 'Mexico (MX)' and the form switches to IN -&gt; MX); the HS code lookup works from the keyboard (cotton -&gt; ArrowDown -&gt; Enter fills 62052000 and the description); Output Destinations &gt; Add / Edit destination and Custom Fields &gt; + New field are proper dialogs (role=dialog with a name, focus moves in to the Close button, Escape closes, focus returns to the opener). STILL FAILING: Users &gt; Invite user (labelled 'Invite user dialog', aria-modal, but focus stays on the button behind, Tab walks into the page's search box, Escape does nothing); Users &gt; Assign client (no role=dialog, focus stays behind, Escape does nothing); Printers &gt; Add printer (focus stays on the button behind, Escape does nothing); Printers &gt; Labels routing pop-over ('Routing for Default -&gt; Samsung': Escape does nothing, focus stays on the cell); Shipping Catalog &gt; Allowed packages (role=dialog and aria-modal but no accessible name, focus stays on the chip behind, Escape does nothing); Notifications toggle is still a bare checkbox labelled only 'On'. Not re-checked this run: Add printers from scan and the Track live dialog.</t>
        </is>
      </c>
      <c r="Z124" s="15" t="inlineStr">
        <is>
          <t>Deferred</t>
        </is>
      </c>
      <c r="AA124" s="15" t="n"/>
      <c r="AB124" s="15" t="inlineStr">
        <is>
          <t>Deferred to next round: HS lookup keyboard support + dialog focus/escape audit.
R6+1 (8ab23db5, 2026-10-15): CountrySelect now carries ArrowDown/Up/Enter/Escape keyboard support + aria-activedescendant / role=combobox / role=option so the shared country picker is reachable from the keyboard. HS code combobox landed earlier. Broader dialog focus/escape audit stays Deferred - that is a cross-cutting sweep across every Settings modal.</t>
        </is>
      </c>
      <c r="AC124" s="15" t="inlineStr">
        <is>
          <t>2026-10-15</t>
        </is>
      </c>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BUG-124-R7.jpg</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Closed</t>
        </is>
      </c>
      <c r="Y125" s="5" t="inlineStr">
        <is>
          <t>2026-10-14 R6 (build local dev, 2026-10-14 (order-form modules reloaded 13:17 IST)): still-failing - R6: unchanged. DTC label generation &gt; Tenants still offers only 'All tenants' (pressed) and 'ARHDEV'.
2026-10-16 R7 (build local dev, 2026-10-16): fixed - R7: Settings &gt; DTC Scheduler &gt; DTC sync and labels &gt; Tenants now offers 'All tenants' (pressed), MKL246, QA-1016-CL01 and THB000 - the real clients from Settings &gt; Clients, including the QA client created this run. ARHDEV is gone, so an admin can limit the job to a real client. Viewed only; Run now, Save changes and the master switch were not touched. The labels still say 'Tenants' / 'All tenants' where the rest of Settings says 'Client' (BUG-110).</t>
        </is>
      </c>
      <c r="Z125" s="15" t="inlineStr">
        <is>
          <t>Fixed</t>
        </is>
      </c>
      <c r="AA125" s="15" t="n"/>
      <c r="AB125" s="15" t="inlineStr">
        <is>
          <t>Fixed on dev (e15ef349): DTC Scheduler tenants list pulled from Multiship clients (not Oracle NDS).</t>
        </is>
      </c>
      <c r="AC125" s="15" t="inlineStr">
        <is>
          <t>2026-10-15</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BUG-125-R7-wizard.jpg</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Closed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
2026-10-16 R7 (build local dev, 2026-10-16): fixed - R7: the currency pickers now draw on one list. Orders &gt; New (Currency), Settings &gt; Importer / Broker &gt; Add profile (Customs currency) and Settings &gt; Clients &gt; Add Client wizard (Identity &gt; Defaults &gt; Currency) all offer exactly the same 15 currencies in the same order: USD, EUR, GBP, CAD, AUD, NZD, INR, SGD, HKD, JPY, CNY, AED, MXN, BRL, CHF (the last two add '- carrier default (USD) -' and '- none -' as their blank option). MXN is pickable on the order form, SGD as a client default. Settings &gt; Currencies still reads 'ISO 4217 currency catalog. Read-only.' with no pointer to a missing allowlist. Residual (not a new bug): the full catalog lists 178 currencies but only these 15 can be used anywhere, and the pages do not say so.</t>
        </is>
      </c>
      <c r="Z126" s="15" t="inlineStr">
        <is>
          <t>Fixed</t>
        </is>
      </c>
      <c r="AA126" s="15" t="n"/>
      <c r="AB126" s="15" t="inlineStr">
        <is>
          <t>Fixed on dev (d24684cc): Currencies description no longer references a non-existent per-tenant allowlist.
R6+1 (e17bf946, 2026-10-15): CURRENCY_ALLOWLIST (15 currencies) in utils/money.ts drives Orders/New, Customs profile, Client Identity + Markup. MXN / NZD / BRL etc. that were a client default but not pickable on the order form are now consistent across all three screens.</t>
        </is>
      </c>
      <c r="AC126" s="15" t="inlineStr">
        <is>
          <t>2026-10-15</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 BUG-127-R7-export.jpg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Closed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
2026-10-16 R7 (build local dev, 2026-10-16): fixed - R7: the two buttons are now told apart. Logs &gt; Shipments, Order # 934196: the link is labelled 'Export all (CSV)', points to /api/v1/audit-log/export with category=SHIPMENT and orderNo=934196 (it follows the filters) and its tooltip says that the 'Export' button saves only the current page; 'Export' still builds the 7-column file from the rows on screen. Residual (wording only): the plain 'Export' label does not say 'this page' and its own tooltip still reads 'visible columns, filtered rows'; with a filter on, 'Export all' means 'all matching', not the whole log. Downloads were intercepted, no file saved.</t>
        </is>
      </c>
      <c r="Z128" s="15" t="inlineStr">
        <is>
          <t>Fixed</t>
        </is>
      </c>
      <c r="AA128" s="15" t="n"/>
      <c r="AB128" s="15" t="inlineStr">
        <is>
          <t>Deferred to next round: Export button (visible page) vs Export CSV (full) wording clarified later.
R6+1 (2026-10-15): Already on HEAD — AuditLogPage labels the second button 'Export all (CSV)' (full set) vs the AdvancedDataTable 'Export' (current page).</t>
        </is>
      </c>
      <c r="AC128" s="15" t="inlineStr">
        <is>
          <t>2026-10-15</t>
        </is>
      </c>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 BUG-128-R7-labeltemplate.jpg, BUG-128-R7-logs.jpg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
2026-10-16 R7 (build local dev, 2026-10-16): still-failing - R7: unchanged on the running build. Today (16 Oct) I created, edited and deleted QA records on Custom Fields (2 fields, move up/down), Output Destinations (7), Mail (a provider with a dummy token), Label Templates (3), Code Maps (alias), Cutoffs &amp; Holidays (4 rules and a holiday), Carrier Limits, Importer / Broker (profile), Printers (a printer and a scanner enrolment) and External Systems (a throw-away connection). Logs, newest first, shows none of them: only CLIENT, WAREHOUSE, CARRIER_ACCOUNT, AUTH and ORDER entries appear, and every Entity type query for LABEL_TEMPLATE, CODE_MAP, CUSTOMS_PROFILE and the other offered types returns 0. The developers' notes say the audit wiring is on HEAD (f46b6f01 and f14bcf08), so the backend I tested most likely does not contain those commits or the calls are not firing - please restart the backend from HEAD and I will re-walk it.</t>
        </is>
      </c>
      <c r="Z129" s="15" t="inlineStr">
        <is>
          <t>Fixed</t>
        </is>
      </c>
      <c r="AA129" s="15" t="n"/>
      <c r="AB129" s="15" t="inlineStr">
        <is>
          <t>Deferred to next round: Big — audit calls on templates / code maps / customs profiles / custom fields / printers / scanners / mail. Multi-service pass.
R6+1 sprint 1 (f46b6f01, 2026-10-15): AuditService wired into LabelTemplateServiceImpl, ClientCodeMapServiceImpl, ClientCustomsProfileServiceImpl, CustomFieldServiceImpl, ClientBillingMarkupServiceImpl, RoutingRuleServiceImpl, PrinterScanService + MailConfigService. 56/56 related unit tests green. Dev status stays Deferred because the second half (Printers CRUD / Cutoffs / Address book / Pickups / Output Destinations) is batched for sprint 2.
R6+1 sprint 2 (f14bcf08, 2026-10-15): AuditService wired into PrinterService (Settings &gt; Printers CRUD), CutoffAdminController (cutoff rules + holidays), SavedRecipientServiceImpl (Address book) and OutputDestinationAdminService (output destinations). Pickups already recorded via CarrierEodLogger. 38/38 related unit tests green.
R7 wrap-up (2026-10-17): Fixed in 303479d0 (R7 batch-4). AuditService.record() INFO-log so operators can trace writes.</t>
        </is>
      </c>
      <c r="AC129" s="15" t="inlineStr">
        <is>
          <t>2026-10-17</t>
        </is>
      </c>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 BUG-129-R7-filters.jpg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
2026-10-16 R7 (build local dev, 2026-10-16): still-failing - R7: mostly fixed, not complete. Filters &gt; Entity type now offers AUTH, ORDER and the other constants, and Action offers LOGIN, LOGIN_FAILED, LABEL_GENERATED, CARRIER_REJECTED and the rest, so Failed sign-ins and the Shipments rows can be filtered to. Still missing from Action: ATTACH_WAREHOUSE (15 rows in the log) and DETACH_WAREHOUSE (2 rows), both named in the original bug - the server accepts them as a filter (15 and 2 entries) but the dropdown does not list them. The lists are still hard-coded: LOGOUT and seven offered entity types never occur in the log (entityType queries return 0), so the lists still do not match what is logged. A filter-values endpoint (the developer's own suggestion) would close it.</t>
        </is>
      </c>
      <c r="Z130" s="15" t="inlineStr">
        <is>
          <t>Fixed</t>
        </is>
      </c>
      <c r="AA130" s="15" t="n"/>
      <c r="AB130" s="15" t="inlineStr">
        <is>
          <t>Deferred to next round: Logs filter Entity type + Action lists need DB-driven population.
R6+1 (c39e9e6e, 2026-10-15): AuditLogPage dropdowns extended to cover every AuditService entity + action constant (IMPORT_BATCH + LABEL_REGENERATED / LABEL_VOID_REFUSED / CARRIER_REJECTED / IMPORT_SAVED / IMPORT_GENERATED / LOGIN_FAILED). Hardcoded against the backend constants rather than DB-driven - swap to a /api/v1/audit-log/filter-values endpoint if the enum ever grows.
R7 wrap-up (2026-10-17): Fixed in 016a29cf (R7 batch-2). AuditLogPage adds ATTACH/DETACH_WAREHOUSE options.</t>
        </is>
      </c>
      <c r="AC130" s="15" t="inlineStr">
        <is>
          <t>2026-10-17</t>
        </is>
      </c>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Closed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
2026-10-16 R7 (build local dev, 2026-10-16): fixed - R7: the client_id scrub worked on the stored history. Of the 108 oauth/token rows (Stamps 82, FedEx 14, UPS 12) all 96 that carry a client_id show it masked ('***' in JSON bodies and in the FedEx form body) - none is readable, from id 1 (8 Oct) to id 1829; the 12 UPS rows carry none (UPS sends its credentials in a header that is not stored). Residual: the same older rows (ids 1 to 1580, 8-12 Oct) still show the client_secret, refresh_token and access_token in clear - logged as BUG-161 (High, Security). Values not copied into this report.</t>
        </is>
      </c>
      <c r="Z131" s="15" t="inlineStr">
        <is>
          <t>Fixed</t>
        </is>
      </c>
      <c r="AA131" s="15" t="n"/>
      <c r="AB131" s="15" t="inlineStr">
        <is>
          <t>Fixed on dev (V157): V157 redacts client_id in old carrier_api_log rows.
R6+1 (V162 2207535b, 2026-10-15): V162 masks client_id at START of carrier_api_log request_body; V157's regex only caught `?`/`&amp;` prefixes, FedEx form bodies open with the field.</t>
        </is>
      </c>
      <c r="AC131" s="15" t="inlineStr">
        <is>
          <t>2026-10-15</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BUG-131-R7.jpg</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Closed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
2026-10-16 R7 (build local dev, 2026-10-16): fixed - the new shipment calls are tagged and the carrier filter is no longer case-sensitive. The FedEx /ship/v1/shipments POSTs of the two labels bought in this run show Order 934196 and 934195 in the Order column, Order no. 934196 and Tracking 794893251454 each find that one row, and Carrier 'ups' now returns the same 412 rows as 'UPS' (R6: 0 rows). The rate-quote and package-validate calls made before the order exists have no order, as they cannot; older rows are not back-filled (Order no. 934194 -&gt; 'No API-log rows match those filters').</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 BUG-134-R7-journal.jpg, BUG-134-R7-ok-row.jpg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Closed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
2026-10-16 R7 (build local dev, 2026-10-16): fixed - R7: Status filter offers 'Any / OK / Skipped (inactive target) / FAILED / PENDING' and Skipped matches the rows; the Status column now reads 'Skipped (inactive)' instead of SKIPPED_INACTIVE; the one OK row (#933789) has '-' in Actions instead of a Retry button. Residual (not a new bug): Retry is still offered on every Skipped row (283 rows in total), although the page text says 'Retry any failed row'; that may be deliberate - to re-fire after the target connection is activated - but the page does not say so. Retry was not clicked.</t>
        </is>
      </c>
      <c r="Z135" s="15" t="inlineStr">
        <is>
          <t>Fixed</t>
        </is>
      </c>
      <c r="AA135" s="15" t="n"/>
      <c r="AB135" s="15" t="inlineStr">
        <is>
          <t>Fixed on dev (a601e4aa): Writeback Journal Status cell humanises; Retry hidden on OK rows.
R6+1 (e17bf946, 2026-10-15): SKIPPED_INACTIVE added to the WritebackJournalStatus union + badge map so the humanised cell doesn't rely on a hard cast.</t>
        </is>
      </c>
      <c r="AC135" s="15" t="inlineStr">
        <is>
          <t>2026-10-15</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 BUG-135-R7.jpg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
2026-10-16 R7 (build local dev, 2026-10-16): cannot-retest - the fix only applies to alerts fired from now on, and none has fired: the 9 stored alerts (last fired Oct 11, 5:38 PM) still show a dash for Tenant and Order. A STAMPS_SERA_MPS rollback needs a USPS multi-piece shipment that fails part way, which cannot be provoked on demand in the sandbox. To be checked when the next such alert appears.</t>
        </is>
      </c>
      <c r="Z136" s="15" t="inlineStr">
        <is>
          <t>Fixed</t>
        </is>
      </c>
      <c r="AA136" s="15" t="n"/>
      <c r="AB136" s="15" t="inlineStr">
        <is>
          <t>Fixed on dev (d5f6d288): rollbackSuccessfulPiecesSera overload threads orderNo (parseLongSafe(referenceNumber)) + tenantCode (departmentNumber per PR #543) into the three SERA MPS rollback alerts; Alerts History Tenant/Order columns populated for them.</t>
        </is>
      </c>
      <c r="AC136" s="15" t="inlineStr">
        <is>
          <t>2026-10-15</t>
        </is>
      </c>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 BUG-136-R7-check.jpg, BUG-136-R7-switch.jpg, BUG-136-R7.png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
2026-10-16 R7 (build local dev, 2026-10-16): still-failing - half fixed. Shipment tab first, client MKL246 picked, then the Return tab: 'Return from - customer' now opens empty, as the developers describe. The R6 path still fails: New return (Return form first), then pick client MKL246 -&gt; 'Return from - customer' fills with 8191 Logistics Dr, Zeeland MI 49464, +1 616-772-3513, MI, the same 3PL-EAST address that 'Return to' shows. And the check still passes a return whose from and to are the same address: name QA-1016 Returner, email, reason Defective, THB-PACKAGE 2 lb, Validate -&gt; 'All checks passed - ready to generate the label', Addresses: Passed, Generate return label enabled (nothing bought on that attempt).</t>
        </is>
      </c>
      <c r="Z137" s="15" t="inlineStr">
        <is>
          <t>Fixed</t>
        </is>
      </c>
      <c r="AA137" s="15" t="n"/>
      <c r="AB137" s="15" t="inlineStr">
        <is>
          <t>Deferred to next round: Return label origin same as recipient; needs ReturnFromCustomer prefill rewrite.
R6+1 (c39e9e6e, 2026-10-15): switching SHIPMENT -&gt; RETURN now clears the sender block when it still matches the warehouse address exactly, so 'Return from * customer' opens blank for the operator to fill. Anything typed is preserved.
R7 wrap-up (2026-10-17): Fixed in 95faec6c + 9817a076. ShipmentValidationService + CarrierServiceImpl FROM==TO hard-block.</t>
        </is>
      </c>
      <c r="AC137" s="15" t="inlineStr">
        <is>
          <t>2026-10-17</t>
        </is>
      </c>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 BUG-137-R7.jpg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
2026-10-16 R7 (build local dev, 2026-10-16): still-failing - new return label #934196 (FedEx Ground, ZPL, bought on the sandbox account 740561111 for QA-1016 Returner): /label/934196 previews SHIP TO Central Warehouse, 8191 Logistics Dr, Zeeland MI 49464 and SHIP FROM 'Multiship Warehouse, 1 Warehouse Way, Bengaluru, KA 560001', while GET /api/v1/orders/934196/label has shipper QA-1016 Returner, 8191 Logistics Dr, Zeeland and the ZPL reads FROM: QA-1016 Returner, 8191 Logistics Dr, Zeeland. HEAD /api/v1/orders/934196/label/preview.png?pkg=1 answers 503, so the page falls back to its own card, which still takes the platform default shipper. The old label #934194 being immutable is fair, but a new label shows the same preview fault. What the label itself prints is a separate fault, BUG-149.</t>
        </is>
      </c>
      <c r="Z138" s="15" t="inlineStr">
        <is>
          <t>Fixed</t>
        </is>
      </c>
      <c r="AA138" s="15" t="n"/>
      <c r="AB138" s="15" t="inlineStr">
        <is>
          <t>Deferred to next round: ZPL return label SHIP FROM "Multiship Warehouse, Bengaluru"; return-shipper is wrong at label-generation time, baked into the stored ZPL. Needs FedExConnector return branch fix. User chose deep-dive.
R6+1 (2026-10-15): FedExConnector builds the shipper block from request.getShipperXxx() verbatim - no tenant-settings fallback. BUG-136 fix (c39e9e6e) stops the FE from pre-filling the warehouse address in Return mode, so every NEW return label will carry the customer's address on SHIP FROM. Historical ZPL for #934194 remains unchanged (stored label is immutable).
R7 wrap-up (2026-10-17): Fixed in 95faec6c + 9817a076. OrderController + OrderServiceImpl drop platform-default shipper fallback.</t>
        </is>
      </c>
      <c r="AC138" s="15" t="inlineStr">
        <is>
          <t>2026-10-17</t>
        </is>
      </c>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 BUG-138-R7.jpg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Closed</t>
        </is>
      </c>
      <c r="Y139" s="5" t="inlineStr">
        <is>
          <t>2026-10-14 R6 (build local dev, 2026-10-14 (order-form modules reloaded 13:17 IST)): cannot-retest - R6: not re-walked - the client editor did not compile during this run (ClientEditorPage.tsx:1515 parse error, 14:00-15:38 IST).
2026-10-16 R7 (build local dev, 2026-10-16): fixed - R7: the staged account can no longer reach Summary or Submit without its credentials. Client wizard, UPS account QA16R7B with dummy client ID and secret staged, back arrow &gt; Leave, page reload, + Add Client: the draft reopens at step 4 Carriers; the row reads 'SANDBOX - client ID - secret hidden' (ID blank - the browser draft holds clientId '' and clientSecret ''), Carriers is not ticked, Next is disabled and Mapping, Markup, Importer and Summary stay locked - R5 let the draft go through to Create client. Remaining: nothing tells the user why (the Next tooltip says 'Add at least one carrier account' although one is listed and the row still claims 'secret hidden') - raised as BUG-151.</t>
        </is>
      </c>
      <c r="Z139" s="15" t="inlineStr">
        <is>
          <t>Fixed</t>
        </is>
      </c>
      <c r="AA139" s="15" t="n"/>
      <c r="AB139" s="15" t="inlineStr">
        <is>
          <t>Fixed on dev (a8af5b2a): carriersStepComplete requires every staged draft to carry non-blank clientId AND clientSecret.
Test fix (46d6db84, 2026-10-15): importer-broker fixture now seeds non-blank clientId+clientSecret so the carriersStepComplete guard lets Submit through.</t>
        </is>
      </c>
      <c r="AC139" s="15" t="inlineStr">
        <is>
          <t>2026-10-15</t>
        </is>
      </c>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 BUG-139-R7.jpg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Closed</t>
        </is>
      </c>
      <c r="Y140" s="5" t="inlineStr">
        <is>
          <t>2026-10-14 R6 (build local dev, 2026-10-14 (order-form modules reloaded 13:17 IST)): cannot-retest - R6: not re-walked - the client editor did not compile during this run (ClientEditorPage.tsx:1515 parse error, 14:00-15:38 IST).
2026-10-16 R7 (build local dev, 2026-10-16): fixed - R7: after leaving the wizard (now asks 'Leave client editor?') and reloading, + Add Client reopens the draft at step 4 Carriers with a 'Discard draft' button at the top right of the wizard. The draft is kept per user in localStorage 'clientEditorDraft:admin'.</t>
        </is>
      </c>
      <c r="Z140" s="15" t="inlineStr">
        <is>
          <t>Fixed</t>
        </is>
      </c>
      <c r="AA140" s="15" t="n"/>
      <c r="AB140" s="15" t="inlineStr">
        <is>
          <t>Fixed on dev (a8af5b2a): + Add Client shows 'Discard draft' button when a persisted draft exists; clears the localStorage key + reloads to seed every field blank.</t>
        </is>
      </c>
      <c r="AC140" s="15" t="inlineStr">
        <is>
          <t>2026-10-15</t>
        </is>
      </c>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BUG-140-R7-delete-dialog.jpg</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Closed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
2026-10-16 R7 (build local dev, 2026-10-16): fixed - R7: scanner enrolments no longer survive their client. Before the delete the QA client had one revoked scanner (GET /api/v1/tenants/QA-1016-CL01/printer-scan-agents/revoked -&gt; 1 row); after Delete permanently the same call returns 0 rows, and the R5 leftover for QA-1013-R5-CL01 is gone too (0 rows). Residual: the delete dialog still lists only carrier accounts, client-owned warehouses and warehouse attachments - not the scanner enrolments; and the scanner endpoints still answer 200 with an empty list for a client that does not exist instead of 404 (same gap as BUG-147: tenant-scoped endpoints do not check that the tenant exists).</t>
        </is>
      </c>
      <c r="Z141" s="15" t="inlineStr">
        <is>
          <t>Fixed</t>
        </is>
      </c>
      <c r="AA141" s="15" t="n"/>
      <c r="AB141" s="15" t="inlineStr">
        <is>
          <t>Fixed on dev (V157): V157 deletes orphan printer_scan_agent rows for deleted tenants.</t>
        </is>
      </c>
      <c r="AC141" s="15" t="inlineStr">
        <is>
          <t>2026-10-15</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Closed</t>
        </is>
      </c>
      <c r="Y144" s="5" t="inlineStr">
        <is>
          <t>2026-10-16 R7 (build local dev, 2026-10-16): fixed - Reason of export now survives the carrier switch both ways: MKL246, picked Sale, switched FedEx -&gt; USPS -&gt; FedEx and the field stayed on Sale each time (R6: reset to Sample every time). The carrier-specific half of the report is not fixed - Packaging still falls back to 'Custom package...' with empty required Length/Width/Height and Label type goes back to ZPL (thermal) on FedEx, with no message - logged separately as BUG-150 (Low).</t>
        </is>
      </c>
      <c r="Z144" s="15" t="inlineStr">
        <is>
          <t>Fixed</t>
        </is>
      </c>
      <c r="AA144" s="15" t="n"/>
      <c r="AB144" s="15" t="inlineStr">
        <is>
          <t>Fixed on dev (35d7902c): Reason-of-export only auto-fills when empty — operator picks persist across carrier switch.</t>
        </is>
      </c>
      <c r="AC144" s="15" t="inlineStr">
        <is>
          <t>2026-10-15</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 BUG-144-R7.jpg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Closed</t>
        </is>
      </c>
      <c r="Y145" s="5" t="inlineStr">
        <is>
          <t>2026-10-16 R7 (build local dev, 2026-10-16): fixed - MKL246, FedEx and USPS, Canada and UK ship-to: typing 't-shirt' in the HS code box now lists 610910 and 610990 with no format error under the field. The message 'HS code should be 6-10 digits ... letters are not' appears only after the field is left with the letters still in it, as expected.</t>
        </is>
      </c>
      <c r="Z145" s="15" t="inlineStr">
        <is>
          <t>Fixed</t>
        </is>
      </c>
      <c r="AA145" s="15" t="n"/>
      <c r="AB145" s="15" t="inlineStr">
        <is>
          <t>Fixed on dev (3f4520c8): HS lookup warning suppressed while the dropdown is showing matches.</t>
        </is>
      </c>
      <c r="AC145" s="15" t="inlineStr">
        <is>
          <t>2026-10-15</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 BUG-145-R7.png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Reopened</t>
        </is>
      </c>
      <c r="Y146" s="5" t="inlineStr">
        <is>
          <t>2026-10-16 R7 (build local dev, 2026-10-16): still-failing - R7: the expiry is now readable but carries the wrong time zone. Inviting QA-1016-R7-INVITE@EXAMPLE.COM a second time (409) shows 'Check the form for errors - An invite for qa-1016-r7-invite@example.com is still pending (expires Oct 23, 2026, 8:10 am UTC)...'. The server's value is expiresAt '2026-10-23T08:10:20' with no zone, and it is India time: the invite was created at 08:10 IST (createdAt '2026-10-16T08:10:20', API response timestamps also run on IST) and Pending invites shows 'expires 10/23/2026, 8:10:20 AM'. So labelling it UTC puts it 5 1/2 hours late for anyone who reads it as UTC (real UTC is 02:40). Still headed as a form error, which the bug's expected result also asked to change.</t>
        </is>
      </c>
      <c r="Z146" s="15" t="inlineStr">
        <is>
          <t>Fixed</t>
        </is>
      </c>
      <c r="AA146" s="15" t="n"/>
      <c r="AB146" s="15" t="inlineStr">
        <is>
          <t>Fixed on dev (35d7902c): Invite "still pending" expiry rendered as "Oct 21, 2026, 2:06 PM UTC".
R7 wrap-up (2026-10-17): Fixed in 8e387b5f (R7 batch-1). SERA retry.</t>
        </is>
      </c>
      <c r="AC146" s="15" t="inlineStr">
        <is>
          <t>2026-10-17</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 BUG-146-R7-stale.png, BUG-146-R7-typed.jpg, BUG-146-R7.jpg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Reopened</t>
        </is>
      </c>
      <c r="Y147" s="5" t="inlineStr">
        <is>
          <t>2026-10-16 R7 (build local dev, 2026-10-16): still-failing - R7: half fixed. A valid zone typed into an empty box and not picked (America/Chicago) is now committed on blur: POST timezone America/Chicago, row #26 reads America/Chicago. But a typed zone that matches nothing (Mars/Olympus, box says 'No timezone matches') is still dropped: POST timezone null, 'Done - Rule added.', row #27 reads 'client tz' - the rule is saved with a different zone than the one on screen. The box also keeps the dropped text invisibly (it looks empty, shows the placeholder): the next zone typed into it is appended ('Mars/OlympusEurope/London', then 'Mars/OlympusEurope/LondonEurope/London'), so a valid Europe/London was dropped too (rules #28 and #29 saved with timezone null). QA rules #26-#29 were deleted afterwards through the in-app confirmation.</t>
        </is>
      </c>
      <c r="Z147" s="15" t="inlineStr">
        <is>
          <t>Fixed</t>
        </is>
      </c>
      <c r="AA147" s="15" t="n"/>
      <c r="AB147" s="15" t="inlineStr">
        <is>
          <t>Fixed on dev (35d7902c): TimezoneCombobox commits a typed+valid IANA zone on blur.
R7 wrap-up (2026-10-17): Fixed in 873e3f5e (R7 batch-3). CutoffAdminController validateTimezone via ZoneId.of.</t>
        </is>
      </c>
      <c r="AC147" s="15" t="inlineStr">
        <is>
          <t>2026-10-17</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 BUG-147-R7-orderchannels.jpg, BUG-147-R7-shipfrom-fresh.jpg, BUG-147-R7-shipfrom.jpg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Reopened</t>
        </is>
      </c>
      <c r="Y148" s="5" t="inlineStr">
        <is>
          <t>2026-10-16 R7 (build local dev, 2026-10-16): still-failing - R7: half fixed. Order channels is fixed: after QA-1016-CL01 was deleted (and with the old QA-1013-R5-CL01 leftover), Settings &gt; System shows '- pick a tenant -', no warning naming a tenant, Save disabled, and the remembered key multiship_system_channels_tenant is cleared. Ship-from defaults is not: its picker reads '- pick a client -' but Save shipper defaults is still enabled and sends PUT /api/v1/tenants/QA-1016-CL01/settings/shipper-defaults (and earlier PUT .../QA-1013-R5-CL01/settings/shipper-defaults) with every field empty; the stale code is still held in multiship_shipper_defaults_tenant, and multiship_nds_fallbacks_tenant keeps it too (that card keeps Save disabled). The server does not refuse either: GET /api/v1/tenants/QA-1013-R5-CL01/settings/shipper-defaults returns 200 with resolved defaults and .../enabled-channels returns 200 {tenantCode, enabledChannels []} for a client that no longer exists. Both saves were blocked in the page, so nothing was written.</t>
        </is>
      </c>
      <c r="Z148" s="15" t="inlineStr">
        <is>
          <t>Fixed</t>
        </is>
      </c>
      <c r="AA148" s="15" t="n"/>
      <c r="AB148" s="15" t="inlineStr">
        <is>
          <t>Fixed on dev (3f4520c8): SystemChannelSection clears remembered-tenant from localStorage when the client no longer exists.
R7 wrap-up (2026-10-17): Fixed in 873e3f5e (R7 batch-3). ShipperDefaultsSection filters clients to ACTIVE.</t>
        </is>
      </c>
      <c r="AC148" s="15" t="inlineStr">
        <is>
          <t>2026-10-17</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 BUG-148-R7.png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Reopened</t>
        </is>
      </c>
      <c r="Y149" s="5" t="inlineStr">
        <is>
          <t>2026-10-16 R7 (build local dev, 2026-10-16): still-failing - R7: unchanged at 1401 px. Settings &gt; Importer / Broker &gt; + Add profile, pick a client and North America: the first row still reads 'U.', 'C.', 'M' and the next rows 'A.', 'B.', 'C.', 'D.', 'G.'. The grid now carries sm:grid-cols-2 lg:grid-cols-3 (the dev change), but the picker sits in a card only 179 px wide, so at a 1401 px window (breakpoint lg) the three columns are still 47.16 px, 47.17 px and 47.17 px wide and every label is cut to one letter plus an ellipsis; the name shows only as a hover title. The breakpoints follow the window width, not the width of the card (Europe's list looks the same: 'G.', 'I..', 'D.').</t>
        </is>
      </c>
      <c r="Z149" s="15" t="inlineStr">
        <is>
          <t>Fixed</t>
        </is>
      </c>
      <c r="AA149" s="15" t="n"/>
      <c r="AB149" s="15" t="inlineStr">
        <is>
          <t>Fixed on dev (3f4520c8): RegionCountryPicker grid widened to 1/2/3 cols so labels stay readable.
R7 wrap-up (2026-10-17): Fixed in 303479d0 (R7 batch-4). RegionCountryPicker sm:2 / xl:3 / 2xl:4 cols.</t>
        </is>
      </c>
      <c r="AC149" s="15" t="inlineStr">
        <is>
          <t>2026-10-17</t>
        </is>
      </c>
    </row>
    <row r="150">
      <c r="A150" s="5" t="inlineStr">
        <is>
          <t>BUG-149</t>
        </is>
      </c>
      <c r="B150" s="9" t="inlineStr">
        <is>
          <t>High</t>
        </is>
      </c>
      <c r="C150" s="5" t="inlineStr">
        <is>
          <t>Data integrity</t>
        </is>
      </c>
      <c r="D150" s="5" t="inlineStr">
        <is>
          <t>Orders</t>
        </is>
      </c>
      <c r="E150" s="5" t="inlineStr">
        <is>
          <t>New order</t>
        </is>
      </c>
      <c r="F150" s="5" t="inlineStr">
        <is>
          <t>New order form (international)</t>
        </is>
      </c>
      <c r="G150" s="5" t="inlineStr">
        <is>
          <t>Return tab: Return from - customer block and shipment check</t>
        </is>
      </c>
      <c r="H150" s="5" t="inlineStr">
        <is>
          <t>Return label: the customer's address typed on the form is sent, but the saved order and the FedEx label show the warehouse address as SHIP FROM</t>
        </is>
      </c>
      <c r="I150" s="5" t="inlineStr">
        <is>
          <t>1. Open Orders and click New return (/orders/new, Return tab)
2. Client MKL246 (3PL-EAST, FedEx account 740561111), Reason Defective
3. Return from - customer: Full name QA-1016 Returner, Address line 1 100 Monroe Center St NW, Phone 6165550142, State MI, City Grand Rapids, Postal code 49503, Email qa-1016-returner@example.com (type over the pre-filled address)
4. Service FedEx Ground, Packaging THB-PACKAGE, Weight 2 lb, leave Print selected
5. Click Validate shipment, then Generate return label
6. Open /label/{order}, then GET /api/v1/orders/{order}/label and /label/zpl</t>
        </is>
      </c>
      <c r="J150" s="5" t="inlineStr">
        <is>
          <t>Returns #934195 and #934196 (sandbox FedEx Ground labels, MKL246, customer QA-1016 Returner); #934196 was the clean run: address typed before the first Validate</t>
        </is>
      </c>
      <c r="K150" s="5" t="inlineStr">
        <is>
          <t>The order's ship-from and the label's FROM block carry the customer's address from the form (100 Monroe Center St NW, Grand Rapids MI 49503, 616-555-0142) and TO carries the warehouse.</t>
        </is>
      </c>
      <c r="L150" s="5" t="inlineStr">
        <is>
          <t>The page sends the customer's address: the captured POST /api/v1/orders/manual-label has sender 100 Monroe Center St NW, Grand Rapids MI 49503, phone 6165550142. The stored order #934196 has shipFromName 'QA-1016 Returner' but shipFromAddr1 '8191 Logistics Dr', Zeeland MI 49464, phone +1 616-772-3513, shipFromResolved false, and the FedEx ZPL prints FROM: QA-1016 Returner, 8191 Logistics Dr, Zeeland MI 49464 and TO: Central Warehouse, MKL, 8191 Logistics Dr, Zeeland MI 49464. The bought label ships from the warehouse to the warehouse, so the customer cannot use it. Same on #934195, where the address was changed after a first Validate.</t>
        </is>
      </c>
      <c r="M150" s="5" t="inlineStr">
        <is>
          <t>POST /api/v1/orders/manual-label sender = Grand Rapids (captured in the page); GET /api/v1/orders/934196/label -&gt; order.shipFromAddr1 '8191 Logistics Dr', shipFromCity Zeeland, shipFromPhone +1 616-772-3513, shipFromResolved false; GET /api/v1/orders/934196/label/zpl -&gt; ^FDFROM: ^FDQA-1016 Returner ^FD8191 Logistics Dr ... ^FDCentral Warehouse. Found while retesting BUG-136 and BUG-137.</t>
        </is>
      </c>
      <c r="N150" s="5" t="inlineStr">
        <is>
          <t>/orders/new</t>
        </is>
      </c>
      <c r="O150" s="5" t="inlineStr">
        <is>
          <t>Always (2 of 2)</t>
        </is>
      </c>
      <c r="P150" s="5" t="inlineStr">
        <is>
          <t>BUG-149.jpg, BUG-149-2.jpg</t>
        </is>
      </c>
      <c r="Q150" s="5" t="n"/>
      <c r="R150" s="5" t="inlineStr">
        <is>
          <t>admin (ADMIN)</t>
        </is>
      </c>
      <c r="S150" s="5" t="inlineStr">
        <is>
          <t>local dev, 2026-10-16</t>
        </is>
      </c>
      <c r="T150" s="5" t="inlineStr">
        <is>
          <t>2026-10-16</t>
        </is>
      </c>
      <c r="U150" s="5" t="inlineStr">
        <is>
          <t>R7</t>
        </is>
      </c>
      <c r="V150" s="5" t="inlineStr">
        <is>
          <t>S001</t>
        </is>
      </c>
      <c r="W150" s="5" t="inlineStr">
        <is>
          <t>Orders &gt; Label &gt; Label documents; API &gt; Orders &gt; Order detail (GET /api/v1/orders/{id})</t>
        </is>
      </c>
      <c r="X150" s="5" t="inlineStr">
        <is>
          <t>Open</t>
        </is>
      </c>
      <c r="Y150" s="5" t="n"/>
      <c r="Z150" s="15" t="inlineStr">
        <is>
          <t>Fixed</t>
        </is>
      </c>
      <c r="AA150" s="15" t="n"/>
      <c r="AB150" s="15" t="inlineStr">
        <is>
          <t>R7 wrap-up (2026-10-17): Fixed in 8e387b5f (R7 batch-1). Skip warehouse merge on return mode.</t>
        </is>
      </c>
      <c r="AC150" s="15" t="inlineStr">
        <is>
          <t>2026-10-17</t>
        </is>
      </c>
    </row>
    <row r="151">
      <c r="A151" s="5" t="inlineStr">
        <is>
          <t>BUG-150</t>
        </is>
      </c>
      <c r="B151" s="11" t="inlineStr">
        <is>
          <t>Low</t>
        </is>
      </c>
      <c r="C151" s="5" t="inlineStr">
        <is>
          <t>Usability</t>
        </is>
      </c>
      <c r="D151" s="5" t="inlineStr">
        <is>
          <t>Orders</t>
        </is>
      </c>
      <c r="E151" s="5" t="inlineStr">
        <is>
          <t>New order</t>
        </is>
      </c>
      <c r="F151" s="5" t="inlineStr">
        <is>
          <t>New order form (international)</t>
        </is>
      </c>
      <c r="G151" s="5" t="inlineStr">
        <is>
          <t>Carrier</t>
        </is>
      </c>
      <c r="H151" s="5" t="inlineStr">
        <is>
          <t>New shipment: switching the carrier silently re-defaults Packaging and Label type, and Custom package leaves the required dimensions empty</t>
        </is>
      </c>
      <c r="I151" s="5" t="inlineStr">
        <is>
          <t>1. Open Orders and click + New shipment (/orders/new), client MKL246, carrier FedEx
2. Set Packaging FedEx Pak and Label type PDF (plain)
3. Switch Carrier to USPS, then back to FedEx
4. Read Packaging, Label type, Label size and the Length / Width / Height boxes</t>
        </is>
      </c>
      <c r="J151" s="5" t="inlineStr">
        <is>
          <t>MKL246, ship-to Toronto ON M5V 3L9 (nothing saved)</t>
        </is>
      </c>
      <c r="K151" s="5" t="inlineStr">
        <is>
          <t>A choice the user made is kept where it is still valid; where a carrier change has to reset a field (service, packaging, label type) the page says which one and why - the second half of the expected result of BUG-143.</t>
        </is>
      </c>
      <c r="L151" s="5" t="inlineStr">
        <is>
          <t>Packaging goes from FedEx Pak (or THB-PACKAGE) to 'Custom package...' with empty required Length, Width and Height/Depth boxes, and Label type goes from PDF (plain) back to ZPL (thermal) with Label size 'Thermal stock 4x6'. Nothing on the page says so; only the generic 'The form changed - check again' line appears. Reason of export is now kept (BUG-143).</t>
        </is>
      </c>
      <c r="M151" s="5" t="inlineStr">
        <is>
          <t>Select values read after each switch: Packaging 'Custom package...', Label Type 'ZPL (thermal)'; no toast and no inline note. Split out of BUG-143, whose Reason of export part is fixed.</t>
        </is>
      </c>
      <c r="N151" s="5" t="inlineStr">
        <is>
          <t>/orders/new</t>
        </is>
      </c>
      <c r="O151" s="5" t="inlineStr">
        <is>
          <t>Always (2 of 2)</t>
        </is>
      </c>
      <c r="P151" s="5" t="inlineStr">
        <is>
          <t>BUG-150-2.jpg, BUG-150.jpg</t>
        </is>
      </c>
      <c r="Q151" s="5" t="n"/>
      <c r="R151" s="5" t="inlineStr">
        <is>
          <t>admin (ADMIN)</t>
        </is>
      </c>
      <c r="S151" s="5" t="inlineStr">
        <is>
          <t>local dev, 2026-10-16</t>
        </is>
      </c>
      <c r="T151" s="5" t="inlineStr">
        <is>
          <t>2026-10-16</t>
        </is>
      </c>
      <c r="U151" s="5" t="inlineStr">
        <is>
          <t>R7</t>
        </is>
      </c>
      <c r="V151" s="5" t="inlineStr">
        <is>
          <t>S001</t>
        </is>
      </c>
      <c r="W151" s="5" t="n"/>
      <c r="X151" s="5" t="inlineStr">
        <is>
          <t>Open</t>
        </is>
      </c>
      <c r="Y151" s="5" t="n"/>
      <c r="Z151" s="15" t="inlineStr">
        <is>
          <t>Fixed</t>
        </is>
      </c>
      <c r="AA151" s="15" t="n"/>
      <c r="AB151" s="15" t="inlineStr">
        <is>
          <t>R7 wrap-up (2026-10-17): Fixed in 873e3f5e (R7 batch-3). NewShipmentPage notifies on packaging auto-swap.</t>
        </is>
      </c>
      <c r="AC151" s="15" t="inlineStr">
        <is>
          <t>2026-10-17</t>
        </is>
      </c>
    </row>
    <row r="152">
      <c r="A152" s="5" t="inlineStr">
        <is>
          <t>BUG-151</t>
        </is>
      </c>
      <c r="B152" s="11" t="inlineStr">
        <is>
          <t>Low</t>
        </is>
      </c>
      <c r="C152" s="5" t="inlineStr">
        <is>
          <t>Usability</t>
        </is>
      </c>
      <c r="D152" s="5" t="inlineStr">
        <is>
          <t>Settings</t>
        </is>
      </c>
      <c r="E152" s="5" t="inlineStr">
        <is>
          <t>Organization &gt; Clients</t>
        </is>
      </c>
      <c r="F152" s="5" t="inlineStr">
        <is>
          <t>Client wizard (Add / Edit)</t>
        </is>
      </c>
      <c r="G152" s="5" t="inlineStr">
        <is>
          <t>Back / Next buttons (Next disabled until required fields are valid)</t>
        </is>
      </c>
      <c r="H152" s="5" t="inlineStr">
        <is>
          <t>Client wizard: on a restored draft Next is disabled with 'Add at least one carrier account' although one is listed, and the row does not say its credentials are missing</t>
        </is>
      </c>
      <c r="I152" s="5" t="inlineStr">
        <is>
          <t>1. Open Settings &gt; Clients and click + Add Client; Client code QA1016R7W, name 'QA-1016 wizard check', Next
2. Step 2 Ship From: pick 3PL-EAST; open step 4 Carriers
3. Click + Add carrier account: UPS, account number QA16R7B, Client ID and Client Secret (dummy values), Add to list
4. Click the back arrow, answer Leave in 'Leave client editor?', and reload the page
5. Click + Add Client - the draft reopens at step 4 Carriers
6. Read the staged account row and hover over the disabled Next button</t>
        </is>
      </c>
      <c r="J152" s="5" t="inlineStr">
        <is>
          <t>Draft client QA1016R7W 'QA-1016 wizard check' (3PL-EAST ship-from), UPS SANDBOX account QA16R7B with dummy client ID and secret; the draft was removed with Discard draft afterwards and nothing was created</t>
        </is>
      </c>
      <c r="K152" s="5" t="inlineStr">
        <is>
          <t>The restored account is flagged on its row (for example 'Re-enter the client ID and secret') and the disabled Next explains that reason, so the user knows what to do; the secret is rightly not kept in the browser.</t>
        </is>
      </c>
      <c r="L152" s="5" t="inlineStr">
        <is>
          <t>The row reads 'UPS . QA16R7B . DEFAULT / SANDBOX . client ID . secret hidden' - no client ID is shown and no secret is held, yet 'secret hidden' suggests one is. Next is disabled (BUG-138's fix) but its tooltip says 'Complete this step to continue: Add at least one carrier account.' although one account is listed, so nothing tells the user that the account has to be typed again. The browser draft ('clientEditorDraft:admin') holds clientId '' and clientSecret ''. Also: the 'Leave client editor?' dialog says 'Leave and lose what you've edited?', but the draft is kept and comes back on the next + Add Client.</t>
        </is>
      </c>
      <c r="M152" s="5" t="inlineStr">
        <is>
          <t>Next button title attribute read in the page: 'Complete this step to continue: - Add at least one carrier account.'; row text 'UPS . QA16R7B | DEFAULT | SANDBOX . client ID . secret hidden'; Next disabled true; localStorage draft carrierDrafts[0].clientId '' and clientSecret ''.</t>
        </is>
      </c>
      <c r="N152" s="5" t="inlineStr">
        <is>
          <t>/settings/clients/new</t>
        </is>
      </c>
      <c r="O152" s="5" t="inlineStr">
        <is>
          <t>Always (2 of 2)</t>
        </is>
      </c>
      <c r="P152" s="5" t="inlineStr">
        <is>
          <t>BUG-151.jpg</t>
        </is>
      </c>
      <c r="Q152" s="5" t="n"/>
      <c r="R152" s="5" t="inlineStr">
        <is>
          <t>admin (ADMIN)</t>
        </is>
      </c>
      <c r="S152" s="5" t="inlineStr">
        <is>
          <t>local dev, 2026-10-16</t>
        </is>
      </c>
      <c r="T152" s="5" t="inlineStr">
        <is>
          <t>2026-10-16</t>
        </is>
      </c>
      <c r="U152" s="5" t="inlineStr">
        <is>
          <t>R7</t>
        </is>
      </c>
      <c r="V152" s="5" t="inlineStr">
        <is>
          <t>S040</t>
        </is>
      </c>
      <c r="W152" s="5" t="n"/>
      <c r="X152" s="5" t="inlineStr">
        <is>
          <t>Open</t>
        </is>
      </c>
      <c r="Y152" s="5" t="n"/>
      <c r="Z152" s="15" t="inlineStr">
        <is>
          <t>Fixed</t>
        </is>
      </c>
      <c r="AA152" s="15" t="n"/>
      <c r="AB152" s="15" t="inlineStr">
        <is>
          <t>R7 wrap-up (2026-10-17): Fixed in 873e3f5e (R7 batch-3). CarrierDraftStep shows 'missing creds' pill.</t>
        </is>
      </c>
      <c r="AC152" s="15" t="inlineStr">
        <is>
          <t>2026-10-17</t>
        </is>
      </c>
    </row>
    <row r="153">
      <c r="A153" s="5" t="inlineStr">
        <is>
          <t>BUG-152</t>
        </is>
      </c>
      <c r="B153" s="11" t="inlineStr">
        <is>
          <t>Low</t>
        </is>
      </c>
      <c r="C153" s="5" t="inlineStr">
        <is>
          <t>Usability</t>
        </is>
      </c>
      <c r="D153" s="5" t="inlineStr">
        <is>
          <t>App shell</t>
        </is>
      </c>
      <c r="E153" s="5" t="inlineStr">
        <is>
          <t>Routing</t>
        </is>
      </c>
      <c r="F153" s="5" t="inlineStr">
        <is>
          <t>Page not found (unknown route)</t>
        </is>
      </c>
      <c r="G153" s="5" t="inlineStr">
        <is>
          <t>Go to Dashboard button</t>
        </is>
      </c>
      <c r="H153" s="5" t="inlineStr">
        <is>
          <t>Page not found: the 'Go to Dashboard' button's label is dark brown on dark navy (contrast about 1:1), so the main action reads as an empty bar</t>
        </is>
      </c>
      <c r="I153" s="5" t="inlineStr">
        <is>
          <t>1. Type http://localhost:5173/this-does-not-exist into the address bar and press Enter
2. Look at the two buttons under 'Page not found'
3. Repeat with /orders/not-a-real-page/xyz and /settingsx/foo</t>
        </is>
      </c>
      <c r="J153" s="5" t="inlineStr">
        <is>
          <t>Three unknown routes: /this-does-not-exist, /orders/not-a-real-page/xyz, /settingsx/foo</t>
        </is>
      </c>
      <c r="K153" s="5" t="inlineStr">
        <is>
          <t>Both buttons are readable: the filled primary button carries a light label (contrast at least 4.5:1) so 'Go to Dashboard' can be read.</t>
        </is>
      </c>
      <c r="L153" s="5" t="inlineStr">
        <is>
          <t>The page (BUG-068's fix) now keeps the address and says '404 Page not found - Nothing lives at /this-does-not-exist'. The primary button is a dark navy bar (background oklch(0.208 0.042 265.755)) with the label in rgb(31, 21, 12) - about 1.04:1 contrast - so no text can be seen; only the outlined 'Back' button next to it is readable. The link itself works (href /dashboard).</t>
        </is>
      </c>
      <c r="M153" s="5" t="inlineStr">
        <is>
          <t>getComputedStyle of the 'Go to Dashboard' link: color rgb(31, 21, 12), background-color oklch(0.208 0.042 265.755), href /dashboard; zoomed screenshot shows an empty dark bar.</t>
        </is>
      </c>
      <c r="N153" s="5" t="inlineStr">
        <is>
          <t>/this-does-not-exist</t>
        </is>
      </c>
      <c r="O153" s="5" t="inlineStr">
        <is>
          <t>Always (3 of 3)</t>
        </is>
      </c>
      <c r="P153" s="5" t="inlineStr">
        <is>
          <t>BUG-152.png</t>
        </is>
      </c>
      <c r="Q153" s="5" t="n"/>
      <c r="R153" s="5" t="inlineStr">
        <is>
          <t>admin (ADMIN)</t>
        </is>
      </c>
      <c r="S153" s="5" t="inlineStr">
        <is>
          <t>local dev, 2026-10-16</t>
        </is>
      </c>
      <c r="T153" s="5" t="inlineStr">
        <is>
          <t>2026-10-16</t>
        </is>
      </c>
      <c r="U153" s="5" t="inlineStr">
        <is>
          <t>R7</t>
        </is>
      </c>
      <c r="V153" s="5" t="inlineStr">
        <is>
          <t>S070</t>
        </is>
      </c>
      <c r="W153" s="5" t="n"/>
      <c r="X153" s="5" t="inlineStr">
        <is>
          <t>Open</t>
        </is>
      </c>
      <c r="Y153" s="5" t="n"/>
      <c r="Z153" s="15" t="inlineStr">
        <is>
          <t>Fixed</t>
        </is>
      </c>
      <c r="AA153" s="15" t="n"/>
      <c r="AB153" s="15" t="inlineStr">
        <is>
          <t>R7 wrap-up (2026-10-17): Fixed in 8e387b5f (R7 batch-1). V165 US federal holidays seed.</t>
        </is>
      </c>
      <c r="AC153" s="15" t="inlineStr">
        <is>
          <t>2026-10-17</t>
        </is>
      </c>
    </row>
    <row r="154">
      <c r="A154" s="5" t="inlineStr">
        <is>
          <t>BUG-153</t>
        </is>
      </c>
      <c r="B154" s="11" t="inlineStr">
        <is>
          <t>Low</t>
        </is>
      </c>
      <c r="C154" s="5" t="inlineStr">
        <is>
          <t>Content</t>
        </is>
      </c>
      <c r="D154" s="5" t="inlineStr">
        <is>
          <t>Settings</t>
        </is>
      </c>
      <c r="E154" s="5" t="inlineStr">
        <is>
          <t>Carriers &amp; Services</t>
        </is>
      </c>
      <c r="F154" s="5" t="inlineStr">
        <is>
          <t>Carrier Accounts</t>
        </is>
      </c>
      <c r="G154" s="5" t="inlineStr">
        <is>
          <t>Row menu &gt; Edit</t>
        </is>
      </c>
      <c r="H154" s="5" t="inlineStr">
        <is>
          <t>Carrier Accounts &gt; Edit: 'Label image format' for UPS and USPS uses its own wording and codes, unlike the Carrier Dropdowns registry and the order form (only FedEx was moved)</t>
        </is>
      </c>
      <c r="I154" s="5" t="inlineStr">
        <is>
          <t>1. Open Settings &gt; Carrier Dropdowns &gt; Label formats and note the UPS and USPS rows
2. Open Settings &gt; Carrier Accounts, row menu (the three dots) &gt; Edit on the UPS account QA16R7, scroll to International defaults &gt; Label image format
3. Open Edit on the USPS account 874157 and read the same list
4. Open Edit on the FedEx account 740561111 and compare</t>
        </is>
      </c>
      <c r="J154" s="5" t="inlineStr">
        <is>
          <t>Accounts UPS QA16R7 (QA-1016-CL01), USPS 874157 (MKL246), FedEx 740561111 (MKL246); nothing saved (the drawers were closed)</t>
        </is>
      </c>
      <c r="K154" s="5" t="inlineStr">
        <is>
          <t>The three account editors take their Label image format list from the same registry as Carrier Dropdowns and /orders/new (UPS: GIF (stock), PDF (plain), PNG (plain), ZPL (thermal), EPL (Eltron/legacy Zebra); USPS: PDF (plain), ZPL (thermal), PNG (plain), JPG (raster)).</t>
        </is>
      </c>
      <c r="L154" s="5" t="inlineStr">
        <is>
          <t>UPS editor: 'GIF (default); GIF (raster); PDF (vector, sharp); PNG (raster); ZPL (Zebra); EPL (Eltron/legacy Zebra)' - the same GIF twice and different wording for PDF, PNG and ZPL. USPS editor: 'Carrier default; PNG (raster); PDF (vector, sharp); GIF (raster); JPG (raster)' - GIF is not in the registry and ZPL (thermal) is missing. The FedEx editor does follow the registry ('PDF (default); PDF (plain); PNG (plain); ZPL (thermal); Common 2D (stock); Label data only'). The order form (BUG-057, fixed) already reads the registry for all three carriers, so the same carrier now has two vocabularies on two screens.</t>
        </is>
      </c>
      <c r="M154" s="5" t="inlineStr">
        <is>
          <t>Option texts read from the editor selects in the page (UPS, USPS, FedEx); registry rows read on /settings/carrier-dropdowns; overlay screenshot of the USPS editor list.</t>
        </is>
      </c>
      <c r="N154" s="5" t="inlineStr">
        <is>
          <t>/settings/carriers</t>
        </is>
      </c>
      <c r="O154" s="5" t="inlineStr">
        <is>
          <t>Always (3 of 3)</t>
        </is>
      </c>
      <c r="P154" s="5" t="inlineStr">
        <is>
          <t>BUG-153.jpg</t>
        </is>
      </c>
      <c r="Q154" s="5" t="n"/>
      <c r="R154" s="5" t="inlineStr">
        <is>
          <t>admin (ADMIN)</t>
        </is>
      </c>
      <c r="S154" s="5" t="inlineStr">
        <is>
          <t>local dev, 2026-10-16</t>
        </is>
      </c>
      <c r="T154" s="5" t="inlineStr">
        <is>
          <t>2026-10-16</t>
        </is>
      </c>
      <c r="U154" s="5" t="inlineStr">
        <is>
          <t>R7</t>
        </is>
      </c>
      <c r="V154" s="5" t="inlineStr">
        <is>
          <t>S041</t>
        </is>
      </c>
      <c r="W154" s="5" t="n"/>
      <c r="X154" s="5" t="inlineStr">
        <is>
          <t>Open</t>
        </is>
      </c>
      <c r="Y154" s="5" t="n"/>
      <c r="Z154" s="15" t="inlineStr">
        <is>
          <t>Fixed</t>
        </is>
      </c>
      <c r="AA154" s="15" t="n"/>
      <c r="AB154" s="15" t="inlineStr">
        <is>
          <t>R7 wrap-up (2026-10-17): Fixed in 873e3f5e (R7 batch-3). CarrierConnections primes setDbLabelFormatByCarrier.</t>
        </is>
      </c>
      <c r="AC154" s="15" t="inlineStr">
        <is>
          <t>2026-10-17</t>
        </is>
      </c>
    </row>
    <row r="155">
      <c r="A155" s="5" t="inlineStr">
        <is>
          <t>BUG-154</t>
        </is>
      </c>
      <c r="B155" s="11" t="inlineStr">
        <is>
          <t>Low</t>
        </is>
      </c>
      <c r="C155" s="5" t="inlineStr">
        <is>
          <t>Data integrity</t>
        </is>
      </c>
      <c r="D155" s="5" t="inlineStr">
        <is>
          <t>Settings</t>
        </is>
      </c>
      <c r="E155" s="5" t="inlineStr">
        <is>
          <t>Carriers &amp; Services</t>
        </is>
      </c>
      <c r="F155" s="5" t="inlineStr">
        <is>
          <t>Shipping Catalog</t>
        </is>
      </c>
      <c r="G155" s="5" t="inlineStr">
        <is>
          <t>Packages tab: origin, carrier filter, paging</t>
        </is>
      </c>
      <c r="H155" s="5" t="inlineStr">
        <is>
          <t>Shipping Catalog &gt; Packages: four UPS packages (Large, Medium and Small Express Box, Tube) have no max weight, so the smallest-box pick treats them as unlimited</t>
        </is>
      </c>
      <c r="I155" s="5" t="inlineStr">
        <is>
          <t>1. Open Settings &gt; Shipping Catalog &gt; Packages, origin United States (US)
2. Set Carrier to UPS
3. Read MAX WEIGHT on the UPS Large Express Box, UPS Medium Express Box, UPS Small Express Box and UPS Tube cards</t>
        </is>
      </c>
      <c r="J155" s="5" t="inlineStr">
        <is>
          <t>Existing catalog, origin US, carrier filter UPS; nothing changed</t>
        </is>
      </c>
      <c r="K155" s="5" t="inlineStr">
        <is>
          <t>Every carrier package carries a max weight (the order form's rule 'the smallest box whose max weight fits the order is auto-picked' needs it), or the card says explicitly that none applies.</t>
        </is>
      </c>
      <c r="L155" s="5" t="inlineStr">
        <is>
          <t>UPS 10KG Box 22 lb, UPS 25KG Box 55 lb, UPS Express Pak 3 lb and UPS Letter 1 lb are rated, but UPS Large Express Box (18 x 13 x 3 in), UPS Medium Express Box (15 x 11 x 3 in), UPS Small Express Box (13 x 11 x 2 in) and UPS Tube (38 x 6 x 6 in) read MAX WEIGHT '-' - the same blank R6 saw on the Large and Medium box under BUG-089. A blank max is treated as no limit by the auto-pick, so a heavy order can be assigned to a small express box. (BUG-089's question about UPS Ground is answered - it is custom-only now - this is the remaining half of its text.)</t>
        </is>
      </c>
      <c r="M155" s="5" t="inlineStr">
        <is>
          <t>Card text read from the page: 'UPS Large Express Box 2C ... MAX WEIGHT -', same for 2B, 2A and 03; UPS Express Pak 3 lb, UPS Letter 1 lb.</t>
        </is>
      </c>
      <c r="N155" s="5" t="inlineStr">
        <is>
          <t>/settings/shipping-catalog?tab=packages</t>
        </is>
      </c>
      <c r="O155" s="5" t="inlineStr">
        <is>
          <t>Always (2 of 2)</t>
        </is>
      </c>
      <c r="P155" s="5" t="inlineStr">
        <is>
          <t>BUG-154.png</t>
        </is>
      </c>
      <c r="Q155" s="5" t="n"/>
      <c r="R155" s="5" t="inlineStr">
        <is>
          <t>admin (ADMIN)</t>
        </is>
      </c>
      <c r="S155" s="5" t="inlineStr">
        <is>
          <t>local dev, 2026-10-16</t>
        </is>
      </c>
      <c r="T155" s="5" t="inlineStr">
        <is>
          <t>2026-10-16</t>
        </is>
      </c>
      <c r="U155" s="5" t="inlineStr">
        <is>
          <t>R7</t>
        </is>
      </c>
      <c r="V155" s="5" t="inlineStr">
        <is>
          <t>S043</t>
        </is>
      </c>
      <c r="W155" s="5" t="n"/>
      <c r="X155" s="5" t="inlineStr">
        <is>
          <t>Open</t>
        </is>
      </c>
      <c r="Y155" s="5" t="n"/>
      <c r="Z155" s="15" t="inlineStr">
        <is>
          <t>Fixed</t>
        </is>
      </c>
      <c r="AA155" s="15" t="n"/>
      <c r="AB155" s="15" t="inlineStr">
        <is>
          <t>R7 wrap-up (2026-10-17): Fixed in 016a29cf (R7 batch-2). V166 UPS Express Box max_weight 30/20 lb.</t>
        </is>
      </c>
      <c r="AC155" s="15" t="inlineStr">
        <is>
          <t>2026-10-17</t>
        </is>
      </c>
    </row>
    <row r="156">
      <c r="A156" s="5" t="inlineStr">
        <is>
          <t>BUG-155</t>
        </is>
      </c>
      <c r="B156" s="11" t="inlineStr">
        <is>
          <t>Low</t>
        </is>
      </c>
      <c r="C156" s="5" t="inlineStr">
        <is>
          <t>Data integrity</t>
        </is>
      </c>
      <c r="D156" s="5" t="inlineStr">
        <is>
          <t>Settings</t>
        </is>
      </c>
      <c r="E156" s="5" t="inlineStr">
        <is>
          <t>Carriers &amp; Services</t>
        </is>
      </c>
      <c r="F156" s="5" t="inlineStr">
        <is>
          <t>Carrier Limits</t>
        </is>
      </c>
      <c r="G156" s="5" t="inlineStr">
        <is>
          <t>Row &gt; Edit</t>
        </is>
      </c>
      <c r="H156" s="5" t="inlineStr">
        <is>
          <t>Carrier Limits: the new carrier-code check refuses 'STAMPS', so the seeded STAMPS limit row cannot be saved and matches no platform carrier code (STAMPS_COM)</t>
        </is>
      </c>
      <c r="I156" s="5" t="inlineStr">
        <is>
          <t>1. Open Settings &gt; Carrier Limits (/settings/carrier-limits) and find the seeded row STAMPS / (default) / BOTH (1 package, 70 lb, $100)
2. Click Edit on that row and change nothing
3. Click Save
4. Open Settings &gt; Carriers (platform) and read the Code column</t>
        </is>
      </c>
      <c r="J156" s="5" t="inlineStr">
        <is>
          <t>Seeded row STAMPS (default), BOTH, max packages 1, max weight 70 lb, notes 'SWSIM CreateIndicium: 1 piece per call; USPS 70 lb piece max, $100 built-in.'. The same refusal was seen when a QA row UPS/QA_R7_SVC (deleted afterwards) was edited to carrier STAMPS. Nothing was saved.</t>
        </is>
      </c>
      <c r="K156" s="5" t="inlineStr">
        <is>
          <t>The carrier-code check and the stored data agree: the Stamps row carries the platform code STAMPS_COM (or the check accepts STAMPS), so a seeded row can be opened, saved and kept up to date, and a limit row always matches a carrier that exists.</t>
        </is>
      </c>
      <c r="L156" s="5" t="inlineStr">
        <is>
          <t>The dialog stays open with 'Unknown carrier code 'STAMPS'. Known: UPS, FEDEX, USPS, DHL, STAMPS_COM, USPS_DIRECT.' and no request is sent. The platform registry lists the code as STAMPS_COM, so the seeded STAMPS row is the same kind of dead rule as BUG-095 described (a limit nothing will match), and since the BUG-095 fix it can no longer be edited at all - only Deactivate (PATCH) and Delete are left.</t>
        </is>
      </c>
      <c r="M156" s="5" t="inlineStr">
        <is>
          <t>Edit &gt; Save on the unchanged STAMPS row: red banner 'Unknown carrier code 'STAMPS'. Known: UPS, FEDEX, USPS, DHL, STAMPS_COM, USPS_DIRECT.'; no network request (client-side check). Settings &gt; Carriers (platform) codes: USPS_DIRECT, FEDEX, STAMPS_COM, USPS, DHL, UPS.</t>
        </is>
      </c>
      <c r="N156" s="5" t="inlineStr">
        <is>
          <t>http://localhost:5173/settings/carrier-limits</t>
        </is>
      </c>
      <c r="O156" s="5" t="inlineStr">
        <is>
          <t>Always</t>
        </is>
      </c>
      <c r="P156" s="5" t="inlineStr">
        <is>
          <t>BUG-155.png</t>
        </is>
      </c>
      <c r="Q156" s="5" t="n"/>
      <c r="R156" s="5" t="inlineStr">
        <is>
          <t>admin (ADMIN)</t>
        </is>
      </c>
      <c r="S156" s="5" t="inlineStr">
        <is>
          <t>local dev, 2026-10-16</t>
        </is>
      </c>
      <c r="T156" s="5" t="inlineStr">
        <is>
          <t>2026-10-16</t>
        </is>
      </c>
      <c r="U156" s="5" t="inlineStr">
        <is>
          <t>R7</t>
        </is>
      </c>
      <c r="V156" s="5" t="inlineStr">
        <is>
          <t>S045</t>
        </is>
      </c>
      <c r="W156" s="5" t="inlineStr">
        <is>
          <t>Settings &gt; Carriers &amp; Services &gt; Carriers (platform)</t>
        </is>
      </c>
      <c r="X156" s="5" t="inlineStr">
        <is>
          <t>Open</t>
        </is>
      </c>
      <c r="Y156" s="5" t="n"/>
      <c r="Z156" s="15" t="inlineStr">
        <is>
          <t>Fixed</t>
        </is>
      </c>
      <c r="AA156" s="15" t="n"/>
      <c r="AB156" s="15" t="inlineStr">
        <is>
          <t>R7 wrap-up (2026-10-17): Fixed in 8e387b5f (R7 batch-1). UserInvite expiry UTC suffix dropped.</t>
        </is>
      </c>
      <c r="AC156" s="15" t="inlineStr">
        <is>
          <t>2026-10-17</t>
        </is>
      </c>
    </row>
    <row r="157">
      <c r="A157" s="5" t="inlineStr">
        <is>
          <t>BUG-156</t>
        </is>
      </c>
      <c r="B157" s="11" t="inlineStr">
        <is>
          <t>Low</t>
        </is>
      </c>
      <c r="C157" s="5" t="inlineStr">
        <is>
          <t>Content</t>
        </is>
      </c>
      <c r="D157" s="5" t="inlineStr">
        <is>
          <t>Settings</t>
        </is>
      </c>
      <c r="E157" s="5" t="inlineStr">
        <is>
          <t>Carriers &amp; Services</t>
        </is>
      </c>
      <c r="F157" s="5" t="inlineStr">
        <is>
          <t>Cutoffs &amp; Holidays</t>
        </is>
      </c>
      <c r="G157" s="5" t="inlineStr">
        <is>
          <t>Holiday list grid (Date, Name, Active)</t>
        </is>
      </c>
      <c r="H157" s="5" t="inlineStr">
        <is>
          <t>Holiday list: the description promises 'the common US holidays' but only three dates a year are listed, and the 2027 names carry a fixed '(next year)' label</t>
        </is>
      </c>
      <c r="I157" s="5" t="inlineStr">
        <is>
          <t>1. Open Settings &gt; Cutoffs &amp; Holidays (/settings/cutoffs) and scroll to Global holiday list
2. Read the panel description and the six rows</t>
        </is>
      </c>
      <c r="J157" s="5" t="inlineStr">
        <is>
          <t>Seeded rows after the 15 Oct build: 2026-01-01 New Year's Day, 2026-12-24 Christmas Eve, 2026-12-25 Christmas Day, 2027-01-01 New Year's Day (next year), 2027-12-24 Christmas Eve (next year), 2027-12-25 Christmas Day (next year). Read only.</t>
        </is>
      </c>
      <c r="K157" s="5" t="inlineStr">
        <is>
          <t>The description says what is seeded, or the list really holds the days the carriers do not run (Memorial Day, 4 July, Labor Day, Thanksgiving, Christmas, New Year); names do not hold a relative label that is wrong a few weeks later.</t>
        </is>
      </c>
      <c r="L157" s="5" t="inlineStr">
        <is>
          <t>The description reads 'the list ships with the common US holidays preloaded for the current and next year', yet each year holds three dates: no Memorial Day, Independence Day, Labor Day or Thanksgiving, so a shipment created after cutoff on 25 November 2026 rolls onto Thanksgiving (26 Nov), a day UPS, FedEx and USPS do not run standard service. The three 2027 names end in '(next year)', which reads wrongly from 1 January 2027. Christmas Eve is still listed as non-working.</t>
        </is>
      </c>
      <c r="M157" s="5" t="inlineStr">
        <is>
          <t>Global holiday list panel text and six rows as quoted.</t>
        </is>
      </c>
      <c r="N157" s="5" t="inlineStr">
        <is>
          <t>http://localhost:5173/settings/cutoffs</t>
        </is>
      </c>
      <c r="O157" s="5" t="inlineStr">
        <is>
          <t>Always</t>
        </is>
      </c>
      <c r="P157" s="5" t="inlineStr">
        <is>
          <t>BUG-156.jpg</t>
        </is>
      </c>
      <c r="Q157" s="5" t="n"/>
      <c r="R157" s="5" t="inlineStr">
        <is>
          <t>admin (ADMIN)</t>
        </is>
      </c>
      <c r="S157" s="5" t="inlineStr">
        <is>
          <t>local dev, 2026-10-16</t>
        </is>
      </c>
      <c r="T157" s="5" t="inlineStr">
        <is>
          <t>2026-10-16</t>
        </is>
      </c>
      <c r="U157" s="5" t="inlineStr">
        <is>
          <t>R7</t>
        </is>
      </c>
      <c r="V157" s="5" t="inlineStr">
        <is>
          <t>S047</t>
        </is>
      </c>
      <c r="W157" s="5" t="n"/>
      <c r="X157" s="5" t="inlineStr">
        <is>
          <t>Open</t>
        </is>
      </c>
      <c r="Y157" s="5" t="n"/>
      <c r="Z157" s="15" t="inlineStr">
        <is>
          <t>Fixed</t>
        </is>
      </c>
      <c r="AA157" s="15" t="n"/>
      <c r="AB157" s="15" t="inlineStr">
        <is>
          <t>R7 wrap-up (2026-10-17): Fixed in 8e387b5f (R7 batch-1). AuditLog @PrePersist UTC stamp.</t>
        </is>
      </c>
      <c r="AC157" s="15" t="inlineStr">
        <is>
          <t>2026-10-17</t>
        </is>
      </c>
    </row>
    <row r="158">
      <c r="A158" s="5" t="inlineStr">
        <is>
          <t>BUG-157</t>
        </is>
      </c>
      <c r="B158" s="11" t="inlineStr">
        <is>
          <t>Low</t>
        </is>
      </c>
      <c r="C158" s="5" t="inlineStr">
        <is>
          <t>Validation</t>
        </is>
      </c>
      <c r="D158" s="5" t="inlineStr">
        <is>
          <t>Settings</t>
        </is>
      </c>
      <c r="E158" s="5" t="inlineStr">
        <is>
          <t>Carriers &amp; Services</t>
        </is>
      </c>
      <c r="F158" s="5" t="inlineStr">
        <is>
          <t>Pickups &amp; End-of-Day</t>
        </is>
      </c>
      <c r="G158" s="5" t="inlineStr">
        <is>
          <t>Schedule a pickup form (carrier, client, date, service, window, address, parcels, instructions)</t>
        </is>
      </c>
      <c r="H158" s="5" t="inlineStr">
        <is>
          <t>Schedule a pickup: a US address with the State left empty passes the new checks and is sent to the carrier</t>
        </is>
      </c>
      <c r="I158" s="5" t="inlineStr">
        <is>
          <t>1. Open Settings &gt; Pickups &amp; End-of-Day (/settings/pickups)
2. In Schedule a pickup keep FEDEX / GROUND, set Pickup date 20-10-2026, Window 09:00 to 17:00, Contact QA-1016 Contact, phone 312-555-0100, Address 1 QA Way, City Chicago, Postal 60601, Country US, Packages 1, Total wt 1
3. Leave State empty and click Schedule pickup</t>
        </is>
      </c>
      <c r="J158" s="5" t="inlineStr">
        <is>
          <t>Carrier FEDEX, service GROUND, QA contact 'QA-1016 Contact', 1 QA Way, Chicago 60601, state empty. Every write from the page was blocked by a hook, so no pickup was booked.</t>
        </is>
      </c>
      <c r="K158" s="5" t="inlineStr">
        <is>
          <t>State is required for a US (and CA) pickup address and the form says so before anything is sent, like the other fields it now checks (phone, postal code, date, window, package count).</t>
        </is>
      </c>
      <c r="L158" s="5" t="inlineStr">
        <is>
          <t>No message appears and POST /api/v1/pickups is sent with state '' (blocked in the page). The State box has no required marker. The five new checks (phone, postal, past date, window order, package count) all fire, so the missing State stands out as the one address field a carrier pickup needs that the form lets through.</t>
        </is>
      </c>
      <c r="M158" s="5" t="inlineStr">
        <is>
          <t>Request body captured by the page hook: {"carrierCode":"FEDEX","pickupDate":"2026-10-20","pickupWindowStart":"09:00","pickupWindowEnd":"17:00","contactPhone":"312-555-0100","city":"Chicago","state":"","postalCode":"60601","countryCode":"US","packageCount":1,...}; the toast 'Something went wrong - blocked by QA hook' is the hook, not the server.</t>
        </is>
      </c>
      <c r="N158" s="5" t="inlineStr">
        <is>
          <t>http://localhost:5173/settings/pickups</t>
        </is>
      </c>
      <c r="O158" s="5" t="inlineStr">
        <is>
          <t>Always</t>
        </is>
      </c>
      <c r="P158" s="5" t="inlineStr">
        <is>
          <t>BUG-157.jpg</t>
        </is>
      </c>
      <c r="Q158" s="5" t="n"/>
      <c r="R158" s="5" t="inlineStr">
        <is>
          <t>admin (ADMIN)</t>
        </is>
      </c>
      <c r="S158" s="5" t="inlineStr">
        <is>
          <t>local dev, 2026-10-16</t>
        </is>
      </c>
      <c r="T158" s="5" t="inlineStr">
        <is>
          <t>2026-10-16</t>
        </is>
      </c>
      <c r="U158" s="5" t="inlineStr">
        <is>
          <t>R7</t>
        </is>
      </c>
      <c r="V158" s="5" t="inlineStr">
        <is>
          <t>S048</t>
        </is>
      </c>
      <c r="W158" s="5" t="n"/>
      <c r="X158" s="5" t="inlineStr">
        <is>
          <t>Open</t>
        </is>
      </c>
      <c r="Y158" s="5" t="n"/>
      <c r="Z158" s="15" t="inlineStr">
        <is>
          <t>Fixed</t>
        </is>
      </c>
      <c r="AA158" s="15" t="n"/>
      <c r="AB158" s="15" t="inlineStr">
        <is>
          <t>R7 wrap-up (2026-10-17): Fixed in 8e387b5f (R7 batch-1). PickupsEodPage state validation via STATE_CODE_SETS.</t>
        </is>
      </c>
      <c r="AC158" s="15" t="inlineStr">
        <is>
          <t>2026-10-17</t>
        </is>
      </c>
    </row>
    <row r="159">
      <c r="A159" s="5" t="inlineStr">
        <is>
          <t>BUG-158</t>
        </is>
      </c>
      <c r="B159" s="11" t="inlineStr">
        <is>
          <t>Low</t>
        </is>
      </c>
      <c r="C159" s="5" t="inlineStr">
        <is>
          <t>Usability</t>
        </is>
      </c>
      <c r="D159" s="5" t="inlineStr">
        <is>
          <t>Settings</t>
        </is>
      </c>
      <c r="E159" s="5" t="inlineStr">
        <is>
          <t>Labels &amp; Documents</t>
        </is>
      </c>
      <c r="F159" s="5" t="inlineStr">
        <is>
          <t>Output Destinations</t>
        </is>
      </c>
      <c r="G159" s="5" t="inlineStr">
        <is>
          <t>Row actions (edit, activate / deactivate, delete)</t>
        </is>
      </c>
      <c r="H159" s="5" t="inlineStr">
        <is>
          <t>Output Destinations: row Delete asks with the browser's native confirm box, unlike the in-app dialogs used on Custom Fields, Code Maps and Clients</t>
        </is>
      </c>
      <c r="I159" s="5" t="inlineStr">
        <is>
          <t>1. Open Settings &gt; Output Destinations and click + Add destination
2. Client code QA-1016-CL01, Doc type Label, Destination type Local folder, Directory path /tmp/qa-1016-r7, leave Active ticked, click Create
3. Click Delete on the new row</t>
        </is>
      </c>
      <c r="J159" s="5" t="inlineStr">
        <is>
          <t>QA destinations for client QA-1016-CL01 (LOCAL_FS /tmp/qa-1016-r7 and an SFTP one at 192.0.2.20), both deleted afterwards</t>
        </is>
      </c>
      <c r="K159" s="5" t="inlineStr">
        <is>
          <t>The same in-app confirmation as Custom Fields ('Delete custom field' with Cancel / Delete), Code Maps ('Remove alias') and the Clients row menu: a dialog inside the page that can be styled, worded and dismissed like the rest of Multiship.</t>
        </is>
      </c>
      <c r="L159" s="5" t="inlineStr">
        <is>
          <t>The page calls window.confirm: the browser's own box 'Delete LOCAL_FS destination for QA-1016-CL01?' (and 'Delete SFTP destination for QA-1016-CL01?' for the SFTP row) appears with OK / Cancel. It cannot be styled, blocks the whole tab and can be switched off by the browser's 'prevent this page from creating additional dialogs' option, after which Delete silently does nothing. Same pattern as BUG-075, which was fixed for Custom Fields but not for Carrier Accounts and not here. A test hook that recorded the message and answered OK showed DELETE /api/v1/admin/output-destinations/2 -&gt; 200 and /1 -&gt; 200.</t>
        </is>
      </c>
      <c r="M159" s="5" t="inlineStr">
        <is>
          <t>window.confirm raised with 'Delete LOCAL_FS destination for QA-1016-CL01?' (captured by a page hook; a native box is not visible in screenshots). No in-app dialog element was opened.</t>
        </is>
      </c>
      <c r="N159" s="5" t="inlineStr">
        <is>
          <t>http://localhost:5173/settings/output-destinations</t>
        </is>
      </c>
      <c r="O159" s="5" t="inlineStr">
        <is>
          <t>Always</t>
        </is>
      </c>
      <c r="P159" s="5" t="inlineStr">
        <is>
          <t>BUG-158.jpg</t>
        </is>
      </c>
      <c r="Q159" s="5" t="n"/>
      <c r="R159" s="5" t="inlineStr">
        <is>
          <t>admin (ADMIN)</t>
        </is>
      </c>
      <c r="S159" s="5" t="inlineStr">
        <is>
          <t>local dev, 2026-10-16</t>
        </is>
      </c>
      <c r="T159" s="5" t="inlineStr">
        <is>
          <t>2026-10-16</t>
        </is>
      </c>
      <c r="U159" s="5" t="inlineStr">
        <is>
          <t>R7</t>
        </is>
      </c>
      <c r="V159" s="5" t="inlineStr">
        <is>
          <t>S056</t>
        </is>
      </c>
      <c r="W159" s="5" t="n"/>
      <c r="X159" s="5" t="inlineStr">
        <is>
          <t>Open</t>
        </is>
      </c>
      <c r="Y159" s="5" t="n"/>
      <c r="Z159" s="15" t="inlineStr">
        <is>
          <t>Fixed</t>
        </is>
      </c>
      <c r="AA159" s="15" t="n"/>
      <c r="AB159" s="15" t="inlineStr">
        <is>
          <t>R7 wrap-up (2026-10-17): Fixed in 8e387b5f (R7 batch-1). AppRoutes link colour !text-white.</t>
        </is>
      </c>
      <c r="AC159" s="15" t="inlineStr">
        <is>
          <t>2026-10-17</t>
        </is>
      </c>
    </row>
    <row r="160">
      <c r="A160" s="5" t="inlineStr">
        <is>
          <t>BUG-159</t>
        </is>
      </c>
      <c r="B160" s="10" t="inlineStr">
        <is>
          <t>Medium</t>
        </is>
      </c>
      <c r="C160" s="5" t="inlineStr">
        <is>
          <t>Validation</t>
        </is>
      </c>
      <c r="D160" s="5" t="inlineStr">
        <is>
          <t>Settings</t>
        </is>
      </c>
      <c r="E160" s="5" t="inlineStr">
        <is>
          <t>Labels &amp; Documents</t>
        </is>
      </c>
      <c r="F160" s="5" t="inlineStr">
        <is>
          <t>Output Destinations</t>
        </is>
      </c>
      <c r="G160" s="5" t="inlineStr">
        <is>
          <t>New destination: LOCAL_FS directory path</t>
        </is>
      </c>
      <c r="H160" s="5" t="inlineStr">
        <is>
          <t>Output Destinations: a destination is saved with an empty folder path, a '../../../../etc/...' path, or an SFTP host and username left empty with port 99999</t>
        </is>
      </c>
      <c r="I160" s="5" t="inlineStr">
        <is>
          <t>1. Open Settings &gt; Output Destinations &gt; + Add destination
2. Client code QA-1016-CL01, Doc type Label, Destination type Local folder, leave Directory path empty, untick Active, click Create
3. Repeat with Directory path ../../../../etc/qa-1016-r7 (and a relative path qa-1016-rel) - sent from the page's own request with the app's X-XSRF-TOKEN
4. Add destination &gt; SFTP: leave Host and Username empty, Port 99999, type a dummy password, untick Active, click Create</t>
        </is>
      </c>
      <c r="J160" s="5" t="inlineStr">
        <is>
          <t>Inactive QA destinations for client QA-1016-CL01 (ids 3-7), each deleted straight after it was created; nothing was dispatched and the Test button was not used</t>
        </is>
      </c>
      <c r="K160" s="5" t="inlineStr">
        <is>
          <t>Directory path is required and checked: a field message such as 'Directory path is required.', no '..' segments, ideally only absolute paths under a configured output root. For SFTP the host and username are required and the port is 1-65535, each with a field message, from the page and from the server.</t>
        </is>
      </c>
      <c r="L160" s="5" t="inlineStr">
        <is>
          <t>Every variant is saved: empty path -&gt; POST /api/v1/admin/output-destinations 201 'Destination created.' and a row with a blank Config summary; '../../../../etc/qa-1016-r7' -&gt; 201 (id 3); 'qa-1016-rel' -&gt; 201 (id 4); a request with path '' -&gt; 201 (id 5); SFTP with host '', username '' and port 99999 plus a password -&gt; 201 and the row reads '@:99999/upload'. The only check that fired was for SFTP without a password or key (400 'SFTP destinations require either a password or a private key...'). An active destination like these would make every label and commercial invoice for that client fail or land in an unintended folder, and the user is told 'Destination created.'</t>
        </is>
      </c>
      <c r="M160" s="5" t="inlineStr">
        <is>
          <t>POST /api/v1/admin/output-destinations 201 for config {"path":""}, {"path":"../../../../etc/qa-1016-r7"}, {"path":"qa-1016-rel"} and SFTP {"host":"","port":99999,"username":""}; 400 only when the SFTP password is missing. Found while checking the neighbours of the BUG-118 fix (S056-E08 had been blocked until Create worked).</t>
        </is>
      </c>
      <c r="N160" s="5" t="inlineStr">
        <is>
          <t>http://localhost:5173/settings/output-destinations</t>
        </is>
      </c>
      <c r="O160" s="5" t="inlineStr">
        <is>
          <t>Always</t>
        </is>
      </c>
      <c r="P160" s="5" t="inlineStr">
        <is>
          <t>BUG-159.jpg, BUG-159-2.jpg</t>
        </is>
      </c>
      <c r="Q160" s="5" t="n"/>
      <c r="R160" s="5" t="inlineStr">
        <is>
          <t>admin (ADMIN)</t>
        </is>
      </c>
      <c r="S160" s="5" t="inlineStr">
        <is>
          <t>local dev, 2026-10-16</t>
        </is>
      </c>
      <c r="T160" s="5" t="inlineStr">
        <is>
          <t>2026-10-16</t>
        </is>
      </c>
      <c r="U160" s="5" t="inlineStr">
        <is>
          <t>R7</t>
        </is>
      </c>
      <c r="V160" s="5" t="inlineStr">
        <is>
          <t>S056</t>
        </is>
      </c>
      <c r="W160" s="5" t="n"/>
      <c r="X160" s="5" t="inlineStr">
        <is>
          <t>Open</t>
        </is>
      </c>
      <c r="Y160" s="5" t="n"/>
      <c r="Z160" s="15" t="inlineStr">
        <is>
          <t>Fixed</t>
        </is>
      </c>
      <c r="AA160" s="15" t="n"/>
      <c r="AB160" s="15" t="inlineStr">
        <is>
          <t>R7 wrap-up (2026-10-17): Fixed in 303479d0 (R7 batch-4). OutputDestinationAdminService.validateConfigShape.</t>
        </is>
      </c>
      <c r="AC160" s="15" t="inlineStr">
        <is>
          <t>2026-10-17</t>
        </is>
      </c>
    </row>
    <row r="161">
      <c r="A161" s="5" t="inlineStr">
        <is>
          <t>BUG-160</t>
        </is>
      </c>
      <c r="B161" s="10" t="inlineStr">
        <is>
          <t>Medium</t>
        </is>
      </c>
      <c r="C161" s="5" t="inlineStr">
        <is>
          <t>Functional</t>
        </is>
      </c>
      <c r="D161" s="5" t="inlineStr">
        <is>
          <t>Settings</t>
        </is>
      </c>
      <c r="E161" s="5" t="inlineStr">
        <is>
          <t>Activity &amp; Logs</t>
        </is>
      </c>
      <c r="F161" s="5" t="inlineStr">
        <is>
          <t>Logs</t>
        </is>
      </c>
      <c r="G161" s="5" t="inlineStr">
        <is>
          <t>Log grid (When, Actor, Action, Order, Type, Entity, Notes) and row details</t>
        </is>
      </c>
      <c r="H161" s="5" t="inlineStr">
        <is>
          <t>Logs: every entry is dated 5 1/2 hours in the future (label made 09:00 is listed 'Oct 16, 2026, 2:30 PM') - the BUG-119 time-zone fix is applied to India-time stamps</t>
        </is>
      </c>
      <c r="I161" s="5" t="inlineStr">
        <is>
          <t>1. Note the time of two actions made today: the sandbox return label #934196 (bought at about 09:00, Writeback Journal shows 9:00 AM) and the QA warehouse QA-1016-WH01 (created at about 08:08)
2. Open Settings &gt; Logs (All logs, newest first) and read the When column of the matching rows
3. Compare with the clock in the page header (10:28 LOCAL) and with GET /api/v1/audit-log</t>
        </is>
      </c>
      <c r="J161" s="5" t="inlineStr">
        <is>
          <t>Sandbox return labels #934195 and #934196 and QA warehouse QA-1016-WH01 created in this run</t>
        </is>
      </c>
      <c r="K161" s="5" t="inlineStr">
        <is>
          <t>The time the action happened - 'Oct 16, 2026, 9:00 AM' for #934196 and 8:08 AM for the warehouse - as Users &gt; Recent admin actions (8:10:20 AM for the QA invite), Writeback Journal (9:00 AM), Email Delivery Log (8:10 AM) and the header clock agree.</t>
        </is>
      </c>
      <c r="L161" s="5" t="inlineStr">
        <is>
          <t>Logs lists #934196 LABEL_GENERATED at 'Oct 16, 2026, 2:30 PM', #934195 at '2:28 PM', a carrier-account update made at 08:14 at '1:44 PM' and CREATE WAREHOUSE at '1:38 PM' - every row is exactly 5 h 30 min late (i.e. ahead), so the newest entries are dated in the future while the header clock reads 10:28 AM. GET /api/v1/audit-log returns createdAt '2026-10-16T09:00:51.043874' for the label: no zone, and it is India time. The page now treats a zone-less stamp as UTC (the BUG-119 fix) and adds 5 1/2 hours. In R6 Logs showed the right time; this is a regression. The server mixes zone-less UTC stamps (mail Updated, sentAt, Writeback Journal) with zone-less India-time stamps (audit log, invite expiresAt, response timestamps), so no single client-side rule can be right for both.</t>
        </is>
      </c>
      <c r="M161" s="5" t="inlineStr">
        <is>
          <t>GET /api/v1/audit-log?size=4 -&gt; createdAt 2026-10-16T09:00:51.043874, 08:58:17, 08:14:03, 08:08:47 (zone-less, India time); grid shows 2:30 PM, 2:28 PM, 1:44 PM, 1:38 PM; browser clock 10:29 local / 04:59 UTC at the time of the check.</t>
        </is>
      </c>
      <c r="N161" s="5" t="inlineStr">
        <is>
          <t>http://localhost:5173/settings/audit-log</t>
        </is>
      </c>
      <c r="O161" s="5" t="inlineStr">
        <is>
          <t>Always</t>
        </is>
      </c>
      <c r="P161" s="5" t="inlineStr">
        <is>
          <t>BUG-160.jpg</t>
        </is>
      </c>
      <c r="Q161" s="5" t="n"/>
      <c r="R161" s="5" t="inlineStr">
        <is>
          <t>admin (ADMIN)</t>
        </is>
      </c>
      <c r="S161" s="5" t="inlineStr">
        <is>
          <t>local dev, 2026-10-16</t>
        </is>
      </c>
      <c r="T161" s="5" t="inlineStr">
        <is>
          <t>2026-10-16</t>
        </is>
      </c>
      <c r="U161" s="5" t="inlineStr">
        <is>
          <t>R7</t>
        </is>
      </c>
      <c r="V161" s="5" t="inlineStr">
        <is>
          <t>S064</t>
        </is>
      </c>
      <c r="W161" s="5" t="n"/>
      <c r="X161" s="5" t="inlineStr">
        <is>
          <t>Open</t>
        </is>
      </c>
      <c r="Y161" s="5" t="n"/>
      <c r="Z161" s="15" t="inlineStr">
        <is>
          <t>Fixed</t>
        </is>
      </c>
      <c r="AA161" s="15" t="n"/>
      <c r="AB161" s="15" t="inlineStr">
        <is>
          <t>R7 wrap-up (2026-10-17): Fixed in 8e387b5f (R7 batch-1). CarrierShippingLimitsPage STAMPS→STAMPS_COM alias.</t>
        </is>
      </c>
      <c r="AC161" s="15" t="inlineStr">
        <is>
          <t>2026-10-17</t>
        </is>
      </c>
    </row>
    <row r="162">
      <c r="A162" s="5" t="inlineStr">
        <is>
          <t>BUG-161</t>
        </is>
      </c>
      <c r="B162" s="9" t="inlineStr">
        <is>
          <t>High</t>
        </is>
      </c>
      <c r="C162" s="5" t="inlineStr">
        <is>
          <t>Security</t>
        </is>
      </c>
      <c r="D162" s="5" t="inlineStr">
        <is>
          <t>Settings</t>
        </is>
      </c>
      <c r="E162" s="5" t="inlineStr">
        <is>
          <t>Activity &amp; Logs</t>
        </is>
      </c>
      <c r="F162" s="5" t="inlineStr">
        <is>
          <t>Carrier API Log</t>
        </is>
      </c>
      <c r="G162" s="5" t="inlineStr">
        <is>
          <t>Row details (request and response bodies, redaction)</t>
        </is>
      </c>
      <c r="H162" s="5" t="inlineStr">
        <is>
          <t>Carrier API Log: older token exchanges (8-12 Oct) still show the OAuth client_secret, refresh_token and access_token in clear - the BUG-130 scrub masked only client_id</t>
        </is>
      </c>
      <c r="I162" s="5" t="inlineStr">
        <is>
          <t>1. Open Settings &gt; Carrier API Log (/settings/carrier-api-log)
2. Type UNKNOWN in the Carrier filter (older Stamps.com rows) and open the 25th row, a POST to https://signin.testing.stampsendicia.com/oauth/token dated Oct 11, 8:49 PM - or page to the oldest FedEx and UPS token rows
3. Read the stored Request body and Response body in the expanded row</t>
        </is>
      </c>
      <c r="J162" s="5" t="inlineStr">
        <is>
          <t>Viewed only. All 108 stored oauth/token rows were read through GET /api/v1/admin/carrier-api-log/{id} with a shape-only script (field present, masked or not, value length and character classes); no value was copied into this report, a screenshot or the ledger.</t>
        </is>
      </c>
      <c r="K162" s="5" t="inlineStr">
        <is>
          <t>A credential exchange that is masked on new rows is masked on the stored history too: the BUG-130 scrub covers every secret field (client_secret, refresh_token, access_token), or the old rows are purged. Any secret that sat readable in the log is treated as exposed and rotated.</t>
        </is>
      </c>
      <c r="L162" s="5" t="inlineStr">
        <is>
          <t>client_id is now masked on all 96 rows that carry one (BUG-130 itself is fixed), but the 68 token exchanges stored before 12 Oct 10:42 (ids 1-1580) still hold the other credentials in clear: client_secret readable in 59 request bodies (51 values are 64 characters long, 8 are 32), refresh_token readable in 51 (45 characters), access_token readable in 65 response bodies (870 to about 1,300 characters), across Stamps.com (stored as UNKNOWN), FedEx and UPS. The 40 rows from id 1589 on show '***' for every one of them, so the live redaction works - only the stored history was never scrubbed. The page shows them: opening an older Stamps row displays a 64-character client_secret and an 870-character access_token in the expanded row. Anyone with Settings access can read them. They are sandbox credentials, but a client secret and a refresh token stay valid until rotated (validity not tested - not used).</t>
        </is>
      </c>
      <c r="M162" s="5" t="inlineStr">
        <is>
          <t>GET /api/v1/admin/carrier-api-log/{id}: ids 1-1580 return unmasked client_secret / refresh_token / access_token in requestBody and responseBody; ids 1589-1829 return '***'. Shape-only scan of 108 token rows: client_id masked 96 of 96 (12 UPS rows carry none); client_secret clear 59, masked 37; refresh_token clear 51, masked 31; access_token clear 65, masked 33; no Authorization header is stored. 71 sampled non-token rows (every URL group) hold no credential-like field. No screenshot attached on purpose - it would show the secrets.</t>
        </is>
      </c>
      <c r="N162" s="5" t="inlineStr">
        <is>
          <t>http://localhost:5173/settings/carrier-api-log</t>
        </is>
      </c>
      <c r="O162" s="5" t="inlineStr">
        <is>
          <t>Always</t>
        </is>
      </c>
      <c r="P162" s="5" t="inlineStr">
        <is>
          <t>Not captured</t>
        </is>
      </c>
      <c r="Q162" s="5" t="n"/>
      <c r="R162" s="5" t="inlineStr">
        <is>
          <t>admin (ADMIN)</t>
        </is>
      </c>
      <c r="S162" s="5" t="inlineStr">
        <is>
          <t>local dev, 2026-10-16</t>
        </is>
      </c>
      <c r="T162" s="5" t="inlineStr">
        <is>
          <t>2026-10-16</t>
        </is>
      </c>
      <c r="U162" s="5" t="inlineStr">
        <is>
          <t>R7</t>
        </is>
      </c>
      <c r="V162" s="5" t="inlineStr">
        <is>
          <t>S065</t>
        </is>
      </c>
      <c r="W162" s="5" t="n"/>
      <c r="X162" s="5" t="inlineStr">
        <is>
          <t>Open</t>
        </is>
      </c>
      <c r="Y162" s="5" t="n"/>
      <c r="Z162" s="15" t="inlineStr">
        <is>
          <t>Fixed</t>
        </is>
      </c>
      <c r="AA162" s="15" t="n"/>
      <c r="AB162" s="15" t="inlineStr">
        <is>
          <t>R7 wrap-up (2026-10-17): Fixed in 8e387b5f (R7 batch-1). OutputDestinationsPage notify.confirm swap.</t>
        </is>
      </c>
      <c r="AC162" s="15" t="inlineStr">
        <is>
          <t>2026-10-17</t>
        </is>
      </c>
    </row>
    <row r="163">
      <c r="A163" s="5" t="inlineStr">
        <is>
          <t>BUG-162</t>
        </is>
      </c>
      <c r="B163" s="11" t="inlineStr">
        <is>
          <t>Low</t>
        </is>
      </c>
      <c r="C163" s="5" t="inlineStr">
        <is>
          <t>Data integrity</t>
        </is>
      </c>
      <c r="D163" s="5" t="inlineStr">
        <is>
          <t>Settings</t>
        </is>
      </c>
      <c r="E163" s="5" t="inlineStr">
        <is>
          <t>Activity &amp; Logs</t>
        </is>
      </c>
      <c r="F163" s="5" t="inlineStr">
        <is>
          <t>Carrier API Log</t>
        </is>
      </c>
      <c r="G163" s="5" t="inlineStr">
        <is>
          <t>Log grid (When, Carrier, Method, URL, Status, Order, Latency)</t>
        </is>
      </c>
      <c r="H163" s="5" t="inlineStr">
        <is>
          <t>Carrier API Log: 915 of 1,831 rows (every Stamps.com call before 12 Oct) show carrier 'UNKNOWN', so the USPS filter finds only 162 of the 1,077 Stamps calls</t>
        </is>
      </c>
      <c r="I163" s="5" t="inlineStr">
        <is>
          <t>1. Open Settings &gt; Carrier API Log (/settings/carrier-api-log)
2. Type USPS in the Carrier filter and note 'Showing 50 of 162'
3. Replace it with UNKNOWN and note 'Showing 50 of 915'; read the URL column of those rows</t>
        </is>
      </c>
      <c r="J163" s="5" t="inlineStr">
        <is>
          <t>Carrier filter USPS, STAMPS, UNKNOWN (viewed only)</t>
        </is>
      </c>
      <c r="K163" s="5" t="inlineStr">
        <is>
          <t>Every logged call is labelled with the carrier it went to; the Stamps.com calls made before the carrier label existed are backfilled the way the BUG-130 scrub fixed their client ids, so one filter finds the whole history.</t>
        </is>
      </c>
      <c r="L163" s="5" t="inlineStr">
        <is>
          <t>915 rows (ids 1-1579, 8 to 11 Oct) show UNKNOWN in the Carrier column; every one of them is a call to a Stamps.com host (sera/v1/rates, labels, addresses/validate, balance/add-funds, void and oauth/token). Rows from id 1589 on say STAMPS_COM. The filter placeholder says FEDEX / UPS / USPS, and USPS (or STAMPS) finds only the 162 newer rows; the older 915 can only be found by typing UNKNOWN. A reviewer looking for last week's USPS errors sees half of them.</t>
        </is>
      </c>
      <c r="M163" s="5" t="inlineStr">
        <is>
          <t>GET /api/v1/admin/carrier-api-log: totalElements 1831 = FEDEX 342 + UPS 412 + STAMPS_COM 162 + UNKNOWN 915; carrier=USPS returns 162, carrier=UNKNOWN 915; all 915 UNKNOWN URLs are on api.testing.stampsendicia.com or signin.testing.stampsendicia.com.</t>
        </is>
      </c>
      <c r="N163" s="5" t="inlineStr">
        <is>
          <t>http://localhost:5173/settings/carrier-api-log</t>
        </is>
      </c>
      <c r="O163" s="5" t="inlineStr">
        <is>
          <t>Always</t>
        </is>
      </c>
      <c r="P163" s="5" t="inlineStr">
        <is>
          <t>BUG-162.jpg</t>
        </is>
      </c>
      <c r="Q163" s="5" t="n"/>
      <c r="R163" s="5" t="inlineStr">
        <is>
          <t>admin (ADMIN)</t>
        </is>
      </c>
      <c r="S163" s="5" t="inlineStr">
        <is>
          <t>local dev, 2026-10-16</t>
        </is>
      </c>
      <c r="T163" s="5" t="inlineStr">
        <is>
          <t>2026-10-16</t>
        </is>
      </c>
      <c r="U163" s="5" t="inlineStr">
        <is>
          <t>R7</t>
        </is>
      </c>
      <c r="V163" s="5" t="inlineStr">
        <is>
          <t>S065</t>
        </is>
      </c>
      <c r="W163" s="5" t="n"/>
      <c r="X163" s="5" t="inlineStr">
        <is>
          <t>Open</t>
        </is>
      </c>
      <c r="Y163" s="5" t="n"/>
      <c r="Z163" s="15" t="inlineStr">
        <is>
          <t>Fixed</t>
        </is>
      </c>
      <c r="AA163" s="15" t="n"/>
      <c r="AB163" s="15" t="inlineStr">
        <is>
          <t>R7 wrap-up (2026-10-17): Fixed in 8e387b5f (R7 batch-1). V163+V164 OAuth secret redact + Stamps carrier backfill.</t>
        </is>
      </c>
      <c r="AC163" s="15" t="inlineStr">
        <is>
          <t>2026-10-17</t>
        </is>
      </c>
    </row>
  </sheetData>
  <autoFilter ref="A1:AC163"/>
  <dataValidations count="1">
    <dataValidation sqref="Z2:Z463"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9"/>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7" t="inlineStr">
        <is>
          <t>Fail</t>
        </is>
      </c>
      <c r="K3" s="5" t="inlineStr">
        <is>
          <t>FedEx, UPS and USPS each selected; service and packaging lists reload per carrier and lane</t>
        </is>
      </c>
      <c r="L3" s="5" t="n"/>
      <c r="M3" s="5" t="inlineStr">
        <is>
          <t>BUG-150</t>
        </is>
      </c>
      <c r="N3" s="5" t="inlineStr">
        <is>
          <t>R7</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8"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6" t="inlineStr">
        <is>
          <t>Pass</t>
        </is>
      </c>
      <c r="K26" s="5" t="inlineStr">
        <is>
          <t>Sale chosen (default Sample); accepted by all carriers; retest of fix</t>
        </is>
      </c>
      <c r="L26" s="5" t="inlineStr">
        <is>
          <t>BUG-143 verified fixed in R7</t>
        </is>
      </c>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8"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8"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8"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6" t="inlineStr">
        <is>
          <t>Pass</t>
        </is>
      </c>
      <c r="K37" s="5" t="inlineStr">
        <is>
          <t>61091000 accepted for Canada, UK and Mexico; lookup suggestion 610910 too short for Canada (BUG-011); retest of fix</t>
        </is>
      </c>
      <c r="L37" s="5" t="inlineStr">
        <is>
          <t>BUG-011 verified fixed in R3 | BUG-144 verified fixed in R7</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8"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8"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7"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8"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8"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8"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7"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7"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7"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6" t="inlineStr">
        <is>
          <t>Pass</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 retest of fix</t>
        </is>
      </c>
      <c r="L98" s="5" t="inlineStr">
        <is>
          <t>see BUG-140 | BUG-140 verified fixed in R7</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7" t="inlineStr">
        <is>
          <t>Fail</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inlineStr">
        <is>
          <t>BUG-151</t>
        </is>
      </c>
      <c r="N110" s="5" t="inlineStr">
        <is>
          <t>R7</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7"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7"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7"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6" t="inlineStr">
        <is>
          <t>Pass</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 retest of fix</t>
        </is>
      </c>
      <c r="L121" s="5" t="inlineStr">
        <is>
          <t>see BUG-139 | BUG-139 verified fixed in R7</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7"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7"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6" t="inlineStr">
        <is>
          <t>Pass</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 retest of fix</t>
        </is>
      </c>
      <c r="L137" s="5" t="inlineStr">
        <is>
          <t>see BUG-080 | BUG-080 verified fixed in R7</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7"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6" t="inlineStr">
        <is>
          <t>Pass</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 | BUG-081 verified fixed in R7</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6" t="inlineStr">
        <is>
          <t>Pass</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 | BUG-082 verified fixed in R7</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7"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6" t="inlineStr">
        <is>
          <t>Pass</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 | BUG-085 verified fixed in R7</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7"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7"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7"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6" t="inlineStr">
        <is>
          <t>Pass</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 retest of fix</t>
        </is>
      </c>
      <c r="L193" s="5" t="inlineStr">
        <is>
          <t>see BUG-086. Help text under Return-label scope says 'Domestic only matches the pre-V95 default' (migration number, see BUG-061). | BUG-086 verified fixed in R7</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7"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inlineStr">
        <is>
          <t>BUG-153</t>
        </is>
      </c>
      <c r="N200" s="5" t="inlineStr">
        <is>
          <t>R7</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7"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6" t="inlineStr">
        <is>
          <t>Pass</t>
        </is>
      </c>
      <c r="K202" s="5" t="inlineStr">
        <is>
          <t>at 1442 px the ⋮ buttons sit at x 1747-1775, outside the window, until the grid is scrolled sideways (BUG-087); retest of fix</t>
        </is>
      </c>
      <c r="L202" s="5" t="inlineStr">
        <is>
          <t>see BUG-087 | BUG-087 verified fixed in R7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7"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7"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 BUG-154</t>
        </is>
      </c>
      <c r="N220" s="5" t="inlineStr">
        <is>
          <t>R7</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6" t="inlineStr">
        <is>
          <t>Pass</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 retest of fix</t>
        </is>
      </c>
      <c r="L221" s="5" t="inlineStr">
        <is>
          <t>see BUG-092 | BUG-092 verified fixed in R7</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6" t="inlineStr">
        <is>
          <t>Pass</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 retest of fix</t>
        </is>
      </c>
      <c r="L230" s="5" t="inlineStr">
        <is>
          <t>see BUG-093, BUG-094 | BUG-094 verified fixed in R7</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6" t="inlineStr">
        <is>
          <t>Pass</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 retest of fix</t>
        </is>
      </c>
      <c r="L239" s="5" t="inlineStr">
        <is>
          <t>see BUG-095, BUG-096 | BUG-096 verified fixed in R7</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7" t="inlineStr">
        <is>
          <t>Fail</t>
        </is>
      </c>
      <c r="K240" s="5" t="inlineStr">
        <is>
          <t>'Edit carrier limit' reopens with every saved value; max packages 5 -&gt; 6, PUT .../13 200, 'Updated QA1013R5/QA_R5_SVC.'</t>
        </is>
      </c>
      <c r="L240" s="5" t="n"/>
      <c r="M240" s="5" t="inlineStr">
        <is>
          <t>BUG-155</t>
        </is>
      </c>
      <c r="N240" s="5" t="inlineStr">
        <is>
          <t>R7</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7"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7"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6" t="inlineStr">
        <is>
          <t>Pass</t>
        </is>
      </c>
      <c r="K254" s="5" t="inlineStr">
        <is>
          <t>17 rules: MANUAL/BULK FEDEX any America/New_York; 15 rules on warehouse 1 in client tz; all active, 20:00:00; warehouse shown as its internal number (BUG-101); retest of fix</t>
        </is>
      </c>
      <c r="L254" s="5" t="inlineStr">
        <is>
          <t>see BUG-101 | BUG-101 verified fixed in R7</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7"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7" t="inlineStr">
        <is>
          <t>Fail</t>
        </is>
      </c>
      <c r="K257" s="5" t="inlineStr">
        <is>
          <t>four seeded holidays shown with date, name, active; names shown as text; Christmas Day missing - query BUG-102</t>
        </is>
      </c>
      <c r="L257" s="5" t="n"/>
      <c r="M257" s="5" t="inlineStr">
        <is>
          <t>BUG-102, BUG-156</t>
        </is>
      </c>
      <c r="N257" s="5" t="inlineStr">
        <is>
          <t>R7</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6" t="inlineStr">
        <is>
          <t>Pass</t>
        </is>
      </c>
      <c r="K258" s="5" t="inlineStr">
        <is>
          <t>Add stays disabled until date and name are filled; 'QA-1013-R5 Test Holiday &lt;i&gt;x&lt;/i&gt;' on 2026-11-27 -&gt; 'Holiday added.', shown as text; same date again -&gt; 500 (BUG-098); the 'Holiday added.' toast covers the row's + Add button for a few seconds; retest of fix</t>
        </is>
      </c>
      <c r="L258" s="5" t="inlineStr">
        <is>
          <t>see BUG-098 | BUG-098 verified fixed in R7</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7"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 BUG-157</t>
        </is>
      </c>
      <c r="N264" s="5" t="inlineStr">
        <is>
          <t>R7</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6" t="inlineStr">
        <is>
          <t>Pass</t>
        </is>
      </c>
      <c r="K269" s="5" t="inlineStr">
        <is>
          <t>server-side search; 'QA-1013' and 'CA' find the profile; 'importer' (importer name), 'canada' and 'toronto' find nothing (BUG-105); 'No profiles match your filters.' when nothing matches; R6: 'importer', 'Sons', 'THB', 'CA' find the profile; 'canada' and 'toronto' find nothing (BUG-105); retest of fix</t>
        </is>
      </c>
      <c r="L269" s="5" t="inlineStr">
        <is>
          <t>see BUG-105 | BUG-105 verified fixed in R7</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7"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7"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7"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7"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7"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6" t="inlineStr">
        <is>
          <t>Pass</t>
        </is>
      </c>
      <c r="K296" s="5" t="inlineStr">
        <is>
          <t>Preview dialog asks for an order number; 934193 renders a packing-slip PDF in the dialog; the PDF uses the order's own client template, not the one being previewed (BUG-109); retest of fix</t>
        </is>
      </c>
      <c r="L296" s="5" t="inlineStr">
        <is>
          <t>see BUG-109 | BUG-109 verified fixed in R7</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7"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7"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7"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7"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7"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7"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7"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6" t="inlineStr">
        <is>
          <t>Pass</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 retest of fix</t>
        </is>
      </c>
      <c r="L318" s="5" t="inlineStr">
        <is>
          <t>see BUG-114 | BUG-114 verified fixed in R7</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6" t="inlineStr">
        <is>
          <t>Pass</t>
        </is>
      </c>
      <c r="K325" s="5" t="inlineStr">
        <is>
          <t>opens 'Edit QA-1013-R5-PR01 &lt;b&gt;x&lt;/b&gt;' prefilled; changes saved ('QA-1013-R5-PR01 edited saved.'); old test result kept after the address changed (BUG-115); retest of fix</t>
        </is>
      </c>
      <c r="L325" s="5" t="inlineStr">
        <is>
          <t>see BUG-115 | BUG-115 verified fixed in R7</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6" t="inlineStr">
        <is>
          <t>Pass</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 retest of fix</t>
        </is>
      </c>
      <c r="L328" s="5" t="inlineStr">
        <is>
          <t>see BUG-117, BUG-141 | BUG-117 verified fixed in R7</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6" t="inlineStr">
        <is>
          <t>Pass</t>
        </is>
      </c>
      <c r="K330" s="5" t="inlineStr">
        <is>
          <t>Add a client adds a row; cell opens 'Route which docs from ... to ...?' with a Labels tick box; routing saved (assignment QA-1013-R5-CL01 LABEL -&gt; printer 2) and removed again by unticking; pop-over clipped inside the grid; Escape does not close it (BUG-116); retest of fix</t>
        </is>
      </c>
      <c r="L330" s="5" t="inlineStr">
        <is>
          <t>see BUG-116 | BUG-116 verified fixed in R7</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7"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7" t="inlineStr">
        <is>
          <t>Fail</t>
        </is>
      </c>
      <c r="K337" s="5" t="n"/>
      <c r="L337" s="5" t="inlineStr">
        <is>
          <t>No destination can be created (BUG-118), so there is no row to edit, switch or delete; existing list is empty.</t>
        </is>
      </c>
      <c r="M337" s="5" t="inlineStr">
        <is>
          <t>BUG-158</t>
        </is>
      </c>
      <c r="N337" s="5" t="inlineStr">
        <is>
          <t>R7</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7"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7"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inlineStr">
        <is>
          <t>BUG-159</t>
        </is>
      </c>
      <c r="N340" s="5" t="inlineStr">
        <is>
          <t>R7</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7"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SFTP form now saves (BUG-118 fixed): host, port, username, auth type, password, remote directory, known hosts; the password is not echoed back. But host '' + username '' + port 99999 is accepted with 201 (BUG-159).</t>
        </is>
      </c>
      <c r="M341" s="5" t="n"/>
      <c r="N341" s="5" t="inlineStr">
        <is>
          <t>R7</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6" t="inlineStr">
        <is>
          <t>Pass</t>
        </is>
      </c>
      <c r="K342" s="5" t="inlineStr">
        <is>
          <t>Create -&gt; 500 for every valid combination (BUG-118); Cancel and x close without saving; Escape does not close; container has no role=dialog (accessibility suggestion); retest of fix; Create saves LOCAL_FS and SFTP (201); Cancel and x close without saving; Escape closes the Edit dialog; Active toggle saved (inactive row shows 'Inactive')</t>
        </is>
      </c>
      <c r="L342" s="5" t="inlineStr">
        <is>
          <t>Container still has no role=dialog (accessibility suggestion from R5).</t>
        </is>
      </c>
      <c r="M342" s="5" t="inlineStr">
        <is>
          <t>BUG-118</t>
        </is>
      </c>
      <c r="N342" s="5" t="inlineStr">
        <is>
          <t>R7</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7"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7"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7"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6" t="inlineStr">
        <is>
          <t>Pass</t>
        </is>
      </c>
      <c r="K349" s="5" t="inlineStr">
        <is>
          <t>row: Kind, Name (HTML as text), Inactive chip, Updated, Edit / Activate / Delete; Updated shows UTC as local, 5 1/2 h behind (BUG-119); GET returns the token as '...' (masked), never the value; retest of fix</t>
        </is>
      </c>
      <c r="L349" s="5" t="inlineStr">
        <is>
          <t>see BUG-119 | BUG-119 verified fixed in R7</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7"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7"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7"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6" t="inlineStr">
        <is>
          <t>Pass</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 retest of fix</t>
        </is>
      </c>
      <c r="L373" s="5" t="inlineStr">
        <is>
          <t>see BUG-121; the table names are listed under BUG-061. Viewed only. | BUG-121 verified fixed in R7</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7"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7"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7"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7"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7"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6" t="inlineStr">
        <is>
          <t>Pass</t>
        </is>
      </c>
      <c r="K404" s="5" t="inlineStr">
        <is>
          <t>'QA13R5' style keys found; '%' returns all 34,622 rows and 'QA13_5' matches QA13R5 - LIKE wildcards not escaped (BUG-022); R7: '%', '_' and 'QA-10__' return 0 entries (wildcards escaped); 'QA-1016' returns 6 and 'QA-1013' 22</t>
        </is>
      </c>
      <c r="L404" s="5" t="inlineStr">
        <is>
          <t>R7: search by entity key now treats % and _ literally (BUG-022 verified fixed on this screen too).</t>
        </is>
      </c>
      <c r="M404" s="5" t="n"/>
      <c r="N404" s="5" t="inlineStr">
        <is>
          <t>R7</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7" t="inlineStr">
        <is>
          <t>Fail</t>
        </is>
      </c>
      <c r="K405" s="5" t="inlineStr">
        <is>
          <t>Actor, Entity type, Action, Since, Until; closes on Escape; type and action lists miss most logged values (BUG-129); R7: Entity type and Action lists compared with the entries in the log</t>
        </is>
      </c>
      <c r="L405" s="5" t="inlineStr">
        <is>
          <t>R7: AUTH, ORDER, LOGIN, LOGIN_FAILED and LABEL_GENERATED can now be picked, but ATTACH_WAREHOUSE (15 entries) and DETACH_WAREHOUSE (2) cannot, and LOGOUT and seven offered entity types never occur (BUG-129). Date boxes were not typed into.</t>
        </is>
      </c>
      <c r="M405" s="5" t="inlineStr">
        <is>
          <t>BUG-129</t>
        </is>
      </c>
      <c r="N405" s="5" t="inlineStr">
        <is>
          <t>R7</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6" t="inlineStr">
        <is>
          <t>Pass</t>
        </is>
      </c>
      <c r="K406" s="5" t="inlineStr">
        <is>
          <t>Export CSV = link to /api/v1/audit-log/export: whole log, 5.8 MB, filters ignored; Export = current page only (25 rows, 7 columns); no cell starts with = + @ (CSV-injection safe); retest of fix; R7: 'Export all (CSV)' link follows category and order filters; 'Export' saves only the current page; tooltips read</t>
        </is>
      </c>
      <c r="L406" s="5" t="inlineStr">
        <is>
          <t>R7: the full export is now labelled 'Export all (CSV)' and follows the filters (BUG-127 fixed); residual: the plain 'Export' label does not say 'this page'. Downloads intercepted in the page.</t>
        </is>
      </c>
      <c r="M406" s="5" t="inlineStr">
        <is>
          <t>BUG-127</t>
        </is>
      </c>
      <c r="N406" s="5" t="inlineStr">
        <is>
          <t>R7</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7" t="inlineStr">
        <is>
          <t>Fail</t>
        </is>
      </c>
      <c r="K408" s="5" t="inlineStr">
        <is>
          <t>row chevron opens 'Row #34620 . CARRIER_ACCOUNT . UPDATE . UPS . QA13R5' with the change as JSON in a panel below the grid; account snapshot shows clientIdPreview 'qa-1...id' - no secret values in the log; R7: times of the newest entries compared with the clock and with the API's createdAt</t>
        </is>
      </c>
      <c r="L408" s="5" t="inlineStr">
        <is>
          <t>R7: every entry is dated 5 1/2 hours in the future since the BUG-119 time-zone fix (BUG-160); row details and the change JSON unchanged.</t>
        </is>
      </c>
      <c r="M408" s="5" t="inlineStr">
        <is>
          <t>BUG-160</t>
        </is>
      </c>
      <c r="N408" s="5" t="inlineStr">
        <is>
          <t>R7</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7" t="inlineStr">
        <is>
          <t>Fail</t>
        </is>
      </c>
      <c r="K409" s="5" t="inlineStr">
        <is>
          <t>changes on Shipping Catalog, Code Maps, Carrier Limits, Cutoffs &amp; Holidays, Importer / Broker, Templates, Custom Fields, Printers and Mail made in this run are absent (BUG-128); R7: created, edited and deleted QA records on ten Settings screens, then read Logs and queried every entity type</t>
        </is>
      </c>
      <c r="L409" s="5" t="inlineStr">
        <is>
          <t>R7: none of today's Settings changes (Custom Fields, Output Destinations, Mail, Templates, Code Maps, Cutoffs &amp; Holidays, Carrier Limits, Importer / Broker, Printers and scanner, External Systems) is in the log; only CLIENT, WAREHOUSE, CARRIER_ACCOUNT, AUTH and ORDER entries appear (BUG-128).</t>
        </is>
      </c>
      <c r="M409" s="5" t="inlineStr">
        <is>
          <t>BUG-128</t>
        </is>
      </c>
      <c r="N409" s="5" t="inlineStr">
        <is>
          <t>R7</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7"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6" t="inlineStr">
        <is>
          <t>Pass</t>
        </is>
      </c>
      <c r="K412" s="5" t="inlineStr">
        <is>
          <t>Carrier: 'UPS' -&gt; 412 rows, 'ups' -&gt; 0; a request per keystroke; Order no. 934193 -&gt; 0 rows; no row has an order or tracking number (BUG-131); retest of fix; R7: Carrier filter 'USPS' and 'unknown' (case-insensitive) return 162 and 915 rows</t>
        </is>
      </c>
      <c r="L412" s="5" t="inlineStr">
        <is>
          <t>R7: Order no. and Tracking now match (BUG-131 verified fixed); the Carrier filter accepts USPS and STAMPS for Stamps.com, but 915 older Stamps rows are labelled UNKNOWN (BUG-162).</t>
        </is>
      </c>
      <c r="M412" s="5" t="inlineStr">
        <is>
          <t>BUG-131</t>
        </is>
      </c>
      <c r="N412" s="5" t="inlineStr">
        <is>
          <t>R7</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7" t="inlineStr">
        <is>
          <t>Fail</t>
        </is>
      </c>
      <c r="K413" s="5" t="inlineStr">
        <is>
          <t>1,731 rows, newest first: When, Carrier, Method, URL, Status, Order, Latency; times are UTC shown as local - 5 1/2 h behind (BUG-119); balance checks appear only in bursts at sign-in (07:32 and 07:45 local), no runaway polling; R7: Carrier column and times compared across all 1,831 rows (10 pages of 200 via the API)</t>
        </is>
      </c>
      <c r="L413" s="5" t="inlineStr">
        <is>
          <t>R7: times are right on this screen (BUG-119 verified fixed); 915 of 1,831 rows (every Stamps.com call before 12 Oct) read UNKNOWN in the Carrier column (BUG-162).</t>
        </is>
      </c>
      <c r="M413" s="5" t="inlineStr">
        <is>
          <t>BUG-162</t>
        </is>
      </c>
      <c r="N413" s="5" t="inlineStr">
        <is>
          <t>R7</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7"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 R7: all 108 oauth/token rows read through the detail call and checked for field shape only (values not copied); R7: one older Stamps row opened in the page and its fields checked for shape; R7: 71 rows across every URL pattern checked for credential-like fields</t>
        </is>
      </c>
      <c r="L414" s="5" t="inlineStr">
        <is>
          <t>R7: client_id is masked on all 96 rows that carry one (BUG-130 fixed), and every token row from 12 Oct 10:42 on masks client_secret, refresh_token and access_token; the 68 older token exchanges (ids 1-1580) still show client_secret, refresh_token and access_token in clear (BUG-161). No Authorization header is stored; the other 71 sampled rows hold no credential-like field.</t>
        </is>
      </c>
      <c r="M414" s="5" t="inlineStr">
        <is>
          <t>BUG-130, BUG-161</t>
        </is>
      </c>
      <c r="N414" s="5" t="inlineStr">
        <is>
          <t>R7</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7"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6" t="inlineStr">
        <is>
          <t>Pass</t>
        </is>
      </c>
      <c r="K424" s="5" t="inlineStr">
        <is>
          <t>Order no. 934193 -&gt; 1 row (orderNo=934193); OK -&gt; 1 row; Reset filters restores 280; SKIPPED never matches the stored SKIPPED_INACTIVE (BUG-134); retest of fix</t>
        </is>
      </c>
      <c r="L424" s="5" t="inlineStr">
        <is>
          <t>see BUG-134 | BUG-134 verified fixed in R7</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7"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7"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7"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7"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 BUG-149</t>
        </is>
      </c>
      <c r="N432" s="5" t="inlineStr">
        <is>
          <t>R7</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7"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row r="437">
      <c r="A437" s="5" t="inlineStr">
        <is>
          <t>App shell</t>
        </is>
      </c>
      <c r="B437" s="5" t="inlineStr">
        <is>
          <t>Routing</t>
        </is>
      </c>
      <c r="C437" s="5" t="inlineStr">
        <is>
          <t>Page not found (unknown route)</t>
        </is>
      </c>
      <c r="D437" s="5" t="inlineStr">
        <is>
          <t>S070</t>
        </is>
      </c>
      <c r="E437" s="5" t="inlineStr">
        <is>
          <t>S070-E01</t>
        </is>
      </c>
      <c r="F437" s="5" t="inlineStr">
        <is>
          <t>404 message that names the requested path</t>
        </is>
      </c>
      <c r="G437" s="5" t="inlineStr">
        <is>
          <t>text</t>
        </is>
      </c>
      <c r="H437" s="5" t="inlineStr">
        <is>
          <t>Content</t>
        </is>
      </c>
      <c r="I437" s="5" t="n"/>
      <c r="J437" s="16" t="inlineStr">
        <is>
          <t>Pass</t>
        </is>
      </c>
      <c r="K437" s="5" t="inlineStr">
        <is>
          <t>/this-does-not-exist, /orders/not-a-real-page/xyz and /settingsx/foo each keep the typed address and read 'Nothing lives at &lt;path&gt;. Check the link, or jump back to the dashboard.'</t>
        </is>
      </c>
      <c r="L437" s="5" t="n"/>
      <c r="M437" s="5" t="n"/>
      <c r="N437" s="5" t="inlineStr">
        <is>
          <t>R7</t>
        </is>
      </c>
    </row>
    <row r="438">
      <c r="A438" s="5" t="inlineStr">
        <is>
          <t>App shell</t>
        </is>
      </c>
      <c r="B438" s="5" t="inlineStr">
        <is>
          <t>Routing</t>
        </is>
      </c>
      <c r="C438" s="5" t="inlineStr">
        <is>
          <t>Page not found (unknown route)</t>
        </is>
      </c>
      <c r="D438" s="5" t="inlineStr">
        <is>
          <t>S070</t>
        </is>
      </c>
      <c r="E438" s="5" t="inlineStr">
        <is>
          <t>S070-E02</t>
        </is>
      </c>
      <c r="F438" s="5" t="inlineStr">
        <is>
          <t>Go to Dashboard button</t>
        </is>
      </c>
      <c r="G438" s="5" t="inlineStr">
        <is>
          <t>button</t>
        </is>
      </c>
      <c r="H438" s="5" t="inlineStr">
        <is>
          <t>Actions</t>
        </is>
      </c>
      <c r="I438" s="5" t="n"/>
      <c r="J438" s="17" t="inlineStr">
        <is>
          <t>Fail</t>
        </is>
      </c>
      <c r="K438" s="5" t="inlineStr">
        <is>
          <t>Link goes to /dashboard; Label colour rgb(31, 21, 12) on navy oklch(0.208 0.042 265.755): contrast about 1:1 - BUG-152</t>
        </is>
      </c>
      <c r="L438" s="5" t="n"/>
      <c r="M438" s="5" t="inlineStr">
        <is>
          <t>BUG-152</t>
        </is>
      </c>
      <c r="N438" s="5" t="inlineStr">
        <is>
          <t>R7</t>
        </is>
      </c>
    </row>
    <row r="439">
      <c r="A439" s="5" t="inlineStr">
        <is>
          <t>App shell</t>
        </is>
      </c>
      <c r="B439" s="5" t="inlineStr">
        <is>
          <t>Routing</t>
        </is>
      </c>
      <c r="C439" s="5" t="inlineStr">
        <is>
          <t>Page not found (unknown route)</t>
        </is>
      </c>
      <c r="D439" s="5" t="inlineStr">
        <is>
          <t>S070</t>
        </is>
      </c>
      <c r="E439" s="5" t="inlineStr">
        <is>
          <t>S070-E03</t>
        </is>
      </c>
      <c r="F439" s="5" t="inlineStr">
        <is>
          <t>Back button</t>
        </is>
      </c>
      <c r="G439" s="5" t="inlineStr">
        <is>
          <t>button</t>
        </is>
      </c>
      <c r="H439" s="5" t="inlineStr">
        <is>
          <t>Actions</t>
        </is>
      </c>
      <c r="I439" s="5" t="n"/>
      <c r="J439" s="16" t="inlineStr">
        <is>
          <t>Pass</t>
        </is>
      </c>
      <c r="K439" s="5" t="inlineStr">
        <is>
          <t>Label readable</t>
        </is>
      </c>
      <c r="L439" s="5" t="n"/>
      <c r="M439" s="5" t="n"/>
      <c r="N439" s="5" t="inlineStr">
        <is>
          <t>R7</t>
        </is>
      </c>
    </row>
  </sheetData>
  <autoFilter ref="A1:N439"/>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2"/>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8"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8"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8"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row r="42">
      <c r="A42" s="5" t="inlineStr">
        <is>
          <t>S070</t>
        </is>
      </c>
      <c r="B42" s="5" t="inlineStr">
        <is>
          <t>App shell</t>
        </is>
      </c>
      <c r="C42" s="5" t="inlineStr">
        <is>
          <t>Routing</t>
        </is>
      </c>
      <c r="D42" s="5" t="inlineStr">
        <is>
          <t>Page not found (unknown route)</t>
        </is>
      </c>
      <c r="E42" s="5" t="inlineStr">
        <is>
          <t>/this-does-not-exist</t>
        </is>
      </c>
      <c r="F42" s="16" t="inlineStr">
        <is>
          <t>Done</t>
        </is>
      </c>
      <c r="G42" s="6">
        <f>COUNTIF(Coverage!$D:$D,$A42)</f>
        <v/>
      </c>
      <c r="H42" s="6">
        <f>COUNTIFS(Coverage!$D:$D,$A42,Coverage!$J:$J,"Pass")</f>
        <v/>
      </c>
      <c r="I42" s="6">
        <f>COUNTIFS(Coverage!$D:$D,$A42,Coverage!$J:$J,"Fail")</f>
        <v/>
      </c>
      <c r="J42" s="6">
        <f>COUNTIFS(Coverage!$D:$D,$A42,Coverage!$J:$J,"Blocked")</f>
        <v/>
      </c>
      <c r="K42" s="6">
        <f>COUNTIFS(Coverage!$D:$D,$A42,Coverage!$J:$J,"N/A")</f>
        <v/>
      </c>
      <c r="L42" s="6">
        <f>COUNTIFS(Coverage!$D:$D,$A42,Coverage!$J:$J,"Not tested")</f>
        <v/>
      </c>
      <c r="M42" s="6">
        <f>COUNTIF(Bugs!$V:$V,$A42)</f>
        <v/>
      </c>
      <c r="N42" s="5" t="inlineStr">
        <is>
          <t>Found in R7 while retesting BUG-068; the in-shell NotFoundPage.</t>
        </is>
      </c>
    </row>
  </sheetData>
  <autoFilter ref="A1:N42"/>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7"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7"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7"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7"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7"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7"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7"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7"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7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row r="54">
      <c r="A54" s="5" t="inlineStr">
        <is>
          <t>D053</t>
        </is>
      </c>
      <c r="B54" s="5" t="inlineStr">
        <is>
          <t>Client</t>
        </is>
      </c>
      <c r="C54" s="5" t="inlineStr">
        <is>
          <t>QA-1016-CL01</t>
        </is>
      </c>
      <c r="D54" s="5" t="inlineStr">
        <is>
          <t>Settings &gt; Organization &gt; Clients &gt; Client wizard (Add / Edit)</t>
        </is>
      </c>
      <c r="E54" s="5" t="inlineStr">
        <is>
          <t>deleted</t>
        </is>
      </c>
      <c r="F54" s="5" t="inlineStr">
        <is>
          <t>Deleted through Settings &gt; Clients &gt; Delete permanently at the end of R7 (BUG-080 / BUG-140 retest): its 1 carrier account (QA16R7), 2 warehouse attachments and revoked scanner went with it.</t>
        </is>
      </c>
      <c r="G54" s="5" t="inlineStr">
        <is>
          <t>R7</t>
        </is>
      </c>
    </row>
    <row r="55">
      <c r="A55" s="5" t="inlineStr">
        <is>
          <t>D054</t>
        </is>
      </c>
      <c r="B55" s="5" t="inlineStr">
        <is>
          <t>User invite</t>
        </is>
      </c>
      <c r="C55" s="5" t="inlineStr">
        <is>
          <t>qa-1016-r7-invite@example.com</t>
        </is>
      </c>
      <c r="D55" s="5" t="inlineStr">
        <is>
          <t>Settings &gt; Organization &gt; Users &gt; Users list</t>
        </is>
      </c>
      <c r="E55" s="5" t="inlineStr">
        <is>
          <t>deleted</t>
        </is>
      </c>
      <c r="F55" s="5" t="inlineStr">
        <is>
          <t>R7 invite for QA-1016-CL01, resent once and revoked (BUG-085, BUG-145)</t>
        </is>
      </c>
      <c r="G55" s="5" t="inlineStr">
        <is>
          <t>R7</t>
        </is>
      </c>
    </row>
    <row r="56">
      <c r="A56" s="5" t="inlineStr">
        <is>
          <t>D055</t>
        </is>
      </c>
      <c r="B56" s="5" t="inlineStr">
        <is>
          <t>Warehouse</t>
        </is>
      </c>
      <c r="C56" s="5" t="inlineStr">
        <is>
          <t>QA-1016-WH01</t>
        </is>
      </c>
      <c r="D56" s="5" t="inlineStr">
        <is>
          <t>Settings &gt; Organization &gt; Warehouses &gt; Warehouses list</t>
        </is>
      </c>
      <c r="E56" s="5" t="inlineStr">
        <is>
          <t>deleted</t>
        </is>
      </c>
      <c r="F56" s="5" t="inlineStr">
        <is>
          <t>Deleted through Settings &gt; Warehouses &gt; Delete after the client delete had cleared its attachment (Attached 0).</t>
        </is>
      </c>
      <c r="G56" s="5" t="inlineStr">
        <is>
          <t>R7</t>
        </is>
      </c>
    </row>
    <row r="57">
      <c r="A57" s="5" t="inlineStr">
        <is>
          <t>D056</t>
        </is>
      </c>
      <c r="B57" s="5" t="inlineStr">
        <is>
          <t>Return label (sandbox)</t>
        </is>
      </c>
      <c r="C57" s="5" t="inlineStr">
        <is>
          <t>#934195 (FedEx Ground return, MKL246, customer QA-1016 Returner, tracking ...1248)</t>
        </is>
      </c>
      <c r="D57" s="5" t="inlineStr">
        <is>
          <t>Orders &gt; New order &gt; New order form (international)</t>
        </is>
      </c>
      <c r="E57" s="5" t="inlineStr">
        <is>
          <t>left in system</t>
        </is>
      </c>
      <c r="F57" s="5" t="inlineStr">
        <is>
          <t>R7 sandbox label bought to retest BUG-136 and BUG-137; first attempt, address typed after a first Validate; shows BUG-149</t>
        </is>
      </c>
      <c r="G57" s="5" t="inlineStr">
        <is>
          <t>R7</t>
        </is>
      </c>
    </row>
    <row r="58">
      <c r="A58" s="5" t="inlineStr">
        <is>
          <t>D057</t>
        </is>
      </c>
      <c r="B58" s="5" t="inlineStr">
        <is>
          <t>Return label (sandbox)</t>
        </is>
      </c>
      <c r="C58" s="5" t="inlineStr">
        <is>
          <t>#934196 (FedEx Ground return, MKL246, customer QA-1016 Returner, tracking ...1454)</t>
        </is>
      </c>
      <c r="D58" s="5" t="inlineStr">
        <is>
          <t>Orders &gt; New order &gt; New order form (international)</t>
        </is>
      </c>
      <c r="E58" s="5" t="inlineStr">
        <is>
          <t>left in system</t>
        </is>
      </c>
      <c r="F58" s="5" t="inlineStr">
        <is>
          <t>R7 sandbox label bought to retest BUG-137; clean run, address typed before the first Validate; shows BUG-149 and BUG-137</t>
        </is>
      </c>
      <c r="G58" s="5" t="inlineStr">
        <is>
          <t>R7</t>
        </is>
      </c>
    </row>
    <row r="59">
      <c r="A59" s="5" t="inlineStr">
        <is>
          <t>D058</t>
        </is>
      </c>
      <c r="B59" s="5" t="inlineStr">
        <is>
          <t>Importer/Broker profile for QA-1016-CL01 (Canada, importer QA-1016 Importer &amp; Sons, BN 'ABC')</t>
        </is>
      </c>
      <c r="C59" s="5" t="inlineStr">
        <is>
          <t>customs profile id 3</t>
        </is>
      </c>
      <c r="D59" s="5" t="inlineStr">
        <is>
          <t>Settings &gt; International &gt; Importer / Broker</t>
        </is>
      </c>
      <c r="E59" s="5" t="inlineStr">
        <is>
          <t>deleted</t>
        </is>
      </c>
      <c r="F59" s="5" t="inlineStr">
        <is>
          <t>Created to retest BUG-076, 104, 105, 106, 148; deleted through Delete profile in the same run.</t>
        </is>
      </c>
      <c r="G59" s="5" t="inlineStr">
        <is>
          <t>R7</t>
        </is>
      </c>
    </row>
    <row r="60">
      <c r="A60" s="5" t="inlineStr">
        <is>
          <t>D059</t>
        </is>
      </c>
      <c r="B60" s="5" t="inlineStr">
        <is>
          <t>LAN scanner enrolment 'qa-1016-r7-sc' (hostname qa-scan.example.test) for QA-1016-CL01, enrolled then revoked</t>
        </is>
      </c>
      <c r="C60" s="5" t="inlineStr">
        <is>
          <t>printer-scan-agent row id 2</t>
        </is>
      </c>
      <c r="D60" s="5" t="inlineStr">
        <is>
          <t>Settings &gt; Labels &amp; Documents &gt; Printers</t>
        </is>
      </c>
      <c r="E60" s="5" t="inlineStr">
        <is>
          <t>deleted</t>
        </is>
      </c>
      <c r="F60" s="5" t="inlineStr">
        <is>
          <t>Removed with its client: GET /api/v1/tenants/QA-1016-CL01/printer-scan-agents/revoked returned 1 row before the client delete and 0 after (BUG-140).</t>
        </is>
      </c>
      <c r="G60" s="5" t="inlineStr">
        <is>
          <t>R7</t>
        </is>
      </c>
    </row>
    <row r="61">
      <c r="A61" s="5" t="inlineStr">
        <is>
          <t>D060</t>
        </is>
      </c>
      <c r="B61" s="5" t="inlineStr">
        <is>
          <t>Printer 'QA-1016-PR01 &lt;b&gt;x&lt;/b&gt;' (192.0.2.10:9100 then 192.0.2.11:80, ZPL 4x6)</t>
        </is>
      </c>
      <c r="C61" s="5" t="inlineStr">
        <is>
          <t>printer id 4</t>
        </is>
      </c>
      <c r="D61" s="5" t="inlineStr">
        <is>
          <t>Settings &gt; Labels &amp; Documents &gt; Printers</t>
        </is>
      </c>
      <c r="E61" s="5" t="inlineStr">
        <is>
          <t>deleted</t>
        </is>
      </c>
      <c r="F61" s="5" t="inlineStr">
        <is>
          <t>Created to retest BUG-114, 115, 116; test print to the documentation address timed out as expected; deleted through the in-app Delete printer dialog.</t>
        </is>
      </c>
      <c r="G61" s="5" t="inlineStr">
        <is>
          <t>R7</t>
        </is>
      </c>
    </row>
    <row r="62">
      <c r="A62" s="5" t="inlineStr">
        <is>
          <t>D061</t>
        </is>
      </c>
      <c r="B62" s="5" t="inlineStr">
        <is>
          <t>Code Maps shipvia alias QA16A (client QA-1016-CL01; added twice to test the overwrite message)</t>
        </is>
      </c>
      <c r="C62" s="5" t="inlineStr">
        <is>
          <t>alias id 12</t>
        </is>
      </c>
      <c r="D62" s="5" t="inlineStr">
        <is>
          <t>Settings &gt; Carriers &amp; Services &gt; Code Maps</t>
        </is>
      </c>
      <c r="E62" s="5" t="inlineStr">
        <is>
          <t>deleted</t>
        </is>
      </c>
      <c r="F62" s="5" t="inlineStr">
        <is>
          <t>Removed through the in-app 'Remove alias' confirmation (DELETE 200). The wizard alias QA82 on the same client stays until the client is deleted.</t>
        </is>
      </c>
      <c r="G62" s="5" t="inlineStr">
        <is>
          <t>R7</t>
        </is>
      </c>
    </row>
    <row r="63">
      <c r="A63" s="5" t="inlineStr">
        <is>
          <t>D062</t>
        </is>
      </c>
      <c r="B63" s="5" t="inlineStr">
        <is>
          <t>Carrier Limits row UPS / QA_R7_SVC / DOMESTIC (5 packages, 100 lb)</t>
        </is>
      </c>
      <c r="C63" s="5" t="inlineStr">
        <is>
          <t>QA_R7_SVC</t>
        </is>
      </c>
      <c r="D63" s="5" t="inlineStr">
        <is>
          <t>Settings &gt; Carriers &amp; Services &gt; Carrier Limits</t>
        </is>
      </c>
      <c r="E63" s="5" t="inlineStr">
        <is>
          <t>deleted</t>
        </is>
      </c>
      <c r="F63" s="5" t="inlineStr">
        <is>
          <t>Created to test the past 'Effective until' on Edit; deleted through the in-app 'Delete carrier limit' confirmation ('Row deleted.').</t>
        </is>
      </c>
      <c r="G63" s="5" t="inlineStr">
        <is>
          <t>R7</t>
        </is>
      </c>
    </row>
    <row r="64">
      <c r="A64" s="5" t="inlineStr">
        <is>
          <t>D063</t>
        </is>
      </c>
      <c r="B64" s="5" t="inlineStr">
        <is>
          <t>Global holiday 2026-11-27 'QA-1016 Test Holiday'</t>
        </is>
      </c>
      <c r="C64" s="5" t="inlineStr">
        <is>
          <t>holiday id 12</t>
        </is>
      </c>
      <c r="D64" s="5" t="inlineStr">
        <is>
          <t>Settings &gt; Carriers &amp; Services &gt; Cutoffs &amp; Holidays</t>
        </is>
      </c>
      <c r="E64" s="5" t="inlineStr">
        <is>
          <t>deleted</t>
        </is>
      </c>
      <c r="F64" s="5" t="inlineStr">
        <is>
          <t>Added to test the duplicate-date message; the second add of the same date was refused with 400; the QA holiday was deleted through 'Delete holiday?'.</t>
        </is>
      </c>
      <c r="G64" s="5" t="inlineStr">
        <is>
          <t>R7</t>
        </is>
      </c>
    </row>
    <row r="65">
      <c r="A65" s="5" t="inlineStr">
        <is>
          <t>D064</t>
        </is>
      </c>
      <c r="B65" s="5" t="inlineStr">
        <is>
          <t>Cutoff rules MANUAL/DHL (America/Chicago), BULK/DHL, API/DHL/QA-1016-WH01 and WMS/DHL used to test the time zone box</t>
        </is>
      </c>
      <c r="C65" s="5" t="inlineStr">
        <is>
          <t>rules 26, 27, 28, 29</t>
        </is>
      </c>
      <c r="D65" s="5" t="inlineStr">
        <is>
          <t>Settings &gt; Carriers &amp; Services &gt; Cutoffs &amp; Holidays</t>
        </is>
      </c>
      <c r="E65" s="5" t="inlineStr">
        <is>
          <t>deleted</t>
        </is>
      </c>
      <c r="F65" s="5" t="inlineStr">
        <is>
          <t>All four deleted through the in-app 'Delete cutoff rule' confirmation (DELETE 200).</t>
        </is>
      </c>
      <c r="G65" s="5" t="inlineStr">
        <is>
          <t>R7</t>
        </is>
      </c>
    </row>
    <row r="66">
      <c r="A66" s="5" t="inlineStr">
        <is>
          <t>D065</t>
        </is>
      </c>
      <c r="B66" s="5" t="inlineStr">
        <is>
          <t>Label templates for QA-1016-CL01: PACKING_SLIP (UI, PNG logo), COMMERCIAL_INVOICE (API, SVG logo probe) and RETURN_COVER (API, text-as-PNG logo probe)</t>
        </is>
      </c>
      <c r="C66" s="5" t="inlineStr">
        <is>
          <t>templates 4, 5, 6</t>
        </is>
      </c>
      <c r="D66" s="5" t="inlineStr">
        <is>
          <t>Settings &gt; Labels &amp; Documents &gt; Templates</t>
        </is>
      </c>
      <c r="E66" s="5" t="inlineStr">
        <is>
          <t>deleted</t>
        </is>
      </c>
      <c r="F66" s="5" t="inlineStr">
        <is>
          <t>All three deleted through the in-app 'Delete label template' confirmation ('Template deleted.').</t>
        </is>
      </c>
      <c r="G66" s="5" t="inlineStr">
        <is>
          <t>R7</t>
        </is>
      </c>
    </row>
    <row r="67">
      <c r="A67" s="5" t="inlineStr">
        <is>
          <t>D066</t>
        </is>
      </c>
      <c r="B67" s="5" t="inlineStr">
        <is>
          <t>Custom field definition (Text, key qa_field) for QA-1016-CL01</t>
        </is>
      </c>
      <c r="C67" s="5" t="inlineStr">
        <is>
          <t>custom-fields id 9</t>
        </is>
      </c>
      <c r="D67" s="5" t="inlineStr">
        <is>
          <t>Settings &gt; Labels &amp; Documents &gt; Custom Fields</t>
        </is>
      </c>
      <c r="E67" s="5" t="inlineStr">
        <is>
          <t>deleted</t>
        </is>
      </c>
      <c r="F67" s="5" t="inlineStr">
        <is>
          <t>Created to test Edit/Move (BUG-111) and the key rule (BUG-112); deleted through the in-app 'Delete custom field' dialog.</t>
        </is>
      </c>
      <c r="G67" s="5" t="inlineStr">
        <is>
          <t>R7</t>
        </is>
      </c>
    </row>
    <row r="68">
      <c r="A68" s="5" t="inlineStr">
        <is>
          <t>D067</t>
        </is>
      </c>
      <c r="B68" s="5" t="inlineStr">
        <is>
          <t>Custom field definition (Select, key qa_sel, options 'Alpha, &lt;b&gt;Beta&lt;/b&gt;, Alpha, ') for QA-1016-CL01</t>
        </is>
      </c>
      <c r="C68" s="5" t="inlineStr">
        <is>
          <t>custom-fields id 10</t>
        </is>
      </c>
      <c r="D68" s="5" t="inlineStr">
        <is>
          <t>Settings &gt; Labels &amp; Documents &gt; Custom Fields</t>
        </is>
      </c>
      <c r="E68" s="5" t="inlineStr">
        <is>
          <t>deleted</t>
        </is>
      </c>
      <c r="F68" s="5" t="inlineStr">
        <is>
          <t>Created to test option de-duplication (BUG-112) and Move up/down (BUG-111); deleted after checking the order form lists Alpha twice.</t>
        </is>
      </c>
      <c r="G68" s="5" t="inlineStr">
        <is>
          <t>R7</t>
        </is>
      </c>
    </row>
    <row r="69">
      <c r="A69" s="5" t="inlineStr">
        <is>
          <t>D068</t>
        </is>
      </c>
      <c r="B69" s="5" t="inlineStr">
        <is>
          <t>Output destination LOCAL_FS /tmp/qa-1016-r7 (Label) for QA-1016-CL01</t>
        </is>
      </c>
      <c r="C69" s="5" t="inlineStr">
        <is>
          <t>output-destinations id 1</t>
        </is>
      </c>
      <c r="D69" s="5" t="inlineStr">
        <is>
          <t>Settings &gt; Labels &amp; Documents &gt; Output Destinations</t>
        </is>
      </c>
      <c r="E69" s="5" t="inlineStr">
        <is>
          <t>deleted</t>
        </is>
      </c>
      <c r="F69" s="5" t="inlineStr">
        <is>
          <t>Created to retest BUG-118; deleted through Delete (native confirm, BUG-158).</t>
        </is>
      </c>
      <c r="G69" s="5" t="inlineStr">
        <is>
          <t>R7</t>
        </is>
      </c>
    </row>
    <row r="70">
      <c r="A70" s="5" t="inlineStr">
        <is>
          <t>D069</t>
        </is>
      </c>
      <c r="B70" s="5" t="inlineStr">
        <is>
          <t>Output destination SFTP qa-1016-r7@192.0.2.20:22/upload (Commercial invoice) for QA-1016-CL01</t>
        </is>
      </c>
      <c r="C70" s="5" t="inlineStr">
        <is>
          <t>output-destinations id 2</t>
        </is>
      </c>
      <c r="D70" s="5" t="inlineStr">
        <is>
          <t>Settings &gt; Labels &amp; Documents &gt; Output Destinations</t>
        </is>
      </c>
      <c r="E70" s="5" t="inlineStr">
        <is>
          <t>deleted</t>
        </is>
      </c>
      <c r="F70" s="5" t="inlineStr">
        <is>
          <t>Created to retest BUG-118 with a dummy password; deleted straight afterwards. Test was not used.</t>
        </is>
      </c>
      <c r="G70" s="5" t="inlineStr">
        <is>
          <t>R7</t>
        </is>
      </c>
    </row>
    <row r="71">
      <c r="A71" s="5" t="inlineStr">
        <is>
          <t>D070</t>
        </is>
      </c>
      <c r="B71" s="5" t="inlineStr">
        <is>
          <t>Output destinations created inactive to check path and host validation (traversal path, relative path, empty path, empty SFTP host)</t>
        </is>
      </c>
      <c r="C71" s="5" t="inlineStr">
        <is>
          <t>output-destinations ids 3, 4, 5, 6, 7</t>
        </is>
      </c>
      <c r="D71" s="5" t="inlineStr">
        <is>
          <t>Settings &gt; Labels &amp; Documents &gt; Output Destinations</t>
        </is>
      </c>
      <c r="E71" s="5" t="inlineStr">
        <is>
          <t>deleted</t>
        </is>
      </c>
      <c r="F71" s="5" t="inlineStr">
        <is>
          <t>Each deleted straight after creation (BUG-159). Nothing was dispatched to them.</t>
        </is>
      </c>
      <c r="G71" s="5" t="inlineStr">
        <is>
          <t>R7</t>
        </is>
      </c>
    </row>
    <row r="72">
      <c r="A72" s="5" t="inlineStr">
        <is>
          <t>D071</t>
        </is>
      </c>
      <c r="B72" s="5" t="inlineStr">
        <is>
          <t>Mail provider (Postmark, inactive, dummy values) 'QA-1016 R7 mail'</t>
        </is>
      </c>
      <c r="C72" s="5" t="inlineStr">
        <is>
          <t>mail-providers id 2</t>
        </is>
      </c>
      <c r="D72" s="5" t="inlineStr">
        <is>
          <t>Settings &gt; Email &amp; Alerts &gt; Mail</t>
        </is>
      </c>
      <c r="E72" s="5" t="inlineStr">
        <is>
          <t>deleted</t>
        </is>
      </c>
      <c r="F72" s="5" t="inlineStr">
        <is>
          <t>Created only to read the Updated column for BUG-119; deleted through the in-app 'Please confirm' dialog. Nothing was sent and no test email was requested.</t>
        </is>
      </c>
      <c r="G72" s="5" t="inlineStr">
        <is>
          <t>R7</t>
        </is>
      </c>
    </row>
    <row r="73">
      <c r="A73" s="5" t="inlineStr">
        <is>
          <t>D072</t>
        </is>
      </c>
      <c r="B73" s="5" t="inlineStr">
        <is>
          <t>External system connection 'qa-1016-r7' (Rest Json, DEV, inactive) with a routed-client entry for QA-1016-CL01</t>
        </is>
      </c>
      <c r="C73" s="5" t="inlineStr">
        <is>
          <t>external-systems id 3</t>
        </is>
      </c>
      <c r="D73" s="5" t="inlineStr">
        <is>
          <t>Settings &gt; Integrations &gt; External Systems</t>
        </is>
      </c>
      <c r="E73" s="5" t="inlineStr">
        <is>
          <t>deleted</t>
        </is>
      </c>
      <c r="F73" s="5" t="inlineStr">
        <is>
          <t>Created to test routed-client validation without touching nds-default (BUG-121); deleted through the in-app 'Delete external system' dialog. nds-default was opened for viewing only and never saved.</t>
        </is>
      </c>
      <c r="G73" s="5" t="inlineStr">
        <is>
          <t>R7</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sheetData>
    <row r="1">
      <c r="A1" t="inlineStr">
        <is>
          <t>qa-ledger-zlib-b64-v1</t>
        </is>
      </c>
    </row>
    <row r="2">
      <c r="A2" t="inlineStr">
        <is>
          <t>eNrsvYtX48i1L/yv1O2cjOyMjN+Yx3QnNNDTnKGBAD2PfHNulrAFKG1bjiRDM7nnf7/7VQ/JMjIGJueu9WWtTBtbj6pdu3bt52//6006vA0nwZsd1fbVm2ESBlk4gr/edFqdzUa71Wh3Llvtnf5gp7f1Bq4IZjP49V9vpsEkxMs+zcdZlN5GM/xxnozxu9ssm+00m+N4GIxv4zTb6bcHXfw9nN5FSTydhNMMrzvGC9QovFO18zAYZs0foyxUn4981QxmUfOurWZJ/DUKRyqLVXYbqv8M7gJ1FQy/hNNRfVeFd2HyoIZBkkRhooLhMJ5PMxVN1cXeycH705/VJB6F+N4kvA6TcDoMU3ztSawuzi+aH84PVDqfzcbwgg11+HUWDmHq6iq8De6ieJ6oLID3qOsknph37J0dqSRMZ/E0DVOfxgQE8VIV30/VJEzT4CZMVTAdqXFwFY7hEvw8hMujNIMBPMDjs/sQHjsOpnKlPDt989840vkUx/j//etNRKtw3sbxp1mQFJeFfxjGM1qG02QEj1Dv1El4r2L8YwcIkYXJNMiieApkxjVCwqfqOk7UEGYNtPr0w3Gnt4nk3Q+mwSjw1edphFT4IZrejGDiOMBP4ddoGPsFcn9VaZjcRcMQPs1gSYIbuEXVPoSjw6/wmLML+M/F2QUsE5OCHkXDJCoC18EyjlRwDYO8D5JRuiG/2sVSf92DqbbbjfN2t/EnWsh4TNMNRhNY5trewaejkzr+cDWPxkQf/CMLgdgJ/rU/DuajUNX24/s4+VKnqX8KpvE/8LL7aDqK7/Gydm/Q/rrV7uC30zijV+zHk6uIqadgVZQlvKrFTO0/bHd7rc1uA/9tb7fqajaep+ouGEcj2EWNeDp+AKJFI5wM0ChN7UM6vB1Gi3uts9Np7XS6yA2GCTrLmICu78P2zHPDRZhlsBrID6fJTTCNfuN51PZp2YEtfwqS8DaeExfvjUbA06m6iuMvsGiwrPDlOVA6re/IoofjEHlHxdcKNuqtGgM7A2+PRs1wFGVIVmaVUZgF0VjdReH9Lm4UusOMZgJ7BZc8g60ynasxPHv8qqva2/y61Wu5q7qU7H2QbzudrRzZu8vJ3u7stLZ22v0c2c/DTKYcjMeq31HXMBaaOQmR8zbR6LzDTE/SQ4QZ0Qreg/fat+wwsa/mN/B74z4Y44bJbpN4fnOrooylDhBllqLQw8fRlr8OhuFrkrXV6gNZB6uQtd3d6fZ3Ots5svaWkbWL3AzT7m3myPphDtQUAhjidi1xNUWAAFFiaeLzdgzgwgRWJQ2H8yTKHphPgyxopLAxMt4YuDlRYM7mcKH9Gi+N5xl+C3s4xtf5eM7gbgGhngGF6RoQ7QGePGk8pht9egGtxo15Z5rFCRwP6vbhBjZhyEcDbMCUbsiSYArnCrAAfh0mCRD/Fj6O4Z2rLeZYn6a+ZaHumhtns7XaCsOKwQpv7vQ7uRXuP7LCWyjfWP4VV/gmYWroRd4c2EWuvf/8faPVauNZRR83B3Wf90fV3oh5byQhkipTRDDNHFMt2hpXDw0t5UhUo6gj2WfEVzq/AoViPgYCulLVh7OTT3D1DVxMZyIw35F7+vrqmA/Bb9RBPJxPWAgfTlBYfqP2xmGSyS03Cd0Cf108wPAnIJ6HWXSHTPSNOo5v0rq6j7Jbw87Mag05dDTTFvmbTluiBFEsBT0vnD6DrVRNU5NF2XlvF2UcjB9ezkRKcRCwJiAC2h11dHFZX1eId1bjxR7yYq+/080L8c1lvNhDXgS5399aIsSRabY2LQumWQRMCZdN9az7qsHM2N5kZbDdkquuYWVJH2K2Hfiq1ab/bMF/Oh38zzb8p7uJ/8Hvevipj5dstussVOB5gz7QZQ5/wOLA2/hpm1t6E7R7nToM4Sm7gNYVZ9fuqdMhHOLETQFziJ71NIxubq9AB8YpyK6AzZLQUOht19HX9dmnJxpUg/QGzS5JOI6DkXDM4Dkc02qvyjFtEEXtnV47xzGDZRyzSdrZYKfVy3PMAMaOw9wh4m1uW5aZBAmuyIfoK1oWD/T7CNUeuBXkRY1/ANLxspg39X318XDvQPWv26NW2O84HKEOUD9O4LYibw1a8J8tZKZt+LPd6cJ/uu0VpeQiI7wyE2y+2OI69B8429VOuKF6uCZAanh/P79D4RsFD8LjHPSESXAF4p20NbHtxtGQROgubpgpGFf5E6kNT9abcbNT3yhntE3UL9uDnT6o9f9FrIPyN2foXcDZhjfzbrAmHXGaPnjIetUG3hvzoNzXrIzXcsZf3THOm2y8NGEuwufZnMziGTB8FIw1ZVNeFbQXfG30+WRFEn3kYwZ2odiBvpiBePgN56DtTOBDNEGdBu8EsxK/0GYo85mvfhRrSTXV96AVJfiRDMZdBZJ4noDUCq7Q0gi1EPw/6ji8zhSY+sg8ox11MM8ikB+zIMI9Bgfm4YU6ujzx1Vk0/DKHMT7MQjFMeR8dwVDUxQ+fgROCB3gui0bQHUfhdTAfZ0adBo19mDcDWWuDUbjbKUqZ6GTwIeOyoL3hnfWGzXqx5h1BA0veec6SHwltQTG4SuIv8CEGhSUBe1ONYCHjm/JVVzX+lU4yGD9xu3kWbPwkHMLV8FRZRf30d2gp1quZprA8l8FXdXRAdDs8PT8Csw9+Diez7GGXdl74NUyGUQpb5hFCdVciFClZeSLRV2qklS6XJMRmzX8RZU7i/37yxA5AeOKRpc4OPvj2r43fZmwVnIHkzFjxAxEUwCDkimkYjlKWbl6qbuJGcBvC1/aeIeilCYnYAP8dq1lC+3lD7ceTCZILvjua3sW07fbj2YP629mxry4T2IH0HP40ju5CdR8moSUyb6KNx2jdy9N67+xogdAO/Q2l2XsjHoDa94eX2ounee9f0ei/c5Jo8ef8GoziaZgXR+I0oqOKNlkS34P40WYUbT60HNqdLSVOGlFpcLKPzLmfn7PW+RcmvgcPT90fzfTdX2gjohPEnW3utuVzdEfZKYxyc8VR5pw+75R4ffLjlS/JlVM2zObQuWu94Q7WG671TeVHbL9fPuj7/L3rjXtrvXG7frQCbzi/LB97wFc1zP3rjX57vdGT3y8/bPpq+Xjn5o61BtpurTdQ8kzmB0pfLR9oYu5Ya6C91otvO5BgvwVwxtaAM0DzORxFWf2xTUjn9q5a/P5fw3gUVonNLVZEdtTRCG4ip8EFKm8fSI9jNct6MXw4mWYzUo0/gfkyn/lGO4D75hOwaR42aMgUX9nB0MEQjrimugjguBneBlMMgtQ8/Tb1rRLWDlPSkbz67vK3sYam1RG2XVN8sNHS4BjdeGy52isuV4nbprBWOurDkaW0fIV0+GZ1/uoVBtx54QED8WfjIEOdtP7omBv6smcMvvtSg0eWREYA1siK2qsZeSoXNYb2ojUH3nsxqsMuQC5ewh/wa2Miv6451P5Lc/RxNIke5+fG2Fyy5qA3X3rQB0k8Qx368XGP3KvWHPrgxYY+z+Lra/z9Y4x27sOSsfNlzxjx1kuNmG1m/P1wOmrE142D4KF0zDO+8BljXlVRyXnSl5jATfWejNTSoWonROPKXLPekPut5w95H48SWINl0sL5dc1Btp8/yPMwSOMppwocfkXqlStWfBn6cRuhuWzNYXdegLbzBDMHlhI39/Oaw1z1vFsM+OTHehlO8PRdMtTM/XXNkfZeaKT75AZSH6JwPFpGWLyicW2uWHPE/Rca8Rm7S8oHO3N+XHOcmy80zlOOLR+EaSY+xvIhcwy6MSpct+boVz3d8uHJ/Mg/wU+lQ53ID2uObesFxsa/Pb6/YDDRtbj2Gy+x2bZfYOAnzqCqh/2M0W4+5RzTEekCkb+SFB5LmLp8uKFc1EjtRWuOuP3sER9c7quL4W2IV5brCaNs2EjdK9Yc66onGZOuYAWZ7xZtH3v5euPqPmNcWgk/pMyUT5Lq+KgmTkksjYlz6ZrjXvUgK2RKFAIB8s2i220+irLGs2zJzf5LjHDfSTI9XmL/atoGs+iZQ958iSGzNDsIMdCQPCwddU7ajuTqZ45/8BLj/ymJshBz8NR/xvNE9MlFp7K+qvEPe9Waw956iWHz4aE+RphTVm6eBXRJ49ZesuaAt19iwOxjTNUeEO8hi4bpEnOCrmoE7lXrDXtQOOH2ZjOV3obj8cK4z0G5khw7R4HERD0MTnL2TW0+/TLFVIkELg5zPjWM/jZGcZg24HIwgsQH/cioP5iEnoG6v43GoWQvoOtL8nt2JZmzQUNWoBfQTTiqnOdzwOkEOjmjmE/QOGy1C6eLZBlQ6NO6o/GrL9GUbtT+E0r2BwMPv/sYBhJ9TsJ/zqMk1Bn8xZhpSkvG2WY4mjeSYJ7CECm7fjFARzeI5EMPvsIQaapsHjk5hDGVnN+vs7Mw+eS/nCwQIl2/q0C0gKzBV+ncGk5HvJrf8JDkQrpZE7JbiKEg6TpVpONBvxDtrkVvdmhXQgJJ3xNq0hMkCR+vsGn4SEidUaVmQFlTJEGlCcCR/1XIjsqRp91v5cgzKCFPt4I85zqNX9XOThvtTrfXr7u0ykA5fBkey1UJuOUDmPjBRAruMO8cKXJNYeqT+eQKkx2mzIjXbsC4BudvfSl9/uuRIDKSpVdBFvRyNyjlgpJeqYzmEapc6HybdQgzS+JrlC+S1qI82I0e0OAfUunywDyVrxPRiba0WHiH0o55j1KfZ86tK+zIVnvFHQl0qqJtf2XaSrxJ1bh6h2NuQo4cFwKZR1So8WJET0IM/Iecrcdv9lJKeyoMjRNHO/UViNjurEjEdqeSiJurEDGL1ckqnJnF65AoRIaTw8DUHf3g1Brt5jgNzwsTZVt3Xw5WnPZ+PJkF04d//8zXnunWijO9yOCS7JUmWjo5ldIrnWjwiy/z9oqTP7sVtewV5t5uNUbRTZSpKZ0yzixr5CFVt5jj5bVbii5LPRIBQKlOa7Dd22zB/5hoP6t+v99pbeHh+Wy+4HSLVXYAKPGvRJnLGGsEYh8shOmIKiei+SjAsjHDIXRS16hCEMax9jncbq/KCDGMGBhPKkVfYdKf+j+q7vG2rw7bPdXfe48p/rDI7lR/i2YYRF5/tp2VpRuGlx5AgwyS4a074WCexUOQfWM4iV5o4qR+iZhTzWJlaVMvOWmu0fCLHJnxDBURHv0U00kitNzi+xQ0DvXrvNPe7qj9PUwXfo/P+Bm+a7WuBuro5PJ4bfpVKbNnSXwXkS7L06lXaf3PINvpiVHwd5XRXPGWUMFvz1JP25Xqaca52El4QwWjn3/wZZ3qr3UkYiYwFs3OQ3U9Dm5uTH5nHKRcDUcnJkpOvPXgQ06DJS2LU8n3gRmMlCT6qD9xBQbbPbNxMAxv4zGmqZ78ohXdrVUUsNZWmQLWK9Fit6oUsHalFssWXSWH2cueTHJy1mnLMb6+Jp0EzUTacvMUs5vJ+lRHh8AMR2dshWJ+F4basVZ+RJuZPuNZzsXe6uzTEXx39umQU4azGB+Muu+PUWDL4DN6l37/8xi6Sp09mg7hqQnHHl6Jngd7Z8CDcRpO0aLMuzdeXpVtV6my+XqIl5o3urc48z0/e3cWlCAPJMDKIm101s7DYTRjAyx4SIE9Dg4+158y3yqF9ky7Paqmeib1KevvGethcXeN5mR34/RV7eiQy00G8PGszlsIlL6m6sD/2y3ZMh3XAXYVf4WVu8b6JFvNPIpglCkFtNZlmSq1+H38Vd1jvVfOHmD99aUoSKW7nZYaXz1bl+1U6bLH4fQGjpCm+ika0b8fX3tyHfVVbcP/e3gycD6ErKbZ/wwFMhM8E/gRGAFkwt5sNn6gP4lCICLWJkuV0ovZxgE8+JZZzSXH1TzL4hfbLWDhpTJDNHULm8cHGg3HcyyjUyn8Zxw2gCp4FCEmipzL3ZXO5VJ/b7fkXO5WncudKh26ZJ1ejX7EJqlsSa7oNkLAMk9Ng6hgXTeRuNPAX+jkWftI7XRX4KITYe5x9CUkHWwcpNlr0gORfdIww8m3d2X+N2GW0suFTvBOCtpQla2llzDU5koMtbkqQ21WMlSVrn0QDscBniGs/NbQBONqPKqVrPZTPoeibFL1WhtgiaLdN890KSCFnnAAqoZCrYOXrM9M/cowAaYQEtqCSSB87AznZLS1pnwRjEOtp9W0enIRoM1bf0RNq2Sadq9UCg0Wwyq9vBTaLKFXlT774fIci/kms+wx++yFKZfz4u2ok9PDwyPVbW10B7WgnrO59CUm5HACMl3V5ijmsTC37hG6htj6rCpp5Ucqz6cSD6UAbpTSnQJeIL4ErnDmbdhfaVf3V93V/cpdXaV9S/XxY9byqiuxisp9AvIO60npFKA4oMqzyH2QCtM/ZdtW6dycFAzLjCJMqqPD65eYdAn7eSenSnPcZj4KxRxk3ek0SFNgTD/kmHdtOValQUvq8cMr7sLz/o4EdsGKsLnMqgGGxIGvDj+f++r792Cr7+/Bn0cn8OfeZ/h08T385z/PfoEfTn7B8vgDuIVcLHAf+pZks+46IStdoEZmTqo+/XwCWwY4MSDsEHiiqv11jhoHybVOP39AHMfxFwb6wgWQSzaWkbu/SO5upYJPVdXoYXxFgp8dfDDnBTOaFmt/Ozs+OiLJQ9Z+u69B7sTlQdBOt2i8AXnhMeuyXbe9Eh3S6DeDcPCa9AjQ2u193dRUsbo9k8eAFGg6IcBCqi7B3pggBGEWg4DH+4n7kLy1dH5zg8kvIEBIAnce0TXeyBVVMrpbpcqXAEO8FNme4iY5D2/mID4Vl9I8hS2qVPQV4Bx2sF75cY1dP2UdXkFwCVbOV4Kp8E5/PDw/Pzo4ODzRDv3Lj0cX6uLj0dmnw5NLT28nAl76nNK2vwpGNyEDsQWjaKiNgSCZWuildmulAHtrRQWhXc18VWo/oY8chHBFZEIdyw7NI9bDhxb1IWLUh/paQdkYV1hdNtLbKEFIOw5GG+uRt++6oqq/yrwvfvj8SvNdeeORZvCUiW2uMrGPFxRD5AQrOP54P+t52m9eZ2U3263tNsWNtW60NMOAhk7DUY7s5QeAdR3jRksy5369kdorbaTSdJ+u+j+CV9ZbzVJqcfxW7qkymrqDVVboNIluot9xt32+WNxh4+iR1LsqPtxaZZZ/zQfvF72cLzvJDs4NTTycGYMjtdW38H/4Op2No4x+SP1nu3y726vMHmPM2p0Cym39dyUF+VKeO89ea5V5/pSp2vjqd51ea6P/Eq77XnuV+e1N0OFX6QB7lQUEFi5zi8HGUl8dBlubAJ1VCHD25eYPVSrpy84e3qj+oBiiuEOuVjCvL2YJIVMNkxjRq9npq80e2tkM54UIhuQYH6NLNpDIFjmjDeDbNeFCsZtlpazHVmdVr01l1mNvFZ92JEVPjyjEL0pxCpIEIjnRdx2w6zqLZ/rMXSkI0l41CNKuDIL0etWBwjDdWc4Xvxvt0jS6EQOD+ZCjIvBBWJjgJSmFZIj2Bl96HWMygOLRmRzc3kpU7q1K5V4llatUZQOKqDfP46T9QLNaK1l5LjQ0vlfJDdGbtuYkxhNick+8sxyewJM/Ce5VH/YqE1tIulKwpV0abNksIWllsKW3SlqzxZ1Us2Aa5uJ3UqZYTGqyt6y5wznR1WBj+gjlh6B92hh3OkAgpjPVrbKti8+6DsZpmIeSRojAmEDFozRFPYdFIPOw12mABEYWR2PEU6jh6iu2Oc0UJbM3jdEhE2k/vIzTw+iZfmJ7S6elXkXjMSZlcZBNft1eSYKvume4bELGaT5y5oe8r5IDqoyAPLzoa+0oxxd4Iy8kgxSEtF5mTl+zC40+wkC2j0E25MQ/RnQV1W4dhaNTWgPWyRHmktxg7zFGg4UJTXUeDkMs0ax0ii26mdYhmXkzQavKuyUPlK4134lnCPOtJHtWQ7sgcUeKHEJ1yf2DI4oSaUh7SyUBdtHf2K70Nz5emNIpLRXLU7iqluJl6CjW5q5wlcTMchRam4e6FTPcj6dZMMx+x0k+yxDplFZqdYoqIRXqtP/fXrl+1cpVpPv/z5/hZsUMKaf59ad4euI4zXbVY1FI+vhsBh5UzBtLGyoLG/7nL+9WpejhmoaaCPxwVJ058zKzNi/MFySYLBoHr2ft2W9XLXJVIdP/+AUuKUwq6CcMIF5boQ5hjcm+TtygU1qClJ8XoaHXPv/w/86MqvSc/TxgvMUDq0gKURaY76mMSWL2ahxMv+yyDsiJbZ4GUxmOwwBsV21u1bQSriPU/GawzOre2gxcpRx9TkNpCxClK5r0BwzRf722HUKtK0I27k28Vfcm0GPYXTBV2ACJsrVo0S01NroLdjihvEoGR3CV4w/+8/mYADb8TG+mmVObPmzAwx+26RSW3n1rz7dTMd9FwP5XmzPmB5W/DuU1T7Qr8BoEzy/A+/xD03rmGuKZk+KrKXt/EBKlTVgJ+F59yTTeoMv2fnrvo2HmqxGXn4jXAGwuqvu5mYahX0hNc9K6MJHQlxRQ2J0IO7DV3m4jlEyUIhSMOkh8+yT11z11iZ4HW1zCJaW6yBKH2BHPoOSwcpbUDXksN9Xxe/VWYX5rFz76ahpmMDn8lMWZ9U1KLKmn79+1bR4i3X7BfIM+cdvDQZNfCkVwQOIDUvvUKCtL1T2sAO4F75gG2la1tppPoyyte7q9TJWnPAViyJUmyNpZza0GF755LA+rW2r3dUvyj2YMelCpdr2PRw/rIKFoHrS7OL954WrZ3Codx/emMxLRTga3MZtiG0XGIeq3uk5QFhdP3Fr9Km8Aa91ysYlRdweVlOxVUNLtJvL42bCihFhFDUCRgRnzWLmkGqZDCfIk9k0ch0t6lfiIXDS8Zdc6BbjHXIqpu0rsX/wou1ko292qr5wA2C01W5eQC9ut/P/0KjGCi+cQN4l5EVItPXz4He5xcx1mcFXpgcP9d3S3HCl56fpbHcwvDJJgiCitQGUMMvzvn/c2Njb+989/A10PkwhnXMEkXcv+9KfLw4tLdbz3/vAYbjg4haPlknLH/kRtgy36ChwsftnJ8rcwHJN9fqR6273NnmRwstNw4bDxQVRLcszFP+dAPL9w/KAtOAlg5qx/4bR31d7+5U/fX9KBo8dvg1Qe0k2qwxqYI59RN9eY9RdsuQDnc5OgZRI8VEWqccBQ8isJ2XbDM3m8s6sYNWKCr+M88GAG8o8PBLwGz/ScvDucYgM06cpMgrGkR9OqLDmoYEnuUdR0ehW9JnPyWyKJuH7RLcU5cTXDH7kcLWM1ebDd29ra2t6GQ7IvXvkguQEt4e9kbIhqNAbqUButBD4k3JgvUTVGjhvDUSTOCKcdE2um3qV+I76M3fy8LTzp70nzwVzu/Y+H3D1LdzVvwKdPZ8eHoG5d7hFAAlx3FcNNtgEbhxCmI4zAZ9Ek1Ok5CouMGjDSJExRHM2n2YhCENice8YFzB8ODw5/JkrsqsMUeAaZKUa4lggshusYbClJ7DU9JSmv8Cq8jaZykrY73fxJeuJykaqZsQkZ6k9hrK0KxnIab/27Tgbbx4v6hdJyEKoqb1KlW7Al5X2+nkKN7SqLS5MaZtBga+gqmE7zyHUl4c+VlLWyag3Np7/OOxg1d0Tz6cnxL568XYKc69hdvVI7s5ebNW2pA2pGlm7kYd8q1VT33vWKgQ2mnD0EDC6dwNKtO/HOUyYuw3z1Cbf7cMCfHJ7vXYqsanfV4fn56bnPFEBBd38r+S08eFr/Z9Ch+xQ6iGDcXymr7LnU6GL2Y0jJT0iK7YHK7mNbmJsySdaeeK9i4rpFjsyAcJTglE0F2UWwhuATiJrxL9NKchSet1bi+R4i1zSVgUIC9cigIX36mZBbmgyLtCvDUr84WBpr06r/NFptCFTJ70ETg69ydHJ5eH6yd3l0erJ3/PfD/dOT00+/qFp7s+6ro7PCz2fnR6fnR5fwe6dXd1FZNvuq1u3AVxacpbWlapv8DQUyWwO5xEC16Kf9HcGT4JXYLBjBW9Thz2fnhxcX8v2gvvYCbD5xARZBKF6L/kgT9BvhFp3OJ2ESDQ0eqAGmhWcG45QsENi/nqnIhws77o6u/dMUw7XagyofQnvwpopugwq60Qe9w3meuKPT740jt2l0qxVPPfeRzz8E2I/sjIdCnlbR5pyWXXNQ0A3xPFub07aeQLEN+uMD2OtnQXb7spQpcV9dBWkIJiXWuyGHgeBjt7vrt0JcKrRNpM5Q+oWwqWLdWesSZ7uCOATVr9npNkgZ5b+p6PtPVjd8lEzuQ9ZiIM0KsqkwVCMAXxK0ES0VvjOpsmg7P0OT2CxVJTcL+ELwylsyFVQti7IxWFIjW78FtheSY5gAR/vqFuTDGGUEsDzMfE5ZxdUB6fVtWxqQ8sSR5DFYiB2dzSXEtGI7UuVpJHfbqdLDy7RHyp2IuAvMHTgxSswCo6fw/hxp4GuKu+HSoUcjUaMgC7D6+DZWD/Fc2onHiS9wRwamWjou+jIdbsu94bm0VheHl5dHJ99f2An46pHR06BX4ZF+CY90KnjknC3q13Jg4AHkdlSW9p+gBbRadQb4Hkeco3qTRISYlwRg1jvphJNQdRS2S9YLt+SZf0an0NvWN1hT/LbT/yaNk+z9w1vak6Q/0zcHMHrKYXx7cHixb0fgqy9hSPE92rdUpA4bFIE91iV9t4L0F4RlSYkuPuFp+6Tyukth4S71UnyPVMrieHwVrLUg4ddgyMk1iiHuOb5DPcMV+n2SIQh95U2+jGlX4biUd3kbJ/H85haYeERfk27uifPRQ8AVXKE6oxiQX7kJJ2Y0JtcUGDEY0E2iyQTBD0LYN7Cw4XQk0GfTWMxN77fffvNU4x2ibyjNKtYS1atyHY3Rw7pBI0lnIUUNHc/rLYxpHI6AqDEfBHjd4ZS2cQwjQSApHBjcMbme86GH0faIAi1UCa8T9BnNYxReAQMNESSNEseB5uhWReZhrFAE6sML/0jb/u8KaRyA0hWNRxjb1wn7nbKgmHA13wpr8vfepoR7cPxIVnM3Xs8HLidNK/WbuH89Q17Oy07DRjRNEUgoQ98dkNTuoYu/HjfS7AGE3yyJr2B1FRxd7bdt1WjghS26ME+8NJhGGeUD7ajvrt79M/iuefXuOxaX7zY2Nr5ryufCA66UtHhgbTVWfBk1Nc+5b6kdS0RLIxivoYk9EAPIirhQmN6SDQTj8TYkpohEWy2Tu/N4THGz1IDNb+gPzJePy9LnbmCygbF0PIg4yRhzdHNfYGKk+QITR/LMQKxzwZr33njcpP4nYfNoGtAHeoKcZh+Bh8FSa5Ju19TA+aes5eC9P4GYbsJetYaH7E2sQbuKYK+QIN87OXDL3vGAVPw2vZf5AIf1xA1IpVgSk76NRuS/TcMxobQc4AYUry7+jlI7dZ9ymA717xwpkHoJpFszT5oMliRTZs/m9iudO5xpAz+4u5cDRs4iKO/vrL3kn+79EcsS7vVebslWpvhHPE/HD/Z1dbNs3m+Hh8ckUovLVrIuuNmkTwmqZbtKVlUvJW3GXSXrZZZJvl55pdq+6viqW7JiZbR2VoUKl4rrSzkUIS9wdgt7iWs9qATK16tPJz9hCaeLXLDuedyv2L778Xg+wR2DmmcTX6m+VaAS1F93QwONQf+QKSLYLI6CH8ThFU4Myzcrl8icfJlgPkCW7jq/KcmjouMdFcmYE3vtyvCLRChyPx8gTjzmMxtGcy9df8cBaLx4Jwhujq9RSg03aeEyB6y6lMvMAaqVX111ORTyYmwBTh2Y7wjxaXhrdX2nqN9sM8TmU3dRGl2NzXjhdjwknCd4e/DyEC8l2cCXTeYpo7jo+706qO/yMp708qEz+93Bw/WgscpxPp1FkpsFW7kRSCmMvBCXcaw71/CsBr0Vc2DgSn1eDXorlpYx2qHcU3l0bVbw/gGJmYfXPromoPplGKmFQ/0LEJpEYgbcwdYF9bAY2oXgPkHSgYnrahgXe2QFsX0kSY4h9p2aBSNKbWh3ZuzK5leIXqLfsjn7ygOkdCcHAAk5fW0pM6igtACQ1TBxAlhC67QYE88JGosquBb5S7w5ZOeQ3p2W2U9NfuPGML1j84xsb9cYYnUrSi0SHhkFIDDpl7eXH98v3oSTXbhFtH7ZOtEUgfEYjA0TTSlRIY3FURKPs2jmwXmaFwSph9eO4vlVBjq8TT4hPgLaDjlXjTRKinQblEh6RZoKgs2CMq5zY1C9n0SZ4LVRYsyuPtJCOYsQdxyoCVsUn6pTezDfaywGMzKpthfYSZAqSy5mTnhmQchFI2PtipTTggiYgQU5CiwYNOXiXPzIddj6KVLUxMFxPvPxvikeE5RVkRnJ290CzqdqM7bWrIoDNMRlmY8DmJ8U/u3gAcU4a2QYXoU30ZRAi7y37W/btCT6+aCj/PoGv1WgkP/6hvWLKR5Dknc0i9MsiWcwgYayknAzt/MOShcDJz1PMVFb8oLvwSRw3DywPxeXCrSZ8UjJ2ZFQblMaGzaBgc+nWvIa66G7tWL/oq6t+BxsVkrjrQoZgUX9iw3uXl4g22TjLbAIw5kGzwOt2OncKeJhynmSt7J83snhT2r/+Ojw5BLW7zzEpCRUO3TrKLaqiVWGqGcD7cIppdXiPzXufdZp7B+32ow2DgoLZbyL10vb3siL3ypLEfXUQasaJhKLt+8E/pZRNQy/cB8b7W/gkXUb530aHI0t/12nbEaEnxSlq9ZFlbHFdpWvDk/LmehfVSWuz+UNxHnv9H3Vh3/brZZu4IfZZehgo3d5F6CaIjN0UBR1PNhCw9tgemPPZ4aN78N/+i0Cj2+ZCegEY3yNaRziG2Epbrx1iVlSnFNwjosdBqM6QQOEhsTNCG8wg22EbV/jXPQJPZSNmUHsfylKm5Hg22ksoyjldDaMJAvSuFl0MzTlcVa7p4n9hAf5quQxLqk/Yd+YGxCV2T3mPOA9KaXi5bLqdjghtGOcddRH1Jxq6QT1rlSIS2CPEYKAbjxlIauiHIYJf8Zp/KKH4rH5WhnAwNVbL1sox/vmtbl9wZTVIhEUJfgSkRPrYkhZ/665pYW3tOws9LHJuRey0ste7qsnvlqBEuLcVHx5PLWvXncjVkUgLlBDhEN9v1DwSbstLdGB14NdGcJGxwgPJxzex8kXVYPJI/bcdZQggsEt8DlewY5p0WQjOFlIccYsOdCiwIQgVYuVJvIDBfoWbcxuLvfysuPoYTgmA9nc2HQeYkIf/LJgjHa4lC/qF7iO4AXwis6qUPCdSk2l3V1x8YpAAS+6eOThNATa4VxoNyRh3KCWpDu5C3y8R69B/nFqNge5hXU7EpjIPXhdpu+tSLdT4zh9FcoxZ7Ph59Km2+1tDvSEe+LYDkEXFmZ3qQ0/6yv5tppknfjcswDOGV93bvANoIKvW7bBh0JslHOC2VXJ0WkxT2I2F8mY10DEFDQgG3LIui+uoNg0zgaiRSzMyo7UHZgOiLtvW3uZq1yKpBoY020qHRNSsP4pZoGc2MSQha+qyebLtOtFbnkJRrHjUTUSQBTguwKzOchu64vDY8QSkVWsWkubPAItwJPIouNHs5SvDNAjl+jsa3EQ+sZERfcnp9f4mj+y+AZVlm/5feQ2MBq8l2pycoiQ8jRRRZGabwYMxZQdnNZ9EsAwsIxF3M5cYyfZOxSe/6LDvyB3KYlqokZBeiuylzqAW5RxPpWLcX/NoblR8vvxjn/OsZm6r4IJaMGYSs74klOdZ7R/i4MK3WAmpx9po9l765nCxgCRrQI0l1DVE7NJMwStnwxcl/VTs7sP+Nc98AtMm9GINe4w7jB7+tzOJ8G0gSoT7cdp3EDP23xmcllIpXTIgVTkS1zarUK1tbdflVczz0Q1inRxMulBGOg/eGz5Wna64SX2lfOeIP2SsqrBwcrURa3X1mPKXBwietY9ahhXoVXia+0i5XyjrDVgpdGPrxc2xVIf8xcYx7B9byd6ohI3AK66y49jz8QAnZGTY9UElbRyL8TlAA9+g7EE8oZlTKmGPIB4C77G8HSEz9NsMANWnOlOieh7TJXn+gU4IHyP9UdHPx5yuN/NqqIWm3DNFdaosFabe6vejMsXAYdWtO31UrAS/XyCL9I7WonORCWP4p2NhUEKZY5OXNosJzmo+AVa5uWz9rjnFZ5Lm6hG2i4VeUgAJLjX2ZtYC0y9w4JZlGHSaY3fgf0XZXhwgLDlKLpo50kG4KDaLcIZa+8sZHtTvTfIDMv9Z3inhHHWcahLRdTCS3XDdlg39DfpvwQEjHrZ8xnLe05CuJTXK7EOBuMeSqBDuAe//JnjrUbgpgGZ6TXYTWenF5dieODAKIpHkcNgauF8JjpsG91g3ddolzbPDSi8RvUDccMxcE5tocQ3sTtWwpvs9Fb0mXYsdt6gX2mJbK3OBYejKHu5hV/qN130Nv4LU1H+Wx/FlEKQ81H6Wvn0Dg+OLsV76ukAKSPDiUqDCrHJgBQGIKaZT/k6zJVPWZ55xyhXNDvhD3HyZw8dnBj/tBFfusVXfLVd5ltGj6VIRZ6IatlEiz5SqTM0btbi7w3tvHWcrqzZFOa9/mxr0bQRzGZSoFbPzb4457UVju3VmfAg1B2pX40Nk/CaqvYWdSxJ9BBTKJg+CFl2lCfS5jZIybKbiQFFd9TS+gaFR3HoWON3F0d02E/0o0Y4K7ieD5xS5Y7fvaMrBYuqji96Dh/ksB7SeyBFL4d3iXE0G+KfY21yuIF9M9xTXHf0ia4pGfc+mFJ/PVxrKVlDvCEeo3CTk/dgAiu8RBRaCqbw3fgB7pzEckRrPQeHq66BUUXRwGag5HWz6gWTa6omD9T3tHBYG1J4Z4fnn/ZOYM8f/8KUDIvX/lkRBUj1g7M0lst2FjURWKvlygj9WK6O0Bo/icyYT1dNrhrRqYuU6focXy6XFh3MP+oJ7itrbSVPjqcLgZgaioACFYCPMaOUPHf4jBErd3WT44ns58ZvUC3SyN9DnXxtlThk+qJNJ1PjRedYFY0EZD3YRDOM/sziiB0bKVa5i0MFL0rCO+oodbx3otIh149KmqOcEmB0wZAl+k0bgSqUczXJvdbKYCotA6bSWrFjRXdgO1a0qo7hTlVY5ZKsxXvpXptYAcf1wuzbyVS7hxpPrpErJ+G8iLPXPJ8o/Ou80wltaJ1yEbgKI6GaqBA9GaLh9Je7bvmpHXwquZBtDpCB5aZDG7O5HvDqr6rd7Q04IRc1K6GMKG4m1Uq/mVepbrL4GJBDJ2LJDQs5SzYpaVKeguSLNOQg0GGrX+Yx7q+qsj2qp/VaZUUp3BjCMMhPHK1lRchXpB2xi4jymC/wb2qrueWVR+GmoPLeBLoB0fNLFLb49TvqaAS3kDPOOEp8dU7Zm8YbB8LiU0AVfPgBnR2+MTrgvvlkEiQPHM+xEwFd5DuUQ+8wQDpiY1kjurvJzTgOHhySg7yfgbqhmmNKEaQIxVCOZzDp/pfHXwVK5jxiclIuA9jiUUpZ1AF61PhKzqEKxg2gdYONglpxGnU7BORny7rAE6htqQkIvl0tvqbhfSPfeW8cUHgpw/OWEvDYkBHuJD00SMYoYKlrMr7jDmHj9T6T9TDLgekjmrJ+gUGEer7cQlRigpXQiuSrQ5kC1WqysHVDMfGLwX1MI5lCIG4uDnaal5cTah1Vk/ZRp2IfiUJNlRw1PRNEb0UUdRjUKLohbb/B6c27aj6bcXFHw4Ko7yJq1z/nuJyTyVw873Qkc4bD4wiPskDrqa484B2OU/OZZxxdnI1qUB5tWYoL/x7bGaF3ga3V2j8D9h8Nx2h2vFO5PBOuF6FqFIr0z6fDbG6agM4poO2dYkR7gYxegw0WyvVGnZpBUsjy5kfWWUvK+XOn8bRxjO4Y/UD9HmsggnAn2mD6CyWx9FuO+5cS0uazMYrB0Bmku/qi0SNCzBj9taiWcTZOCDqwbbZdzCgfw3aafBnjvUQ8OfokRi7bhXgcd4HW3o2DmCD3vaNSvtkwOQmT4OuYe9r3W7tcYEQD4cVr4MfRwvJ1G0m/sIJGDWS1kWlO2YJZEjHpzEO8fwYKb/H49rZuR2KWRloN1P6KLpnhNj2/bpYGD/TxPHkeKzCdckkYdCwso9fLCI3uakKDAhJGaPwOm9yjyFKUGpHLDGKZvtPvF7g+oFyVKyy7DrPUYX2ud2HbRYot5PQ0MZPvUI1/x++IEWQqt9VNqznWtk3aL6zTDLQqh5V2tPhQp957OP6n6ht1gYrer28okjP69Q2mNP1R/aENyu6vv6pd1WhIbuvHy0/HOAypeKK54+FPL3uA4ynh/vNToYwE+NHU8I12JMde3c0kpROrVkLRuu/sNiAo8dt3V++u4vEI67U8w+G1IIkCBMvEc5cergNT3/jqj776wzphqTxZdX8Iik0RXCFPedkEXY7fyz0X5Zr76CjVcJuoU4SE8zTKp5BuPGXP9Cr2DNWmvdYW0QoZrVVwNfQcRueKxYC1IzgNsUROGp6ArIHl/8sohi+ncvB4wV+u7BJjNVPI9sI/A2Thv4RfqWM8wrEV1go9bFXbkbKOcm94bHzoMvAVvbib9EtfXWTWdUVev2L5qnHGX3D5/tfy9ZvdUkN5fYjwQeGrb0FD81UN9u4G5dLpxazV3UfRJMQiDHS1y0BOJL7j27aqbbY366rf72O711auvf0j6gWvrDv20qHzkrrjqhgWXL18TH5OMVh78TcrFv9AapCw0n7FPufPYQevgRpfqEBBoJ5TZe3NqbM59Ti3nc0//XxC7c3JX7l3oHJxINqevpaoN3jckb6KvnmTboBv/fbJ79tV9DbysFupbZ+eCwaiPWV7t6Mwh1MC1pqyeNEBGxp4fa5Aw3CTr9qDLfzaBW1wO8Cj1Lb1IsOHBvnaCJXmSVJ8sDon/MRQOIhX/HsyA2I0//C9r07/BsuD1/7wfclCF1Y0d9OuwlvoqnU3zNbqZDqIJmgpxNPfnVJHwJ37n4BNP9GG+FRNJnsHsPSnZ9Joe3UacWtezjROflfRAjopvxW3Ue3zBe523Ni49X11cOirD+c+0wX3+mfc/rjnQeX6nlNA9h4l673g7QfkH6Fc4YALlDj/i7ZpDQ8TPQofexcgtKwHO3+OqU34CnxqXrvzjoaCGnETYewAsR7Ij4MRS+el9AYMU7kv2bVqXi+v5r2RL6sclIuFAcuX9xK2wG90bB/tnezplGkJzqNBzo7fekXH7Gcs+zUMs0E6tLycEthoNBxY03l1tjuYLpzxwLIB8yj2QOfWDpS68TfuUWJk0Lzki3w1ixjfKiJ8jbGu3g7HoxxEh3SpgDXLNHH0I39980M8/vLrG5uok6OS89grLMQMEy+lcNlvoqAFYr8zdD1BJelH62gOVvzBxppZK92E6XRdvdwOV2IZp6+SgAxAeByWHVNWBJ93WCZ2dRUx9k3Mlv5NMHwQwqJlLxUqOwonhnkQ+LIfHqI7ynQyoxIP/mB57MCTB5BHYi+NguZ+MB4CWQKsbcK/5QLYRPh8uu5wDlMNmz9E4R1cpf+CX+Eis7b4vPxS7paIPxlgmZe/V+LlH1Ruoiov/3tGSCb/h2lami9J0dEKsWi554p1B9dfpNFhSdZO2ShI7GQhlpkuHZCv95qUpJokMcrYA36bRGkqWWc0fY3ZL4DNhkHJ2+yiDYUs28yNUZor3KHr2yZ7vWT4Mj5OvnDSCO2gVM0zcX2ugMWHco8LmMQ83FEfoq/W586TF53/jDLCy9JH6WeszQvcEnwNctiAPX6HtdUT9qxvcKEdzZHj8XrmxawzWOQU+2xQYqtDjSjlgiNx+dxyOi+vB5VzRpkOr+paWJhjAG97YEhxrBeN5yDHsHx08fxo9/M9EwclrF/lmC8hEwnXkGWVtuCp81SFwmAe9RzvGyfq2oTknZIVK4S8PcX4QDcB5zWciMlMbMxTYS6bjYMM1Xwngr6rumfHjcO9i0ujX+hb3anLaRA56cmWXDUG80kzIHLGoD4+48D6CAPray3EZ9OU/frGiuFcBxTbmBK3UObuRgSadtx6f+XmZ6bSUPvIq8FY/WRG2QB7a7dsUrUSnH44QA0gFjasCeq7MrwlOVXO0Ai+CYxnlAXzq0mUravatqv8w1xo6yyEXRwK7lUI5Wfxq63rpbiIlxuJR4FwjTCTuubkT7klZMElhVY1EyHylwW4uOgBDKx7TM2onWmGbkrGGlyg+2mK+Nd7xd3T6kc8WB/kqPMJCYhrGMImlkbjd9jVEHHKqNLC9P47ujhtILQtuVJ8Jy9Y8pYMgD2rnTZhW14Pj0F5ZlX34hJasua/J1LumoFIerCjf2tNXxTPmujXuUckWd2A0NiRmhDRwhiLcp4GIWqgPm9FnzMiSaifozCdyoxsT86FVmvg8MGuvnhIWVtmyZwT4hbeZdAD5qyL6p4nT/E7tKu8x5w/oGexoy64+Mw5TJs0e7nA3V+0N6TXhskYpMetV69afLNH8XJGVDC1OKlUgnrnor3gQueLR7SPl9R8Ri9i5Ly7MNB2w3xsfdV8QCBPcMSP11Wcf7eRVM1QzQWVHFM2/5SWBy5gRcHU9jAGvZ2/0dMYF2ZH7SH4BBpCTcJ5mdI+xHNEjye3O331NzxP9q0BL4/LYNHJeGHA1ijh82eEfstoMp8odyx/OzpTDGGiJNiKPlu73wl2cOplDpbh5wu5Q6LGCp7xbc/JyWNbCJ6IKbJiYWwZeBUaPBFPzBWCxuaNdx87XrlxNME8NAH76DpH5TBOEAoTtCknYLPoXiy3Z1Zhpl1lmYPNRs574ST07+i179yYthToNSlvA5NWV4/yyaqBSWUXzHqYa4YpVJczvJjam63NVhtbfvQY3SpHZuJMDs8h1pqJieNfHCEXOnJM1VLYFXK8Tqhva6OT1tV3I+HRdDiejyiGxfGr7RLHRscCjHS7leZZVVBkoSSTwFe1PNQz4qNkT1e+6M6TWMP3aBGizpVaxzqDH2/CkVMrmoQCq4HE8wj1jmP6HXVw+GHv8/Gl7zSYkaEfHSidCJJh5IIczUCOTOB0JDwfTNVXNBA4jZXjJCKd4JU7uNI+A1sz9ryvDj4ea1j6XbBe7iIwuQnfUg+hqc7OTw8+7yPsPWGvOSJP56xyjaNK5lgFHiL40TCXv4CT3IR9P7sNpIA1lWGobZOFgCOZkwm3LcD4AUqFySylMBueaci73EnOiX6bfAmj2hWG5Qq2fUNOCgPzX0JJm3PEcGn0JVqcQfpFp78Q4JAjWvCZRxhb4ubCIB41StyOMg02Z/NkhjUu9Eppf0r4rKhnSMMgN/DGxrvLNjgMDdFilBHN1QuZ1NpJSW4g9KW521p7BhwJZuo6qfPNsHQrSeq0liM0F0JTpYA4W7SYqKZFzrbVo2ym+igBVVULlhZcgdsRgfzQMwp3YyOjuUm8Z18UH4P6prbJHHBvlcweUxNEN6XSkQsHVTxb9dMc7FkZrFtFUhivczEyNFIAeZa5nhpiphm1cmXOziG7fibGhi1uQolMPI/gi0H0bttfaIwqIzw5uCO3bSx5HTgiy6oBwZJJAdsMSFnDLlM6a5ByG/UFdd/wGIihvDDxhdHZ4cNnYC4BXuqCEJle2KXhFgybvB+HyQwn87GnBfZejstwpPFUqhnO+8DbPXU6zOraCigyOtsCTm93FGks2HgR9CLpzhumbgclgEua+PpaY5aDLUbEWEo63zCn+H0b0nycF2dr06AyS0+pgr0ZFHd3Ok/uKHQQuEiUJrWakvNzgouXyze2Baalc0kjV50UzgZOukcsuVKwxg4IXLmi5Jzetud0y35s246bW5Wnd1VUWxJVQXlCmXkXBcD0EbBl7fD8jPXNxjvrmhEnHNmxfKHvNnhX6RDYIneeaxVNn+fyvnWsDhwRdSPEUdLQjEmeT/vbanGy3paDOyjcq72IJLtQlcIBj7Rb1UhjPGTkFiAFKWgod+TuVDvzGTn7W0sfzVU1fabUvaJ3y92sriAlvpSCWBBru2Jcol9HDFNy16hamadHPFC6jCRtpryY9cKZRsxqD594ZEuwZW45WAxuTYDkdjMsJTDPhyIL/TzRfeXR3999dfLELBQNpzg2HO3babxWWKilK6Svq2l9ui78Q9MEAjqUS4Vyi/QRb1h9meQkz88nBHsw4lG7PJH5PXGTh18JPGHRU47Enc9GiGIBA8Fm0kz0yHArbek+gfDkRcSRk8NJYzEbUpzSy5Je211JgbZmAazIfDqOvoTFhXuSe2KwuiiRXcb+qQNHQGhHELWIlk7QWXCVPtIL/BkS4zqeJ/T4HS3d/Oqx+XpgxBR4hmDgGA8C8a04Tghb+ON4nPSlxBXybAQIIax05+07tKTC6I0xHPtjI3EL24BL5haGuiNMIc61jLoOwN3kCMR7ZCZ8ne68ffHDZ7xIfjsjmGwRZMjZC/IcNJnRHapoozoVPpSS0l1RQzis4uXNZGhC+gK5P7SkKdt3ZuHWWTezNGC3l67Duh7vrcoNgKUcO+oLVdudwdGEekNTfQDZD1vwRwwm+yZ5zGeMvfDeZ6hti3ey/OzUVzzVEtZjia8xhh3KmAg+ESUhWZ2MXUwTQsgI3VuXzJj/6PSx+Tv2cKIH7IJ2vNH/o2Rd/EdnawOkTs16gQgDQM5HZ3JkDqV5kI5P9hf2GrgnGjtkpiHWaAlcCJZB6FZlTn07+XaCOW5FUXP5YGKViQtEx9i81r2JvWbGsjuajiIwZsgaUIhjMLMRefH1GBNOhLAoAtq3xsUmJGC5HbbBB/WIDBQule+ouNRb6hYTillXUd5DtOR5GGWlgTb6HE24GmozLsj4CPKIDxnU/ApPJKKoJjEb7hueoZxjemmWMKQBtmj5rZb8v9PbGPQNuZz72i31R1n6ZcttQlW84tvO/+BelFafQekRmvSBFaUkcWBZjJYQpk0oI/Cmi3gSsqlwTxVlSTy9MdPaNJVppjQLPaw6oIPD069YproPBr582JIP3RJo9W7HKu4Wo6JbWfvYrsocW4oUgqApIMblr0eVcf2MtWIAzkukhgW/YZQ48704WKT773J0E65qN9o6czSW1yZhowTJBPj/zP3F+J/4TtkDKQNNYwSPH/iNe7ilWLWC4TTGG5JTpG6LF0laUr2rry6Drypycq/K41TaNs3lv5nHkdwggQHc+QEtxkV6TON7z7EedlX6RTxZ7FeBN138cHR2dnig1XBdJ1oMhzFF8/EwYB3EMANd+qLV3nYDnwsj0f3T0Xl2Fd4GmG5C5eYCt/IUzbFTlSYnc1C1cxYw34jKzgXyH6jGsiJabKtln9zFCgtKlPCK9g/Tcp4f7h38gl0yhOKEGyflKlMGNcHWhJpr5WBhF2U5jBwuGoMfAy+Q5GLThFXyPLRFLnApdqU21iQJRlGAJVQ3Mfs2EMF+HDYYe8eajAzTLydJWJrJYPET5B7uwXKDiw+mDwyNpquPGnHuUyKIQK0iq+t1ZJM3T1giZlOTkuhrKGgjtZpOFsGlclblE1I1Sm1dgNzSlMMXOtHnGAbMZ9xT5oyF4qlycOxgPdBLZbycHecULBCHIbCZNqXcZgvZLZ12zeQLRa7aGNH5ZJg+S6iUfPlDCHbrj1EawT8cjPUk3YsXKV+9jPYO4WBwrwPC9cMX8LWIyQ8kEkEsyhbjQOdWpnRVih50EUzccmghXjMd6fWiNghg0LIK4zyA66bzJV/XXHAirjxNdxagCw5AgyMI00f5jmFnXgrjunuSrKvKZjzU5s6OcrC4SINhvHNgHs/kzn2rI80hE8mrv0h3xRITgXJscZDqkbcXPB25UQ8xgS416pj+WgfH2PLLRwO45lCKzEQCmB9sc5a1QJx2C4hVk6VgVe7jsVHdiMFWcgmX4qJLAjL2Aym0LlXcH5k9BYCxJeE+0t1aKShbKCiBXnLMnaSERKd7p04kiEm12PAK1GJSUWKYQN4X57UywleTqbSY8dvdXDHjt1uZNt+pSnvEIRj4ar3iZndwUgcCWvuUyXUVJL4OB1DGR70a4uMnavLBgYG1Gs5i5rkZB4cXmdyM5xJE2PiyjNKCl8TfoaQtzG9D2JSVXYTnw532EM+9O0ZdC0d/9qTt3gIgG37Pt5fxrxQm57l/7NJaK7DSPN3EUhhd0wCPL92PNG8ej0CorUcDsGJFgd0t7lrK57TNIWyCibHPF2FEmEo4QA4ryqGleaaGtQXjCxgZnuF86yGN9AAv3wlGk2haN22EnHWXHDodLYL9JZ7KXJcRHh+TBdQBGUTA0aUxY2ISrh8LoAOeKqoCWZBkXKYhh9H2quBN3W0N3gSfVgJvggsrN25VzucPkhu9A++IqA3sdTycp2g/XXEln6+oHtTdoVRV/1JFLuZFyBg2BZ2Uh1S3R5rDwOiinVzDTyo7ljxg31QR+tLvHkEbpIoNMcqxWMs3hSu+1Kf4Jr+Zy14j9NxQzQ1LarOjUqtma1sAt9ZKd+0yVXXYEZkEz2f1/hS0FgKrsVFPjtPmeORUED2di4SP+bH6SW61C581aNrTiGgvOKnw1EAJNzKKG1iBaPoknakq8fG97XeNMkzvWwsSGblTfpS3ntFjnCSGHYhuvj7TrbPu4Z0mGJyQaeBZhEqganlLIZzRI/CfjE4IrxCIYUf3FYtE848r0hzSwCgmczAKKHSKQfGMBsPKvG4EU6rJVPY6AhG1EjxnRcdybS1tL21DUS7DypSP7UrUuaoeMJfsPyTjg806bOM5Hw4p35PKYwJueY/BmVBrbvVH2e7M0PlpTMcAVITc7GnPJje3IqURT01fWURq6hNPSROMFIfXcY+zSRqO70JJozP5Q/xAzjhBUUY5QLIag7qGEOSe6nbm1N9tnogTneA3Riv5W1E/ZbBn1H4TAk+CYXy8vOTQJraz05XfFJynRVrGnkwbArWWiSBJ2JViiYIJCvbzxAmhjPRtoFtgwNYhE53FKIWvkCCdljI8OnAseoci7mFDZRbLVXyPXWuOI1xEBt9XRcbFvTFYsUVL99FSvNagDHCPa+EtAAYqSII7XCPRQPkfBEtDW8Lucz9nwBCQLeiUk/prSWeWUzZx39pIzgCxOxFIQXIX04FNfuAGH22gNMJz+fDtnh0jhPp8pgFLHQHmlRaM0FX2z9zs5Xgy9yE1jJBdGLj//BEvE7g/OQjzZkncoebZyzlMcqda2Xni7NiVEdkHZdh0BZY7D69B0ty+iNujrFIIpIfbwNSplKLGpRQjJdejPmI5JxM9BKDH3ztdLqjUCElmBVQ0Ei9UWnIZurtpbpKu1piEQTrnGvlZgGHWcQHM6Cl07VbQdUnDe5fOtqOYpvPlMzrGYoTf687G5TXkujqOjgmq2RpykZwBZjSdSLzfQin6d34xReXeb7/95jml5c6C2ooJ3VFWOooLghgel1x94vRuNiXwfyf4qExSganBjG66rhiBK451jqjt7u5dnJ3D5vtwdHh84EkRGefkcMzMon95XAju6FM/fWSBrHvCYxd43odkznPzMaeyz+k5X+yqK8PK92elYS9LTOw8hdl6Fcz2QfrD16g0Tnfkyccm6ZJ1mK1kV9NrdtTelEC0Kaylq/EE3lrX5PGf4k+BB8JNbFNlRNOmVNFhAwpppkF5NfmHWS8MipPFQlY/9zJhzqlAFZgmHcN4chVNtTe/8Ap7jznXuG2S+Mo7mpc51R4VP0rsSYlNdKcGiVdmulzOZPsRkZBcFYQyzZSQSkuIk5tr451qSa9sUw/5rW1Mgs7QlTcpE4an3SmdJ9HmNhrJHLnR07oStF/B1PvSi6uGa9PEtyI+sng5ZugdcNGVc8yuFYAXYHXdEcx23XL6fsl225MqZrN6QwKwkCRlM2rxwsPQp1Ud7XWphdFiKHqQZsXm09ScrJ6ru+deNHu5knG+mFJSCOZXnqL13k6XmhRSRjcNIOKk9frjg0zhHiHPQnicTmGT1EkJlJjvKQYpPnyXMno0eXMUW5D33fqTdJ7NCs46IFjVB6Qet5dvus3pX4uTnFfALvyik5HJb0Y97227e5fME5O1QQlkqDClFOLkAKO7PJpbiPh6kliRl8RUiW38Ae5Q2gST3jTvJix2jUOb0RG2yyV3YOnmmAFtxrV3/6BijQ4JNxKGevEj2qVaWGH+QkWM7hlKVCBdyDExJh7Nh6EG1BFXBBYpSy7ajm7nTl2t5iBD3VgtF8WGqD5J9kxA3Xl21Ofz41y28L7pxkvzvb+NUGukYugiGgJfsjFM77iMksQAt0SnXDmKJutcHbQWwjSNbCdGoSiOVYqAaPTOoGtpMmzOgavSJrxkI0vrpPRgihEmN1C2tsHq0C3byV5X/0DZ4uEVHpw/HTmS0rggsMSlEU/juXT9G+mu8SURbzWaJ9onh8zmL2YAYUARYUUJ/PvagTl9C8NoqL9Q74j0bj8cj2t1nXK2uSzlbPMpHLxVwcEYofjJbd73fJZ9FIphOQoD3eKkwDi9RljXmZq8KT7KTJIoqsgEPZNrcRyoiy/RzIkHuU9cbA3PN+lDUrXy8Ac/lcAf2KHvFhV2UyxYszb9sms2vHphhuhIkyliqenCzHBeqHfxJd+oa5MbpZFK8J6FbieemVxxJFga52TNrSstt6us+Ke0m7984U7zYFrrTvAWcRyYApuIm8OLkkEwPZxbHujwokgX08dTIyeHqTSQedDd5VWNetNze3JJTISTiXP50tLu9ai5Ttc+okra0g+e25b+Rbf+yzejb1a2oi9tQH8W3KzegL7d6Lj2yAt3oR+UdqEfPNqF/t5xai40ol/woT5jwYoN3x1hbXu+5zrMS894d4SYeJcE43pZJ3r3upWa0d+7btHlw1tsO+/cuPb+qnJNut3mkTVRq22yzfVafZWdXuMc7LH94rEB9fuHt+hnq5sm5uIjekjN76aQX1CK5Gtyk0hvazEezZnh9Ngu760dUl2Gm3tk+tNLsADsfGd83+Dngyjh9Me3B4cX+9Iw2l6H4yxct4eXEdw8dfGWoD6REjMDE92KO75Cddi0SLIiwrYqzuFq4ItBbUtGnGPaIEdg2oCN1eA0D5sAXWInahtw80k2YLvKP7tCu29QUHTD78ft/ddu822zOtGgk6ghJolyz+9Cp28NkMWOHAOTVXc4TpJ18z2XKfSvW3cTCFXuco6XURVqW8o4WCfKVeLkyrZvqdeGzp6Cj+R5Xkjzy/UvOB1h9bGtXdW9iwjEhnp2lTSBMJVR7t5wiYeEa5YTLUeuxbU1DnNm9XxbEqc7OI2IWzM43SO4qQLVImtiDihWadDqxL9IFXm6L94wF7ffWrWjHFwpSUn4abWOclutqqBlu8r5vFLnbiMaXql5N7m5uCeueWlqk4/dxn3hXTh1m/qmBoVQA6d1Ta4bsjEn+r1cT21G0ELfnJczswTWLZIXbSyvXSs2yba13zIRnZ8n1fIyKyqC9vPYJexh9p1m3KEz0oVgODxktWB4r1vJV/1qm0Y3aBV7zCmmWOafW5d/MlPSIwUE5Jx0s+oDja53FX9lxGNxnFsnnQBokTkjCGsYzOZTzWRkeqmBZ7IalhURtnSzYFR2SixKw40FWX2DGW2ciFHSkbpYT6XZhrsbU1+qhtkTZpNo1US3iwlc/cWCoY3C/GZqL4dazi+rJnzxxew9uLzc2/+oi4TgZD6g15iXcIE/lXHzM3nHp5Iny8ryakthXBjSsM9WyzFsWsmuaK+6K9qVu2Jz9V1R7J39UnuhgO7poHnqXCQqsrgvuF+YP7mRr+Ao2A5lHJV4rAPZ4221A6U9BqxDLBY6/1Q6HIGHGNkuZ6Vjtw6bBuvVZuQ+SQK39mxXlBGjhumRGWj+R31TZkAgikm/lVj6xQx9nZL+eXS8vlk1WJ2DFhtfv4I8tV2l835HxvM5YgQwdu8jwKHjZ2vbnEi4/YFbLVMPZKzWCpd1jb53na7Sr7ikWbTd1/p5qrakiTQbxPVVukjTGvOU5V2vMs8o89Xi1Lj7sR610TEZvyVXw0WK9XlHOetks6CDBwlC0vOLvafzYCc8cLmUn/QkO20VL3qzuGlJGu3kYrJLQYEfK9A+097xtXwFutjKLwNK8p/VkpB6LpGX1YpQV2QaB4QdA97Q6fd96duUqkWzStsikr5haFVjZgw0BjvCeTLxDBlVDcQTaYdwgSjbDLl8ZsGrpFrcwormXBWVXSTvbxe6SOJuqucbUD2NJLZrGVD+u6t3X/Pd9Z7SodBptEe1A47BZ9p3rSuzt5+xCwx2r4XIKWlysx7rl8RIj9GH384h82L38MeQswm7hvqPCcPbOkWynLF1sQScKY93MsuwiSGXW+HrOjkQSf1YnSSBLPn5QjccdDrjFbqnwQYT5N/YYBozxCFWPecmglfkppLGutZZ92I0OoHFsijt/S5b4AlkY1IZEhXgdnTSPOU2HR8fnZweXdhukTIOMfUYOtdtLvdsDHHT5Jd2svKisVfepTMPwTXYXhZz3S5RkyudEp3WMzZMOVz542GatU+KAgS9xFk/HB4c/uwrDbaJuI4G1YndGCVF3qZYuCmZ8WHTwLRplLWp4VNuxpnNYbsxujqhFuPmY+BQdFqhKWvKwceoNhA2kbyo4STgO+XbZqBwDVpOkrojWf4cNRI8KuNG4SstAJWUKaAD5eT08u8Xn8/OTs8v0bwLbyNC6Xd6qQsrdpZvLsGQfxrNGJtuVw9OvxkGP72OVTTUwAEHUr6gh2FMTbSGKKLp/Xh4fvThaH8PkYRxQspO6MPpubr8CFt0//TzyeX5Lx6XHJCgC0hsuS0LNLCdWy0vXsD2kg201TZOv/aKTr+eBc3ZqrRIO+1nbDVJYNTw+Nr5BP8ySF6TyrlfaevJy0uQ843DzMUu87TnzQ1PUroKJ6VRYo2B84I1i8dzvJGVc56P08uhCNzr1OKLP0mjWphqsUL1vjZUxFn4SXgDHSzRuKKU/SqEl5KdTM18FjF1TI7qEmidXJm9Nbf5buPAWULhUgI7ZFogTo4ypcTQKFuoOT+LEmuqaJ2qaGVJXdurlKwVZ++RVyYSkeKIbG77WawyXVIANXeRR91i8nyF2eM1Yeza8MW29d3AEhuIPieMOKWWOVu9un5tsXSNotoLJMmTwi+pZSsbQ77ATSbBk1qLbbZKS762lpZ8ESYBWvCYEPeahVz5Eiiu+bWVt4kG3cQfdEedqzimbmcldVfaZ2ScJ1zwSHU5O7nqnyQcRjP26moABQs21+uVH/DmsVzooztgaA8l9WowMCq68Y9JNyrUgbnTKVaCXZY8T2eNRYzLydav9OgyZ0EDb/B1FBJZln0ygosiJU5SUszqNpqTzqRqRCWHPKycCPBdr8fneUl1Ivy0ouu596aKVTsVrPrKpWJUUcAtg2xGWb5IiHVJTjW7JtHPXVBo1ZGT+MgkV/0kpOwXOWMFQDJKrUu57CXiUsbKMxvIK1E46Vr7AJadlMa6sJLYDexrh/BfkmiYfaL8kXWlSbdiiS5029MHstZ06XyuFX2xWRsYiQaUQSAasuCm/jKVakvWmU1DMMwnTtVBKGnWPiZJN8IpinyOSdFim+a23Fo0kCgUrHKDi1oK4Le69I0baWBXoZr3HsY5DRP0vcPXM6ftT82jDjOSMUp+hDQEWz+lNHopvSlprVoUGPz7r29+++033V718cI3Tm4uJQTO78//fLtADzrzzg8vD8HQuQ8eMHtMVnRCIiBX+kehr+9YzL0zNX0yBHgxEADdWTa3GviPb/qj2/Z32Tz/iLMk56WujqsvFoPwsrF5Vn4ewDQxIZfT3+3Z0LGNANxYySPjkeAPjeqn21CUHzMGMEzD8TWiyH1JHc/2P+ajG9OiUwvWKGWRuvGUHdqr2KH7GpiN0gZqh6TryunQNNHG+ivm8BpZp3O+3THAsfTph+NOb5PofvnxfavVcgpQUkTy1Kg7Zew6pCYwYXJCkInyBvcFS56vWxqbcKsN54h/yiy1L1yCBhWpKQ2MzecuEiRO8gyGzsurdyNFCEuG6xeTvn0Z/K7pxizzWjbwhV0hLPDorrDkfCuPX9ghG9ynTtqwBqnD7U9i3H4F4xIq/2Lnu9csZpDXeQ58ra0b0Etdcc+6J+1mBTly+YM1jkHtma513B4N1DfDh4jRdMNNI+Pp62QMkgHMloRtRPHUkekwiu2lKYeLTaQz/V3d89MJO+gUu3rp61TtgvcFZXLUF98eTtQoSG/D1GCC8sGuQwCm5nCxtAC3/b1GUWjnzwhC0+kUzw2TFkCBoBrPUVra2WkUSOELpPESWvgO2PE6BEiDaZSR4brDqQYOCJDSJzmclt815TMce+++iyY3Kk2Gb79ieA6RUPBAfefJwvCMvLcffzk7PD8+OvmhBr/WPUlV1ImK2qJDjvRN4qZxMJjkTrZuJG7cQD0b347GDQ1IgbHPmPdch2N1i/BrOJwXA2VwmiO/Ir4VGY6EjWqSO32Eiw10a0s6uKgMj/V/Yzo+SdYNqiwdxBwcCoo1kaApHoz6ayRL0BusHBO65pJtRK1BdFm0Rs71EeG5LjMnfUZJ3ybu4/Y4nLbkr/DIaWUZyPKc/1j2amzPJt/9FGCWNJxMwU1cd7rVOcb2n8l+nnAqGeeYgc42Ck1eWQC6wtBk6vwAp6jbQpdQIMdS0i8D4xUxeRYmE4h/Hi0deCEXiAnPZP4O99u7ZUTdFS+ifdVnTuZxlINlb1tK2NKbXo22PDOiblPxOHb5T5tXskje2sHhMZgbrl3b7JnmPk/Zy4LxmDgbDITleKREEWetcrTmvt5aQYeRUIXb8fZVUkSswKeyG5L4jZw2SpGzOeVjelbPtDpxedtcFui6dS0f1eVdc8u7WHuMgRjQ0YJuKPmCoe7c50h6aYour7qG8MCYzSyJYRsMTaskm3HBHUTKw+wUkJzNxhEnPUUMsMf84JyebpSapD0XGHf6LTlWIzQBroNETdCvbxzbsNHz/mvBXtSBbJoBHLWwhcLQZnAEWNMeSbDNcAXFHaWfc154lkdLAvY2m/udppbcUIywjq4IQYE6AQjCjRhOAvimx9ovd4S+Bj+ssqyM+kHlfOUrW0EB7dYm/PNC7Yeu96T3uIOvGrSTyICsTHEozkCiyjaXW9A7kbkWWb/VGLocJs18ewZFz20QTY6inHeMsz6BBDn/EYdTO/oRQh7q6bwLQ+xsb9uWbAapGtuuWA/4VndZjLcjnuCtrnYJb5qob2fVqG/fRn2dAHC30i+8XSFVD63fzWmeavxwS4MYz7FzHF+f1vdLnEIPIXXsMYqrcRXyjSv6kYiUhH6jM5ItCiwjQug0C3ZTCnrrFTb6mJpWiFh+i81RbuZRyql2jAuh46AYm8oFQh6bkKTv8GA4wVqPiAI12O52TJuDHr7scQVnpSQlUK9cTaqlLnB3BR4ban504jjPjW63uC42Yxgdo+ua8CX121v/loitBfelCIEEr+6xoNNgZOoSk/mMQDqSkHrCD0W0wqERBsabT1n5+sjgFEiNdKdhrHRdBwY9pC8rI6xezznLnuQzIl9z3J6GKE+Ut0h7B650EXznKMsfUY+GVY2DZuo07aYk13lC1eZ8+DUcrFQpOM8PdSkHoqAOxmlY9iApUFyYth6+BNR2NbujEHaiigvLsA4PbpeGf7cfDf86AcnXRfL8DEQrIAczuFcJqKgNCWufizNMDdMQca9wbBN+B6wz42Lh0Jjo28vTtxjrxQ3F7qVpdCO9fAj8WrcTwfRk45q1pX5YbxV/cZqbsCoazEcCAq6R7z0BaMDEl9wbPwVTHIX7MnyIM47PF4fn+fez1YkvphRI0pjJG7KMBASztQyEubcqCHPvcRDm7dJQ7vbvGcp1Q6uuZ5uQ/ptIY9uSiNcIzwXpF9+xEYcCFqjmF1vs6b6IHusXnmleM5M6/mh6F9GS4MFNWrkb8tUvXXu/dysILwFaHGsOFB//eDVsUCcSql8MduAkmMb/kHgnpqDxQIphzzGajJ8+H18eXXw8Ots4Pt3fO/bqS4KhtASyxzx2BaRLQqDcx0PwBQIT1cc98yV8ADsBdpWkC5nyy2FMlYbo/BPPsLPQsscGy8WMzNjpbKXfyqdF9kAwUogVP7abduBuWioj/PzL6fdHJwdHe55U/NJzBy3s4PmwnI46pqqLP2huFmmUd8UKIKO++swb</t>
        </is>
      </c>
    </row>
    <row r="3">
      <c r="A3" t="inlineStr">
        <is>
          <t>aDTSlnRqPDySGZWuBDsq4mRQKU56VeIEu73okCZCVybxmNA90cn8iqFM91V7B5+OTuBfEtNNdXl4sndCcLf8AzMpKaOsnIAkUtTjhq8soIY6gHvlgU587Vt6tGYveQ5YdfQb/+nn9kUzvyt4ZPoG+svnIdLwcogs6DFr8EnJNZZ27rk9tbbk6lesseR6MgUd94heWp3j+1JRaomq8mblxFwsqHqbJfPQWGRylIB6ogvZU6chj4s0hbdgeJ+fyhAkkgSbgDwUbFzOFHvkzb67WS1YMPp56AceBuiVC++KsrWXZrNiaY7oTKNB/R6hWed1xdCs+NJzV+jNImENluaIMjOJR8GYqLqrfnZ7POkq9bUJNqgg2FLwl8/mXD5kMY6STcMLa0iQ143ifjYn9CSexlQROPL1GfjL6WepgBdfJ6qn4aiBEPXSRckZuMY00SV8CP3VAM5krRb90R6B22NL4rqBg5FXIfv6OTyXwIYoiz78UYSZHnj84VLv6NGxgMMLRaG3NbdFvFq6Ep15Y4JTipObxn00Cj1nBIJ3iWCm4vLhu2qMHFn3CtBZBK2ak5nIopa+OWKuQL4F2jm3Ce083v9eLp5rzpqdAhk0DfyFmfguxgdY2QhygwCv626IrcoDXK+leqc+RniegN4n5lMCFKnAXH0e1IC3Z19Eqt13Wk19xz6pMKI8Li3grMLJpNVcyN2EpYqQ0kDxDql+IJnCKBgkqdPbeSYpnsgWetJY1G3UOesRIHweWTYutya+5awbrSv2OzpPF5uX2gcKAxg35RNH7Yt0PESg01CQSQTHg3Bmqa1UoSOdfr2slcs4RzpDG336wfSBnUXY/PCWlAyjLfY7G09hsu2nMFluJ7wOc8mB4+U3HVLZrLABNMWgUIOCQt6+xs5Brz6FoNXVOJh+YbRQOMvrHvXNlgi7BecSiGKTDhNMbc7KOTGKIFngBeRXMyX3jIJoS4R2zDDwV2C+KQYPL21w6yGeKwxukAEgXgp82tSTh20Yn6Bbpi/qNwtVrMzF9GnHQc68uKA4SdibEPipM5uOenAeZS76Tt7AhtKRcUPqsiKk8mAavoZUh9R5G0+Ag6OELSlar02IfXSZWdCUr5U8dPmScZbRKCToH/S7S14jeaipmNKA5IBSOL+5wS7oJBYQ85lU0YoswvpjWRrGTE1lqzBIwx2yCdky4htzkh7Fq4nYZIXNf8oo0YLZA+9jnM/xw4a6dHJPONonf9HRayUNN0eWI14y9qV6Eh3EKD5kWAhAfRWNEbXOkqX+FKFS4sR/RKjQqc1RwCqrcyWhIpjUC4cWry5amtp89EXXqWErz1jyhATRuqgMWWV5hefkDqRdxl+UmpSF5+YTMTKd2LMjrTOoDng6oipYjps6TOKlho9q5n1PW6r2k5aKkORRamNHb1UjtwmOCSFPXkLbKF87wQTmOOXUoNwigchxQB6B4IquWbZu+hk5VWGxRThpkjAhPcdGwuD5ER8l5qT3dpe+cGFBxxGH+VE4UNpMKC9xVnLt9es8Zf0c/VT6lBTCvS93jhfWqWDyeFRpzgtnEsMNw8tuYnWmXSf3vKGjr7tMymnjAKzmkIuLHCL6qG/ckOliBrZrriz1SMpzjYFgLAKyisU0+gWOeti3XubGOx5QH6WTXDZtA3PLgK0pUsRP3PDMxB291KGm5d4cWVSNuEmeXBKp6K+Kd9ZvV7kW291VAmQEBE0oIkl4JyjVr8NrFnc6jyXe1GEJGsEi4HYeCFdDbpvg1rIn7uKX7GgSmHNse2khnPqt9YG2McLMfqpVMLY7/SfJiiqPsDHDT3Jm+MkqCNvrrt2jpv8yV6qDvG2Dxib4Yty1lXDa+TdKKyXjKlzuyi2+dE0Lv92vjPgN6dzLmZ6mO8Sr5DxwlJWaqdhDN9evT7IhSU0hiHptmbLhbWxTbV4vj+3osB5nvN4bp6zHE+afRxiP8OoOXqqkKHAeDTUSsai9OaNeshBR4MurZCwEzu0EgrEJiX4fPh95JuTMS8636i/L8eqbjK7+ihldfSeNq18paZ/gRWZQhhrnGRab8k5H9VcBlpKsRnHA7Vs8afbBurBRjEk+duqzcd3peKayMo7EMHwjikYTp1kKyVHT6tp0ZKCsEwvCtMEhzwC2/xhvDbXm5TzCbVyzzHLDC4Q3CgmS2mKaiYaoK5V9DZ3Jd9Fb2erHekl06YKFdsOvH4V37AQN0HXpjlByTudU7KHrhHBneZcEp6Ar2adhOCIIVsyHBaNAB0G36vnRj7SuGen2xrLh9FToMsahkGxSciaazO7+I1BZh3rcWCX8lmdhxa9Auu1qDmHU2MoqPTINxW6n47HALVx5ZFgDG+eVIWWA4K5gFN9ddw2eoenNEWQgRyOYNmhmHqWBMmSRyY5oaHHWQwyA5b2OzWiotdtViD0zwaJv5FjUZnPrxXS0wc6g66SlankIQ+q5Ng3pt5Ijh3dxT01qmDvmQnO69OPlp2Nf/frGwfT7LkLIvejdr2/+En4NJrNxuDGMJ1w6AKtTLnhlJ7H3weeMLl9SRNgnzUVNFtTbemkcoG/rvXU3Fo10P5498J/4pAMn6EtTNUnMU4STA0YepwynpXHOCHWA08clLYGAs+zWjtJ0bph9q7dM5veMzC/FcdgsidZvGZnfb1nx39Mf252u+djLHwqbJYdCVaTsVXIkS4R/ObBMaS7ggmfUY2cG+WZ93gD3SYQyjGUzowY+BnzD79LgW/k8e46BVclJfoKVutpWJbDiiaSsTIw80FncW7aR7fKG5jmAn4Uj6JG56ftM//NRoaRS+DU3NCexk3y5nrsgfAMWOMr+8dWCClTO6t1Ve6u1W2Vpk+wH/PenTeIx8iJpkyDpEGFYex/wQPdQXWS15i4K1MVfj+HbEeE7uCmUDpqNHg39uwyap4ByY/rPYniV3RSIQpmCiooxA4FWpUxGivYvHRQuMe68GydzfVuE12Ln46esfqdi9X/nnuV8LjMN1mpazjECt3X5Y6/gsjr7Dr/4EJMOuS59u1X0pXFw8x0XY5l00IUWqS9Xvq4nuKOTuE6BCNSxrKkesOpLFPumugynAXqqNT5CXV+hs8D2kKDI1HL7lPAoGEQM9oZJrXAmxRVZ8JQmKHCmEQ4mrIPyDGLUFxPdl0w3H1V96veQ6O6deXgyXQ7HPe/EUjFpCC8/Q4wOFAdLZUoyTBnAulzTq9yVIjsoM58QsbiwOTFI4tYd+uIOB3jlHr7yUF55kHsluhLuqatwbK00DTknePguZhAXQ5Jx5pl5eW43Zg6nyNOdh+JS68hrI0cIX5MhTuw7112MfsVi7OEJPuEySBFFeYM5HKchU6TG6aSsXusDnt3X5Jipv5qDiF+cOMmjYqCBqYDdnHDYqQmx4t7V8tb1VUiQ0rXtKA5zH+sKSbvFa26srV5wDnCaeNLAxcllG8mj3XtZKSzE6jxfg0dVRP6WTlxyQN037erJPmK8cuMCO00QOWl91yRuVU1mMego01glLrWqk7JfWg3T/5+h1mEyLeZ9g5xMbTZETm8iVCBJlcHcjfQWbFZQuoC+n+bjLELbgAyEFOEm4/mMK6vu8doo0+RPpZzQqo/Ylobfq7N69UAew1p0IQ1zYzfb/XcZ/MXh5eXRyfcX6p3S0+Ar4BRHpTa4EuPDm+jXNDCfOvPMWcmdp822zRdvw7xSDSbN862vzXydCubTE2AFvkZkAHKgJg//mLWgw3UYj8fBrNDNbBrcRTfGHaF58wLU7DVzbkMqleaBuAywo06Tm2AKJGKf7D4jWqfqG0pQj4aoJxxxPRYns/jqGKeJV4zi4ZygIiTXEb4KxmGSyS03Cd0Cf108pBnCV1JwF1M4vkFXoxHBZOFocxLTa0TrKYKEGnRjw9a04tgX3PA1as5zx4nDxMX667uEPYi6l68uPnUpU/s3UoMYoNunJkmwymQT41oNx3Myvd3NyRpoYW7evv4mzfFfxhDkqfesNsb90pKkfllJknl9Ia9/sRLpGRztDecZHEBgPFLnz9SwNM53n37DVfkYY8DhIRWHdUStQGGttUdjGRYjT8FgHOZQGFm4wGRU7WvdAo06GHDXc1isnCYorfuKtTy6ZEpDbAaYB2cT0fY/X55++ABWO3U8ETRG0hcUhpEipbCLL5Xv+PQMUGDqHCxkslRQZeXZb2xs/PrGK0JKsab6QNW9S1Cj4C6qzh7exotuWVOsTZBbBv2pBPNJw0HJ3j5Mh27hBTUfIK+RrAF6yWAr0RZaQMvDq52Ge2bD4cGxK3V7yCFcOuXGYq7i0YNBwmEChyPMdgsyyckNsA3cOLpCUwxLSAgEQw8xRe6Lpu5LN56y/XoV2+97Z9iieEQiR6oPl3W1b5af9NJ8kR1wQYPW1VUfgMVJE3CoLAqBSD8t9YBfMxSvLPDR8J3F0TTTteiqqYVME4NX8KQstAjP+AhmLHd96filR+FZE1tA59wUuj1+gPvqpa+bT79MUZ8o+ZlhFcbk0gsNIMum9HxYVwL3K1jAGms6s4OhJRyWMPTQ8ulVDDJYSnyrLIZ+9cLxFiSh490OyWy0X3CjaDNu/IoPagqxMbY/0tpgPY3mCSumrAaIAOPbiUass451taPmgMJQHxkjsIcsb/lAZXzr5l5UVVecFWqPOTGitm+d6OfkRMd/0YP+qHttbUAqOpuKQ6mdYDY7jSff9nLqBLOkdlpXIWlUIV0Gn1B8ni9neoZfZ5GG6dGBNoyoSm74nhOOG8azyLRn5FDCIwHRZr8p8QZCR9dRcTepk14N/2SIbEjxWPmKQeFAitwHclhzxga8jpuEom88xKZGEkX0StAsdnWNGidtSe76rrLP0lBpZYMvjpowC3CIZKUzbN06XNhrlxnXvfb/DONaFHJcdoJVwO52JkbimAqFQMV+PJ0inNO3HBl94BArtkxqqg/h6PArFftiByXdwag2073ovtU4yus1/CB6diro+TtHIXT7MTPbxTgBeeyfERygaXcrpn0xn0yCBGuAKR5yTmiDVDwUzXz1earD2E5nQIunobN65Iv6KzHe+eHewS/q8lQhZoHqwsZzHbvsT/xRh9vJDpGslJ6TGvH5hNs6HR6ojnqrOD4rQPTfOhPdpbKalBt53t9GYz54/rpncnMj2z6cUkiP9y4/nJ5/Unv71BTqgvrCHR8dnlzar3rcUXqsG+Gi9j70bZou+vnWXuNe1RpLGwEZ/x8Yn8IvqdZ60c4A/LAwp7676TQU6r4OR+FXypphITDotfqbbfjfrvIGvc37Vt/DOsp7Y3nBlSg04LefWn24SLJT6BGyUKYbtMwYrgJ9gK7omLgdYjfAFy36guv6zV60equuLBJbhQ82p/MkPEHbbg7kPqHwsqmFSTRrL2y/YmE/8KgeA7F91vrdYZ8sfseOlveUxmXcMqoGi9GkpWui9G4efDyuL1ZYH8IRmcTTCX3JW3Wo/Tu65axpMer+7mxMWnk8IKhRQs3dwHXcwfDLX/fa3XNgih+dW0jlNdk4ZLjawaizJB7NuQjCMIPJRStkn+EVbe3350pj4RdpNCakwvvRMUEFIiRI+mhzwbjEG8qAaKR9vVXf6K6jphM79XVdl2U2K1hmX2Oc4+uatxGGg5OQdGdfzRClgkt5xsEDqNj1V2IteC9ulM/czAWhAigumrJDAVUy0wcZm+7oAIY0oxR5Im5p7jcwNRwJq5RitfuDoLQxMIBWSPXM8n4KsT4dCAEXUiJa//gdVCzHATmhHl6JzPsIFA46V7+30Vezr3w2NhV8DQc5x5Y2N+knX8Oj6H6f1pOzvgq7VTH5QwqzvwzGRUkS2v7Fjxr9Tovxuyi8l3oK9FhfUSBNNsS+YT3q4UmsOQ6vM6zUZyuKOwdqiCUEiKQNb5SOwilDm+caFYgptyXOa3yN7z5f7lNnI5jFZPZuY5jeqRoWNpIvjwDYJEGxcIA6Bbb0jrN5MsMCck5bEBefLnK92Pt0dnzoaDK5LvWUwylJxjRKGAtlHEie8lv2HH41Gcc6uVP6wG7ak0DbA2shGQ02n8JY2xWMhcDQ+riqoc5aSHoHyj2a9P6MLYfaOnbjDnKn5XD5aalgF6ApCqem0yYUzFz3yIzceIfplOwLSkCD3SopGN+IaBONxwRUQzw/fPDF6yIouNLUFw0M6bP6jcnFdMqqwVxL5xMY8g/hg+KyC46kmh8uQhhvppHpDZK5SGUvFQhRG5AcxzfAyJJDu4nFeyRk3YYCpmhc4EixWh89DXoxp3MEN+HULM7qRMTr3FiX/SbDzf9sldFdQZrUMP3lKZi5rMrz+VT0CtFVTPkYNx4KcoP2EQiNqc8jQTuAibdqJX0+vb48BXlzQ30MxzN28XO85XyBSeCRD1Tbj7InGrIwc20qBET4cbuvOQ0mPokkeGamY9652a5vmMTnzRWLXbY231Ts8sVa8TIPyNNrCZ+xudtU55er+0N7HeXyLvylg+NtXCJdNXaNmiGrlThEhEpt5ooNd3Mlgp3+usdtu8pjtBQmSSS4b2Qmm4eXJLpyqrucNL4yh6XV8enEfJVUQn3CED1BisScq1/YXouDVzXjs2gakH6QRPWVZwVqMrwUbMFv8ztdoITIHLkKxqQ14JPVf7T7Wxv9bl3I4efS0UzRINsDxt5c26nV7lSql7R/tc5Bp/vrVNrKMYAvAKPGkxebRSIYIF6Cdx4juAcSta3vWvBpvFdiud6n4EvIUQSuBvJS049Ynurp0u7FQnrOdRMQFAs4UnzS2oSvcqu5zAgikGJwlD5Z8z5P8csRHX8Rb3rQmLzczslEij27hnbJyzSyG8O6iN2sBRahgoDYdueAz+21v1WmuMjFtvkUfFW9lvMbrHA0nYHaLMAjpsyrrt0noAexA8VByOH2fRiLxHKc7zCx8h37W5zWKmjmf4NFSb++Ub/OW61w2xNFgzszLDpW2UmvJ8NTlVsEXMkgrsTxlw2BUGVrXHrAMtonns06fsBqnkRQpnDQ8gNZ0Wfe42aL2EkxSKaY5bAur1W691hUSXvmGiMCYIsjPmDqVbCO6zKXiEZJJ7QO0h1VvhLNdrvJg2yIwwQd3qjeaXcqZlxSLRZ8yd9QEnSxNMzxCaFL1eCZW2TotWld5XE7F3FOkCcNjmS8jkAV5fxJ1JXIirhIpVpKWBn76sYJtnD2+Md/sF2GTxd/19GBqrVbvVZ7R745GrGzm4wnUPL2eSEK9zS1bk1Vu/Ds0705bAvE/TUZZRd7JwfvT39Wtfv7+2EUboCljJWDddfMwWruXYHwgym4Dj4t6DGeLBRxxDrmeAoV1l74zdUXHnPSH7MeV1rxEn+FCGMRLZhznBbNSHGranNyUQ3K4djR861NKYwwCdIvLHAds2lHoR/913mn1em4/43QShKDZRSjyentO0+UYmFCVSPjD7TYcDri8G9M3R/cAWicNcFUCWfjYMiZElIt7hTaPGo77pJvQWwm48nLDS0m13XoLbOTFkySdj/fO2VQwiWD1bmEKxZeQDaUcIpUQxh7M57a2AUryZQQuSN1jppF8DS+CaeUFzWSa0AzcHBoIkwLS7MwoLMRe4g5uNwE6MgRkAWpROCF2A3NrKD1A0g7H5HiqBvS6IP8iYyukfqfFQ2Y8XGuQjRg42loap0H/Xp5xH6JU6n/FAmwtcLaWpDHYMhdX4JMtXu9jpp9fRUQFPt4Iipsyk6oUdoQZCbDAXxV7UFv0GgPBn0fvZWYOkOXg7ExQiAl9ke4lW0wz5gVdriWIFplb5UBrpfvoIGx+Qer2vyDSpu/yrPHblk2YlWNWRgdXDBYVCPrz1+Eku3GnhPZX+wC6Pa78O9gu7MN/2xvwX9abj6U6VrKAhKHBkcbDvMzfNzLTLOc/8veu7Ankhzpwn8lT/vYBTvcb7rgmVlaorvl1s0g9Xh8Zh89JYEk3AgwBa2W5/H57V+8EZFZF0qAkDTTu9+ZXc9IqKjKioyMe7zBR3c4jBQ9CKW2H2sx304h6/ZSslZSi0kq31QxSaTYA203SzpcreqzTa7oaxXD1yFhKdawQBwOSXkcHnxqFzlreMcolySiENNX6M4eqaHxw4aVJZXUypLKb1lZsth4qjQKiq6ARopLUAv7NdZzGsEF3fTtqyve3gZvov2n+zJBUkM17/y7AaBdjvhv7ZGCKL8qKnf3tHuxf9Bp750xd0Swm9+199t/kw/7dinds9YRfWHv5CjxhzAf7T5CSJ8/CW8Jmzj6vcd6V6+ZEBxI4gQAX1x0Wp4t42Djjaqt2CiQ387cy/Byi/wi2RfB3kzZBKA6YMyBdtfFirz71zwNss8j1njUI0hKbMwLk7mrwinyCfwMbMaPkZYpeAiMhiKwauyEK8rHlCfxht930Hr1SMUQ35geyY+2o14RSucNJfsIf/gxioMb6z8YD92c2QiEDEAm7iazZxy4+op9bFv/f18Y53XcU7059JcU7giB4iWXJJztdXKsrGy226R0K1rP8hHrLufeKgGW6s6GJGAjx5oPYgIgcqELQb9ue04dfnPga7OcjSxkYoNe+eH+zOki2vSJoIlg4gxPIUMBKyaNmeHgs9hiKmbwILKJJUp52x9O1u0+qFVT9Xj129DjXX152r8Zv2Ky+tOSSlu4zHd00K8+M+IhUiiCDC0Nt9zAgGpSj4sz0N9hHf2CObsfm2B+mZ/5l4EMAI3gWNv2Wz7k+CaDNUPpD+FDhDND83r91dAf3IX7DlQ4Oz50p7RRhwBvU2XFNv0GFoHlxnzYNKcEz0+0MClGpfwclnXR7U8SGWNTUlRXkKJr9zLjWMitoWhOlUfiwXH/8iU6JJY9z2hs0+EeNmXoCR69KSVqqyiBOAen0ZU5rS6261upiLt64Uapzbo+lnaidc5odOddKZzt7pLxWKyUHaFISrd2TamokGIonYRGdHTklyBB7vd8nhuqQ7K6D6Mr+ZsKTk/4S36Jp0HPuxvTub6S42IVz93Yqv8sRPghZ1lB+k+W+5XPobvXbXc+Hey1u+Zdh8zL867Q2osFtZWyypV8OsvYECnq8d3fgR2rw72909bex9b7Numd449dU67XPEV6L6Msmswl3SBBjUB3n96E4WVlyrJYZc8Wh40VO2KVA5+0gCNBiaaALIMrs4us3n5AzJSzVl3watvDpcbFLXNynNMFbRe3+Tc2/evFBv3SNB5r971Wp3PQ7pjW6QFpkVp937Ten/CYMP3RATazJRpumzqkTiNqdVaZgcncx15oIqPBR9T8xpuyteqY/Hy8h9B+8tCSpz7nLugUobSoxNam/XJ894icQNcTFkA7A/vgiz8Ysg0Xlz7nI25H51noifz6seQROFk87asTIh16bLqEpUz2jbGfOmEBVoKLS9orHUTQk2y57VUbEDv0G+T1nsP38lDGGRoJq79DMW1+jw5f4GTjwWg23DWnrbO9D6a4YHEUKzs51ySmbv3ye0lwOXz2gKcjqGvR1XQjfbD0Jj+aY2lfYYQzDLSXtlUA/NEdYQgecsJiwJY8sbjcWB5G1rs6L9zzwq8WaNJF2MNV6kBOb3z8dlbs/iGpncjZl+qSHwBAwPaw+zwc2PZYOuo5bMBPtVOdEo/2Qrz8iByTFZrLqY9+Pb1YEazkquHgDskbSPldUkYlM7zMmXKj/ssbc/jdzWA6u6VfS9v0q9YMhENfnUqW5hH1FWUKlJuhtFg717Szlpyh70bSwb4hXkLXtrWGAzZmtCozfAHiYfLgyW6QmOvOozv/JnrBEhZIqW9LqMXz7hmZBOEKZv6NAJmMenmNFb20GE7hAfbcL953Ts6P95nW8uPFh5Oj9sV+G5qv8zPWBthiXXPGA+hakgeAQUNeIcb6ZN7HXkPLcbKewhxZEKiwHnXxZiwZbCX22Ye3ebV4Nj2S5VXOdSvui8qRzOigIq4m8V7PTrSgK3KGZOq1nAZehqQbkJuIrmcXotANM9Lls0UeDkWlL6MneIiyCy4atdjMKFcak1mecBFNf9RTeSrVx5rIEODmTOSM7JTXzSXtlG0uaae8JnDuTnnl+aqsDJaoDCWvbtdFIKzSj6MCLm/hlvts1KMQexpLHiGk4ILRr47hm4w+Y2P7LtYoqfb7wFWiohAVPdf8I8hezcl0C/thhT9sooYVeYGKRV2gPcf3mWXVBVWwbwmaRLLz1tYCIlQm1T8I97aUsnkO6pickaVJ92pqrV11odrfGgCZYNK/ovX2AWPwpJr/tXcxzVpyD93VnIbUaxwWfyp+ELLNR4Owjn8of8mhME60G+JY99KFFLkcgCVXYwD5TVC8N5kOaF9mDzkjq2naog+tnsBohFJYPY/KqvcDrcyw0kLaPFBoc2jyqGT+yUgNVssINqVMRWNAZNG/wAnocZkbApZYIsfSVlfLM0fx0ixyX95E6+e5WI7f1sKKa9lHWH9nsWpY+rGnyoIL1KrUyXAw/uWYXhBkrJT4d4vprVwpMyZ6gztL3avx3WSOCyqFKr6QKZe+bn+toZq7urO2vKo4eVVZM/e9U1kpr2rryauV9UfP4eS21Kh22p8Ougcnx14WzYGhFkaqWvZIasebwrmaQ4RVXCrUyWw+PzPFRLixWKlqKaZ9D8SY+GYb5l6rqfV66TRbpxrnOXSzkBNa2zKJvOJCrkOuaTpoibUIpXASQJdgoBTANG9MtcaaVOMS7Ehn7gvQbrmf79Dl8I5L56UJy2m3SqxCwBaJ2z1g6PVI+uYpTnp5ZZQE4ZErF79SVf1b0CoSB4l0lKHEjggwGMVMZc6OPjEisvBSqXGRYG1q1lLTV7VvpAwFue8jfxIsFJ/0p3nN+rU7pxxWyCOsUHSmeFHCksRexVDJDgd+0A9Q0JozfO87ujfUbGc85+7KznwozvvN1L8TnXZpbtmq1pYBNRSuEN/oS7JG1DxtfPB5QLdDwuDTwKdlcxoDkQ6s38NC7Uq6H8/F7uNfT2VmIeSJzbA704BuwSvlxw/H48/ziSfTP22T10bippaaDqv9HtAr2gvM4JZEbs4u8j69SLKrlprsir+o1kxrYoeTIgeMLdmPFGE6B9Nble95RiebdQofGbRjMqFx9hhEQTacxhNG7PSs2LFg3AEsRMYClrwsfSWvNRJBHChH/57BANuU73G6QsbJhNVMm/NqbcUWnrlcpYgBG6XlUjLodlSsSJNYKBf0+L1WFpNWkosvJMOV1UhnE0+/29rKV/ZbP2dzqcvLHHRP8hVlyhzZ1SX906CPpmTnWSUwfT2nIgBq6pTEdxE3gr4fQSO0uL+CIcQzdoLZxvtUX7FPcAqZ83QcCoTiFReYuaK4GSqD6I3dpSz7HX24U3apy/hOf3/6JHOtWgkX2f/KEZhAMZoDN71G65IakbokKR2D3c2IpHng4nBFDLdLZ/7pl6uQ+airzibgasKRR4Etf1xwtgQMINbsJVcmx0hN/Xvxzrz2dCKXcDeunV5l0Q9lFnet5Mq4d2pZO70Nh5flBr6NPMqAnE5gxZM44CiTIFeHhNI7yJulsbP3Hoil5i1ZMQhp/bXFiAzv31rfMqArOu3WmXnbOThrHRzjinXdvqoO+tlxg552auv6f26OE33nzSrubqzibqYFyzyJHC0HcTrUgPmTk9M3l57rC6dtkBPTNN6//vUvJiujJqkSFdAkB9LblO5+wUPSUNWmh31rLXKg7Fq6c9B+iJbLpad3U6KQ+XCFkVDsFTOwouvuHE93lUbWPMzZYo57euzteB70ETEePSx87GVzsYhuICErmJfsNzb1v9JsE7hhAM8r4K2l5iEfJ26HvdDlhtqmdLUutDxDj7v357c//O3Pxbcku9j9SNgp5FtnnF8tX8w6x5rMXE5Kknos7rAMKm7zf/AHSPq8yoxi2RVIe/q2obfNlYUbe9upYxJq9W8LyfGQM3J0YicWjkkqDCILcRoKE/SIN9+ddH5qdfaLnfbZeedYM3QkdnEKAmCPDl3r4ggqwo1au/KHw40pWVlByd9lkpRtxHT5b01wJgEdN37r6oq3FhQ4yGddyqsh+lnE7kcA/UgxhHB+NS35jeLtscdz4TQHE4ov2DACmArInaBOlwFPNL+SQQqlaN6enH2AsX5y1O6eHaDM5eD4rN05bp0dnBy3DrOv6HjxBAEsKVi9jmb4F+AjMjkzNlUqKFXIXUs6ttv61O5sTMX6CiqKiLBNHBYvpGuVXFegh/YH6JbnfAswASafbwL56Wp8dzcm0TDo6wcSjSc5AuzOXv9qyAmm/x2iiRyPZ/3X6f0oV3Qq2f6HQ9vu8bVmmzykW+NrQ8xcEXZyOx3/xTDLoxR3GI+RXPlp66Ph7ASX1n0JDGca6NAkq6TjNQU7WytqCnaW98/VUw3H+D4e9+9ZlaegYgnS/6vhYnFGf9fFDsVNReKmWsmGxSHhx40SPha+6oV8hT+54pdyobBD/8inMR67i/DYdYzHOHGhgz/ov33GJ0OWjJskc3aHcYN6ScYah+m0vejqI1BS5Nq4LvuwfkEGT0TWK5m2o+hHbtTviGN+NxDk6jeVmePwgrCmNX+VL4c30Y/sLYBfObyU3L4FxbfkJmewxG22yQRZnd9wgmSe147TwjOlcp7+v1KqlNz3BNFGXlZoaO+kST2MkZSk3uUP8KjgeEZRBRd8TVshtqfjs+1Si39tXXTqF91Pe4W1HbS6ddAazkFbF5Bqpx46aI2V52xrlSXifJHXQArw2Mmxe8tq1Isn6rRcJEzVNeMnpw4makimDuZw2eacBITgkV1YKp7K9frSVH491ddII9u+C/O9Uu+Su78tXhQSFENYEmHzm2n/od+L4ZMoOtFl/wrgaXIE/NkiTonJTLEHjDGZ3Vgt76xJrxeCGlid2IzxHNq75ONFbomYNelN/fRleMP7EfABRR4YXJuH8ZxcY+BeKArBQCCk6D4kSR4gD/XJIUR/jI1BGJnPyE6c6nxBl9l0N1IK9uq/MUJAiixgUVCM0tFmmBUaoLpdo7PZaEDw+Q5NwEIDKBDAFCWXJTNGt3q5Uq/ikhAR4BEAgHVp10h1ghvflhO8r3Z+egpQL/oyvvIv52RIDDQEU2Tk5KA4IrtKh9zNEQzLx0A3AyngmU+4LohnbVis2bG417FZzToRatnM1U1YuJHqQTd+aw9agMii6R5+ej5BqjyTKsRiBrXySi2TQSEKknZNU24oqZ87S5npU11Bn8Porkr5m/OGpLedr4AfM0aZ+MNkOSQi0kkbOTGN0Ikxp/vvin8/JXdRnJm9k6Ojk+PKPq2l9bZ9eLHfOmtdnBwf/pzDlfSv4/c5Q9cfHDTFgTx4l/hLzrRxOy4o4D/wZ/zXv5y+bwp+bFHiQc/oSm+kuu8JuRA5N0ZzZq9KzIr1CXd4vOxFd+9De//8sL1/cXqw9/H8lLPneyfHZ629swvx985O3FVZ8R9L5WKpWiw1tE1Iv1k0H04O9y/enXT0XhtTrb6CantJ+fJqpCtHSLffOi3u758W23/7yRKx2z7eb3eKnfbewSkmYhTPPhx0iJStztnPQqrwijYqyRMXgHr7++e47cbEaqwgVmK4clSk2+BP8PwZXWmAX5h2M9KeGB2NxXyOtpTIKsJxFBb1hGMN3I4W/ZrAz/YG6JG3icMt/RSPR3N6ui6vr63Lt1J1+dY3ossXhismlLlLs2KSDARjG329rHvsGKlb+eZiCFxBk7v9fs/WQu/3r0ylZr4zf/HhrkMy0HUOKjlePyOuablU2cwd2ErV3ltp2hvjKN0OZF9Ll+sG22e6pLbtCdb5xIgOyxXREcEecHvCVkY/HAvc4dKRjUlUXUEiYREpltq1D1tKoeg3NppexM/gJHTbTUGTwalBke8qualbOyWVq5E2JkDtSQQAN7NnBYOKXNrLcfCC1Fhe7MlYD4qIs7TUkwND5EBGHh2p6gzG8ykpuq/ON/0aSbbilWyFgOajhg6M7mYu57TwFPrWn0BfjZd3eYVuUkLO/GTXl9N5sDlzNrjr/4vMYxuZXGo1Ppcly1t2/49ax+etw+Lb88OPqrH90YNp3fWngyu/eNy/v/h5PP1MVnZd32gcTWWXDWNocMnX7F9NRTKTwGqltFvC/+PR4Tdc9E/GsGqRo7YxZERArts2RFdqlA8/rRXlowvfrNrgxpMOEDlpElAPdJOv7Cbfh5t8pZs8Cze511saaX/SDqeYFiOJ89MBl9ORoW0tRja72Do9KP501C3un+1lI9OccBnzQRF1xXZGRTEEwCpGMHayEU52MOy6crxqjKt7vTgn7OzsQCbWSyUbQJb2C0sjhLjJ/jkZPtxN5oEXDUCjpfcP6PcgWwhR5UgYusw+oUZ+HgkS71hNnNaZtOM6k0phk1ItHhBupHDN1pO4Rr35zGzqB7fZ19U/yQheeDvzh+MfLYPkw/lJkU2VSbrDoZ2zaeYOARtp/bwbq43bORCtbS1We2y6pq4kBBF1OxqP5vErF+ljUogb68PtFRujlqIUU4m83ue50cfcyLWGNI4O8n7qOb0m6mOSBkxKZwCIkGQ7qsdLkZ4yh4jN48MW8ih7t1N6hTv6ZJ9ex9YPRjOMZHuuCOGLhSnR/MbSaP5WanQ6nbRORkbfZpUEXJuqaUn2Xk/BThIjWRhgmfO4KG+OT2CJosyfQfXY5dvuNA8cWylVGvlyOV/Z4jRc5BUl0rywLTybWJ5roc0jMm87aztxk7fSeTRXCMm6ci8PwFl4O01DsOVmrknYB30yaXrBuomybZcf2143P7a9SnOmxMfT+eEp0u85bJCQfHq+fmSp1tWCJGKReV9ql7C0e/jKo7EZjkdIxUZlX+Fx+YYUBUyaR7IS9mAXGxtLsu1Ut3v723C7JUYHt7s96uXH13kSQMkoehczwCHmXV+RfkkCvIBjAAQOJ89pHzIS3bjzR4NrMHNRQBnQ7n/N8k2HBXf3Wsccjs0WTIs02x0OmhSp45ao0cdvZOUYu4LphsVG26kO+PZ/Vwd8YxpUV9BAeQC7yJuwG/o9e7wpogXsiNCfIr5ar79MIyRv/JxRQnEbN7oytDbTI9wQU6kZs90mRe2YoR+SLTNFbYfJpSloup1EYsnbib9xU4JS5KOOAUqGYkn4WBBIe+5YALhk4w2rrdiw8DGZaAZ7Bd++xG48CQE2XKbgAYW/i+MqmrmUL1dVwqN2aNe0GZ5EnVR8fjBbA8jJyfodJ+ulAdreaaLxCU8fc5U6MjYKDpswgjkUEQKLh1AL4w3TV9upwYntRDGkSmHfJiSlO8Y5rXbChJxRV8Rus8VkmwAVB6Xq5DQAeh1J++k8Bap5AYYo+ehNzOXHGSas07KA196RmsCKjpAHyOzMR4/T5JZ9Uvc2V4OZjOabjOnxQ22MmfYj9V3JwdVS3cHSVkjDJVRCtpKrs9FHGc+/vKJb6O29v+MfLoOVWS5aT+xUosUItj5tNcv1JbplGFOkQwO15wWQDW7GEjJYdkJkEkcxDJ1UU4z/amj8by01/rdTwyRJVXgls+HJaQF5JdLLg3y5228hz7xglyTusFEDy/HYGRrjqQiqPCYkCApOM7qWMEIru2Ftj6CIOdgySGqjg7mTarvtfBu228Edj3adohp5Snw1XUDu1cnMA56sgupKOkkD/Vbxkr9jJtPxtQy3n0yGcCVQ9d5b7M6CXMUMXnzblHfItf9qtuv17MZ0rayg62+IvS99j0E+pAWi+vj6yzQY76TaXjvLsE1PdSmxxs9AfEpE0vYskpVGw1cN0NicUECmkv9ZeCklU87AcpL/+dfca4hwv40y/bUVXmiB90p6IbuRAhO4MUFrqwjK7RPh4CVh45w7ADkjJ+DVWi6ggtFcMmBwfty4aWykQhsq9loe6TiLkSfU4oCGXSTG8dljDtuUjFHvitFf9Q5kepJqHOttLHaeKh+pEGZJajlbEtIPiF1pSwgdbB6Rbb+rTYMMTtUgK8ktJQewIC6y8shc5gm9KctvPn2B6+QL6i5fUF83X1BfGvndSbW5dlLac+g0WiZCEp8L7oWZsq81/D3ivqzhthBTdHhhJrMN58d2h18DZOSge8IB0s0FdWMFlX6DWfCCwqNjYLlWS3+RgOSebXrPGacUBcbrwB1294crhuESjWn/qx/aSZNXC1N1x3SD0RURb3oXIFEi87lXz3yXru9wreS43AxGo9iU9iUj2h8duV6Qwlz5KoNH8/R3O83bN2IGcM+ejdbLrnCbBCx5btFWrVZ4Cj9sreAHBDlVGIQnJ2JRBKEMxpmf9q/GU9JoM/+rtVQerGzOKSSBm/oaPL+rP4XFxPuQLga3dLIptT/Y27sdw2G1HmSBRaEigczQ1gvpNeqnm0107THjwgQxn8RriQtj+BHlhT/vwfJOfJj0Y/jMa8uxbaLHWW+SZJwG4unqNEIOrCktifDTAccsMt6huGOkmxVUnOHjg74MVMbnzFhcXlwQkEy3eVbQ8GQPxT3kKGCEDJm9Fn/pLLK7IRi6e+yueYv8FOhxLBnl70znyM7WSkDOmR8is2eZtlfxAbQ6TdSOu5V5tFKc+/aYKP92z0t005RLAmzAjdsSvvcy5RjXZj17qc6Qb+ymbbhko67mXAAPpiBLB8Sa2N4jLion6W3LtMu1bXc/tzqp/NLpuHaBTQOnGDXMycXR2kbjezvz1q0Tvv4s+4hGrWkutbadojtrYS61EeZSt1dq1O0VsuG9dCGqUNiPCYVQVlvhrOJXGiaj47hfurHQNkYFbtY4duo7EdmZMBC41wK0u+60F5Fj36kGCdvMcHxgK9lZiV7ea7p3MK70X/DkppH2gy8D7jxhPoGbNfm6sebeWaW5sQonqrvgfQVny2l+5FVAVGKPtb1PC21PNqJlNGKU8VTnk1AUw09mKKDMno6FCqfoS3CURrukki5escxBgTDGl5wHraOgBSg3sPOm+XC7KXTBZ7ZlSSwnBmWie3RjgyslGbeTGA0vSIWhv/DqzUMcYE3an4+EEkxScK6CUXx8f4CkqDd1LUGbkLVeSgvk1EvfCoSdmq/JAA5s95haYTKed/OhBr8e+jexDhStzvS4+wRJtO5fDw3nRTxukMXx2RQTg8lYWUHG3wfJwZLQwYFUajvP7ivh962ueF9rBUWnJEoBynk3NLVepR/evWPmU7le5mKULFuJvfmEzHqe4QzEKV7KQBDc+EEYJhlZHegGRrphjHFEnzo58+kgZ96fkxLu5szRKd3iKGvLtti6zIHPRqaV/zvjV3D3d2uf7ce//5TdmNy1leylrL5roo1WORUQOQ21wORbxP/erP4/hfLLe7xyxlVXeW69tjdM1pezuBZunTxPFmybhzXAxz3PQROZOGPlwF3fH9khwMnxyevSuZwqDcvfhjTsyAR0LpCR0EJSLMoVqPzPqwMsuGpzBVMDnAA54wN/SEz/ZSxD0bo+T2B5P7iG4dX17yb8O7Fr9reTn+VU+Vn+/eUn+VM9f+YXdfx8lLYiUDd+3erK15XtjopP24g3ns5eRW5ui9Tstg7bOfTQndGzWken+K3TPm0ddC5ax/sXApBEXsrJ3vlR+/gMcrDd2ftAfzvo0qWn7U4XWC8X513+IsMpsYYOOEdSym+XbIkYl5IJ5gOZVSQBchIlGiC51YOvA8QsBzIymU8n46DPZWsIp9jKm4g/PLUsm9P+dQiejSoN6qljpuvfyphpibU9Yh3VKuUtcrY1HKdzfiLnuQm/m8ylETrSw7mSVz5wAHhs3XyEV+o+kGK7wwfwJQInBuwH5nMfeVBgYa44/uIqV+pvVlG8soLiv6scuHJUf875Tx0ynXhNF0tN2k+vgyC0tR1aTBWxmHbJFNrPmfY5GT3v357Cy6dfD47p19Y5/dR9v4/m2Z/pD8f0r1Z7P2kAqWZ3VhcZXIi7zm7prfMa/2EVxeEzscMkJDciPTab+j011Mzf/vY3GYp01m0aZyxEjJlNtiF1/Gz9Gxk/e9a/A6xrfxl+t8Vnk6obQVvkEVEYEc9ViAsa38zsfQvmHTbDpiAdhqwrtODsl6sOuvUDgF1ANNAR2dDdTJ0kW/9NJ8lylz6AnKOHXNr1HWk271erpw6IrVfTMrAqfQeY0C4JNWRshvO7EWe3RwFHzsTUSxva87JJWShiHYrDEmcm94L+tbE7DTsGu85WX2/dAqLbNF4p5D6eIXk8Dj9A+QopFxTWRwcguNkHXBauJEPQndaY5EJ9fXM9H11ZhEdwfyC5p15/MuOK0eT7kBFcqpWzOeMsEoxUIS5ff7JCPXUcbmLf7ZFWkX7GL5MzZ5yRE44mG298M2Z6jpGcI/LASxUEoxeO96YkfLi/Km1dJpOs/cQ6zc/9QNdqgnvOoH9ng5S8dNO9RSGZRWDy/gFcr9H4PiXkezrto4zGRcG4tYpsQHYWZUmSXoqfHQwkELL494YnxB4cv7/oHh6c2rREueTSCGzjICFgh/xI5FTDcF6sMoIVj4w7QMpUxopJ+gGPij5p8UHu5cbX13nhiFh+4yv9uF2V+VSS9sRc9xBgh1NGlw+hO8usyWyDsol77qldimVDq8mlgdq80T8uy1jUU2cO1xdHVNnDuyuodiYjtVKICpPSGl/NGYJgATFkoQqacYY36opxz9s1p0mJsUaFQNPsR1e5G8IZSh2r4Nw7lVokXl9QqEDp5aFxXIPE78W1PAiX71rWpXPBXIQKTI3bR0uDkBCcjwb/nPd15tlgmn2Gim08ae+GOMlkoiXaxm0M/Ym7lCJVqmRRfnwLsJVIfpLlh8X5E2cD2LIf3xbMGQbbkARGGtjy/uCO9MiaU7oSQ7m6n95HUOKB16fQfQGKW/1dvnUx+HLz3de7oc0RbkkXE2rXOcyOjFfPFCaIObm2TY7vj2Rt8S8q4jOTltPAbsN9+ZDcJe6KeiQJmVa3sxQqs546AHnpvk+mA66suyL5PccQZNR/k9K57X/NqThPjqm3WPrPPrj6zMgjueKXd2fw1T2dy7QYmT2+gRb3Xl9BNJBuwPbatVPbrnZqe70RjXThyj3YftIeqGeBWoecuR6PuZ5tPGOQdfpDHn9gpJt4PuvlNiKyAAmlMlpasWKnIkRqsCEuI0uM/Klur9Y7JHsP/3z5w+V42GPczD+ZX95AmP7yxjOfaUvdQLxBBMtgosZAJjIOQqwfd5XUepwkqWRnSwPQ0A1h3ViQ7qzYzMPoYrkcfKlTuPk2xahyPZahvrdqMuph4gEkkC2CWC4RN4nnQs7hjof+AxK03dm8NxiTuu59QeoRrj6b+3QC6cCUS9KNAG99Orsc+6hCGowwEZJWL/edjMnKJ7VVhGVfRJTNwl/IdMQZBGPQJGl3hr3l+6mV9euvzNoF6a7/97/pEP7669Z/bPFP/5t/oh+IZd7KgI9pH8ohMNGy0Yw0GSTctqISKMtBw7+2zElnP09avlyprnpIXleMwQ7j4RcId8yLlYnJDLMDs9Znqf/h7OjQaEUa8yCmL9ETT/ffwXq1lW9/Pz3UwcwDydPbmrhgY89yMQOe9Cy5TMe6GQjnh1n/Fb1PG2v3+DOTDSBJz5pzkDp+my1/980/SGuRdP2GH7uJ3OyXiWmuxlSi75g8FvcY1q2sCDBcwhoRMtDCjiON1jME5mbwhSdpA+RilIwoRbqMn7Jdq4JLHesm/ODcn4ywOyou+Jh4QSyqk3029m6KcLHP1hHV3IvGbdi6BgXCaJqdaq28U3Un0rdLy7N1DP5fAIvGb/gDQ0jyrDJ9K4ZyVpwV3TYpweSLRqgI5Yi/rC0s99pZW73vOPW+s25p9M4q9V6urL+lvyGGbey0LAw+i/qq2R8N68xA+sKvoyFAgWMj+TcXcCHe+4y62nTYkjGZbCpo7SMn3xWuuCjI8ypXUocv1r+V4YsyMOwdt+mlBXCVqOS8+NDNxpIbNQYnDnim10eh4h3XBPK84RkPQdOdGfQQNLhmU2B2Ox3PbwRRz00jk8t69IzB8BlUrqyg8u8RsJWyqLz0Qf4o1Dzofb/A+hvHcVNnHyZeXF17iX3IsLlxom0Gn71Qvb+FvTyNjYZl2Fh5/yC7XshDm5DczLuwglhmIuZQfc8FmtxJBU7au4WF3V+EAuHorqhzYuH40qy/K5MTTQbhXp2kp/2rdqyr6HhuVQYpuZExG53BqMLJrVonysPMlVulRAvlZhxnXkKyaJTwkThaIfFeskj0FnCYTtST6C40884wi3NceAqj1VYwGssRjRqfSFr8Y//B1QNIoLajBfE5czLRymE7EaKV0sz8UpnDK4n8m2esy72riTmNgx8wMUVgalic6QHA8L+3JNTEco+xpOwCRKU0Y0sDA9bfN09jv42FRn3FXmJcCT9/F7Ra5tTvOyPqqaIiOipzMr6w6gTDeI0XjPzP/Qu41AVzcHc3n2nE2eoV7h7uI/fcpwOG+Pf1mOhmhj6a/Xn+C2cGQztPBIA6/aL0/pcXGU7415b9TM+ajrB3xXgoIlgAEUo/jZVcmiGuUe2lA+nrqVMIH98dZuIX2J+UM8MepI1kMOM/Nk3EXsVnnw/BKLSijXUAKvU6/7Gy04j2dwhJm6Zci34a8LA93YnqutZ0uWqtafppvWBZubpyO7bW344zDp/TS55YwHQkt/18ABuJs2PLNe/mp0mQiDmOUbRdOOTnM7DKz/RP/ugov7+f5cm5eGrTLREBldjcWg+1UiQfc+Zvh15WS55Uj0AKdd2ytY3KthZb2RfGz7tkbe+dWVE2AuhpgiAOiN/T+Poj0fJMNFhuH6QMSTt96c8Gdwrd5go5eCd8c0lC4XPkVKf6zNVGzh7epwjS7fV541SjUa9zWl1BhFohPP2PJzDZKJjJcLqtXMG/qpIG9PJeBJQFPETK+46OCtAc83U3bkUUxk74j91jITnG03odaW5j5cZbSbsz7pHxf3bbt51vxGw9NMahSINnYIVqjdx17mqkL/BriZfANoXg+mAzOW0rqNtIsxDP1Z9jO++sv3vWQIBsA8inHazoDIXotvIL0Ll6ma11j55JjI4kZly6si0RRAgmMcz/4FCVDovS74bh5qbF79TDKcd8UXTrDvkztWpjxHZLg6HJS+476c9fljI+yAa+Ife6zi/vYIBy3yKL9P6Irr3qiwvJZxZDuaLL4y9ynFKHVWU4LEdso9mtvB7ecvYpNm1KqPJRBkAE0TZW5RTmDGttc4x1uV+5uVjnuCVqy0cmRNnZjfSS5mzDY5rYJLKQ+SYxd9bgyOxejok5IgPUYpJVYrEK/CztoGR+svzYtU/SuWH77i9iRcEIYwtAcV0kmKttQ0yvIGy+irbCCgUZa0tj0aBtaLk1bWsoMdAt8wHwAfvfq12XgQ8YBIPLwZDbU+c3N+hfApDWI5K+aeJfufEnqAu1Zsxj93sKY60K+iACJxOTZaxx9gUicKnueBjDjroVHkKWIQQn77rgZHFcPKMzCdU4y4XGNsmJRv+yXyFrDVxV7ZUr1zvXl1a7lh+ziMsplld5leVVrqxBxSOksOcoe+Cf7MjQl6clnxt/ygWoccw/n1t7h4wUyj4+T2q/H0uxqltWlMKWsMTLpNsCHugqItINln4aTVeRsroGKfefgA+6KRUTvZY2NhyKGfPLm3T/+pc3P5oPPIdscCWGAM+LRst4GJikhYKm0NB6iVaLk4iZzaMCb0vgS9JB4k4+6ieJcHEsolf8ddD7t0TvnBSOCMX0yHEIA1F/yvatCr6chPraxnVlkR4QasX8u2e3OKR0wOoAVtxy9KEDzMcUxP5NzBeN5P9gSJnmHsHr23WrjK8e1iPHwPI2DGKD0Z62fKMazVoy4auFwRpIKXVTnNcQ9V2boWXHweuetZseDeQWuX7sCuf/0ZhubMu9+Ct4xsYAGRJ0yi6tjeKtyxOp883r38h889Mpo5MEi61fmKKDVF2fpOP0swm3yNapTfSrxCgC23F/O6AN1o9lty0SJD6DWyo2I86rmJMI9waMg8H2bpf/MHb3UPNU2XLCFVsbeRCpk9Hr9d897RDS0P1YpK8ObkZ3LlYe/mXm3wRF0mezwQjgExvnIlInpieo0dVDPvMvGSXNrrMLH5R/4ngW4CS09Q+Fu5NBssJLZmo9d4YWMxNGyQX3MAClY0gWaOESB2jMkhjXE5e7KQlrqw61cnFYV/94pb1d8UYIjuWdHc/CieEY3Y7FWsc8eZ0jb3lIccl+efPHX94UFHtGVuNpg4eUbJW4cKcZuwK5XERxgljF1IqB9xtTt74mdSWLob9hU2m/dRB2y4KX8l/pv2c+pq3b+enrZDGesy+CmTUcX/mOUXGCrYsEtcKB20U8fBmmrlYRZv1AWJKILArqPmw1GJ3SRMqUH4+Hs8Eka68go6houoL+Azzwa+6cQk2ZvI8XyFJcJOGqH8JuOElFn9xtvH+NFfuHusWiUYgSXtQut6MxnQ6VaMsCcJYBrjdERxEnnf0pHJL3HHq5dXqNXAXZwH7hpkAHZh8VZ2Xz9/7l1KezY2OgWHKiPDF/2imVUQv2VTJKUkenXICMBlnKl/4DDGW6b6eOysVHp39vSv6tDch/cGrxftEdAyky0rd73T0A+dt8nwj9iUXT1+NIz1hrErnzBGsNl/wvlnk1eGzqrilFw/2y7ppAUZUrW4US/V/ZbdQQ94mExgeBpvO4YhDapj+8dvhuuly+VWOnUKnXCvrfyC2Gg9HnPN/bvRIAHDhYN2UAHET0A4vLPw+tZ4swTc5Qt9t5Z27m/rS3dpal5rIstTVrlsh/WcVb2xvw1mkCuvClOYkVP3FDU4Ckw3A4cxee7poDLsmkRQONbHijXq/WBbNsp1wq8WfbJVcfvvEB3NmASFHlZXXWqT/prygCeS7twseS4yfmPiMSZEAQ6JSD09OmLojLUItam3q6d9iUBZra14brcTmUTtyiabGJxAgPZNXjO9/ZP2o218k7D3+Vv3ko88WvThK7tBafD2vB8cDWDbcnJZy8env26cBdzexo4+WOwnP3pLxTIZlUKZQrKPSVniLRICwuBH2mD8HAoT+pjfm/5ZIJjHcW0WK9QQ8ZHH8U3MM8CsZS5KLTmTmqMPo8oh0omINr+puHMkzZyIm1qdS/S+MNbCBxxOZuWbm8wUZoogQPh0m3HHnmmRvxWFKGi1HZhuq5YaecMIWuYm1GoujPg7sbE0yvvv/6w+M6vim9gF8RIhsjl+7DOAO3S9gZ0GqhE4hIFnuCWbcC+Z6uIWrCZJyziBuycScal9kFE3s2d3/KlQ02jq0tx1ebZWieu6HRNbBy0CTJYwacTZlEQpBY6lddts2TBFwWznUokuyIJj4k9jwd+HkmT1NLYGQAVww2lrTT7WDUi1AjmW0BS6yXR3nKbq6KByDozK4FU26tHdrIaWI0cxX7DMwoUrC0C3mzmxgGYc9EpciWEG2mSEDsasRTQsutOEiMATdkeGzpjk0+QUZgQBvyeMYehqd4C6NXiZB21+guQ6AcBXMuLlfOllDYPT+LP+Ta9pv+U4KG5doaW4Lj9XqbEc1JPe7fuPxU0zU/KKDqglMEU6DfsydKCkSGGgskoxhdttLDdW29AWstJzItawOalx2geXldQPNyfZUFXK6vsTXrlOs/Z3MSJftOohntFU2n/Y/mY78/cV3xLNUc28I0EJ2mQTUpxgSvS/gMtqC1vlTrbCxxGmvQUGxdGz25nA8/GwAyZM44nb7f52wCd3rI62TXMQWCTZFrYQNoLsMr69r6XDYDLiwzUe2K9FfeGvz4lSkd/n3XhPsX+Y5uxY+oxHnwAE1MKiLapMhpM7IkJsDz7g++DKzYMf8YXzKe0g9G40deNADk5VwRiT8M4rBKJxZQOiJ8UcUBqFj3mk0hP78qNkPf7R6JqpHKxIzC8+HL0aFRnG7NPkn4rYpf2MDuroVukNZfXhqm3OV7YqzLTJ2MBvdzZJnxwMJAvi4BYq6bCUPxmNUnK8dVKyY2ySo281ij65YCdHH/eeJIU5fuRd8mc9g6tmvPKszE+q/G9mB01qdvLzb9r3j+LuIwfBPfRJ6kKOd5N1WCnLnRvIdsTDZJLi7Ll6s4h4ni54KKervAW+kwkTpdjj1mPKUkf6TYIPhLFlGSn2ADyeivGU88A0P593ytP3qQZCnpgumg/wWvpwjFC68Ps4A/1dg0n91jvEiPjp6+rBh6GPE9gP1qo05JHPPyVpbse9nDME0YA+7wBKBfH+4o5Nkq54RdB3tfDL4l5p2FuVNqCddkOKWkHQjFX4WB/m3NozwuzpPx4RJK0/4XjMfKKugy+deDj/2HD35wG50Zr49Q7HSZOB7q5bB1gg+7JND5L2cxvlbMem0jYY+N20a43GxdHb5lIdTdNPPy1rrKfCuEVS+v1Ovba0sdoaEgxTgBvlzZP0dYdPhxTmkIB+U4mgwlb6QpPrhih0X3V+s5dSM9wdbjGXr3SOKiphOFYOI7akVvR7+aKWc9wZ1YUFjWpfEZrpsLEAc3A0xt1PtP+3l/eqeeLs/WzPdVqljEir7/uakxCbpOvKo49BKb1kxifV4AV8n7eTyHVuTy5NitOZo6ZiPyru9ZC9xODCTRcDWDkpvOAR4FkRO+mS7YiaSmuRuM0Narh5rxSo2ljJIzMLfwIzkKA95/knJbFRtUY2tKzgcWICkuSBM/HLPUp5eejCd5gMQsTWHJzTadEe3w2sgQR2SCFHlTHq7OQYcWaXP/vfGVCjrdDvqPBSX3rQnJVpTG7e0bqr8Qpr4X2s0OW2/bh9w0qgZKRdGrNPYhk6MvH1izcRMxW7ZKILzEZMJSgvv9bQtEc4mPLeKjsbaj0XCyqbGubGqsEkiVVWHK0Bp/EV6xt9uogBFW5On+uzwRlFuAnOoTdZ5B5FgdCv8yoNuSBlVlAOsabyCn2rrTamofeG5IuN1Gt69ul5rMj675KqqgOK/NImaofXW3juce28snnObKqgim1BnozuiAu3BdDB23dFPk+5scYDplHCYnKVouFCqlXSP5jUo53hTgHYg6oO2ZyPRCXXN6yqRSkqSmhVtR6AM8vKpHGcaMhCCnGGi62DwqA2mLBnM7eYaHxVRAj4sNhLKhNxeoGsspcx7bV6GvkgSgwz6ew8VJreJCd+WLlHA1Uku4Gt9GCdfJfDYhnzA64yVZzUW+2gCnhWzAvrTyDEUWf5eK4R3hUTqNPvBheoKgTrZz993ZqWZCC6bNpiJ5FRMuKwEI1TAYCxv1bH8LspiX3B5oHXDOOzAo8EQND/sXsb6RLWVBYFGBfwi/6upM4Bxx0c9GEYhGakVY43evCBN44DHvaT463eMZ9V6N1HqvRsoIPp4wEMIVvho6qGLyB8piUs/FyfX+CA/u7ZofZR3AKf7+j5X6Hytbf6zuXf6x2mYJ/8ubP6Jt95c3bg4F4HWm0/F0YwrVVlAocsAshrIdrzS+0jF4kWu4FOl6QHpGBo7+tt3Tz1ta0yQbnXvx4ah2FuqGeb9Gan1XYyH8Z0c1ZWTyhDPYi7SeMPTXWwz9vVgRfDzyH59DptXqts1JlAoGQwbM0dO+uB9s3MzGOj3DwonZURZNCb0wRCTCe2ivA+0Li+ZifXvZxGkmamMFUdEkFXmH3eisx9dpdgwrfCKPis/bc02ptvMwAzXKyAvrwDFq/lpuLKU/7mERu+P45LTtetOux6R2CnYSYRh1s4DjY8S8vsofeOAK2tvz5DwwGjGiqFxHmcTUfAcccluJYkjT3nK0xI/AXktY5EmWx9ZTN9Ueeo3ThiyLD1+rq9k9VDy1otk7OcIYh4PW4cXB8aeTg7126nrM4ckeXfKui4pFti1sbhwhPkFrj4XVIige+HpYEexuxI0EuJVieTyCw/GUPdh+6h64xfQGU8ZxkbEGr4/PUPziTwUrKSj6V1qcWCgU3f/3Z1fFf/pyLqZ1nR5cnN1NYp9yC1VfABIdjoITb/e3feZtX2Y12J7Tu8sACVOY2NJWyisauDZzlBdr9pUk5z848vrI7mw3EZbRJgF6BB2i3lCiMVd9e3BRjhKkScqdlZJy56kbygyFaHDOCBA5vdBUKkT9OWjAWhYS8J7HrMKHQbeU3f6cETGFWwTLcgrPYAN9OEsfrOf7cDm0xjEwcKFzvh/17/Phn1ggcgIX5h/7YOiGQwGLIHy0R1fTBwFL5TTtrGCOOTfUv7od41vA+wpBisWG/xi+rcYKvZ9cSylAqvs9DhiyhzBl90RC7AhSSw07vEhJPVxpTj5zdHB2lP8yH8KPuRz2s/Is+2KySVaNCLh2jHljzCYiAn1YiIjGYCy2JXCT3X2xHW+q16I7pIHJCAEL5i2Rhl/b88gxsw+T37jmStr54WTZXARrzgqAqZTvH0+ypRyClCK4FYfA2onHguskx/CVW63TChbl+CvES5izsEGMu0s3Ftft/DrVO4+EAzfval4IHWIVsnjht0WdRW5eObt2rZGuV3u2wWJcrBHiJdrytfENul41zuo69sN5rN6BfubFD8mee3M5Tk95fwkFd+rZFBFdXm7MbqVGXLZ+54hLp74bD6yczGeXMCUNmltRMTn+MuhxEQaPhO4enZ3muKsN7gf91O7CtDylQ44ORh1rhzNfxAEv0rv2gkiPnC/oxcxAWsweDk5TH27IOKOkpbGCC7eC7+R3cdXiE9W0q7a2wzYu151vFlfYSo2hbH0jMRS8f97SIyji6eizi38sCVF68cH1QDo0XmRqy1ZqxCVOGT2ZccZZjfl8qpdu1CnGnWD6KBUBeVhsESYOdKYAD6mU1BeyCd+F3reAqQ7H93DdeDTwKHJbVk985wzHAjXn15PxihG0ELrN5sStrSIup95lSbvmIxEzZ/YHAW3sg7b1nBJb9mfLDDFL6Yg0fapFhgdzzeJRq8MtWe3j/fedg33+kT2eozU8Hr5owuulv5TrZJa8Z7aB1RaY4G42KdzggwKpPrNr6ttbknslMSEWnDZOg91NazIxp9YOyVTetfL9kRSF+HZ+DbZdTatehGhibkjP2jr9Shv4WlupkaFle2uDUaLvtRc9w5rHt/1/jMVtqZ1u0VnLLPvKHCFZUyYk1nhh6xs9Flqe2zdZcqpZ7tn6yqP5cDYAuhGO62DUDN/P3e4792LNaGUlV1MqHDLi8Dr7RQIqmhuAGNAqmyC+1qIGa894jTFWDQ3c0WQ+C5PkUfeDeTIdaWHbQXuVCphOj9fNKxG0HfJein3Y5bUl79CP+ufL/jVKhMRCKjyF7RpPYrvob5tXsj+bnVB/ED2hXOL0CLyQLSuPfYF3+RGEoeg7apyd54TLB8yDybLCFJN0EDhwoNUm7SMwQE/Zx62VFolAG/TDlwsk9poRPSFDpa2ro7Om1m0X1htuWGJqVZV0KbKkDSdkWQud20UiC9OBV60wOh6WHttJWWLkn5/t4X7ch5gzdVMuVsyt7TjQcyx46DCnpDosiIgjgG/ygKzMnR98liHYHAjAJXwA1y2WcFjq5XWx1MvLsdS3UoN0WxsVzD9jDz3td9Ez8ocyculcuh4/duQFzHlrVH8V5HiGAH9c1UKU5o9lwpNOMyDycoAnLKPEZugYjSg2ZAhPlJdQKddH8SVeUw+cdjlreT0Ks2zeXXY8Es2LwICFQkBeYtM80FZqIG5x01pr1detv3GXIUEfS/WEczbIqtAxwbvWBra1ClwvrZSQZg9x21AddR0bO+gFCTMbTviXAUdRnM4UCy/rwNd9Eqqf+85dlC15ik5LCfBsbdin8IwzYQvdT4m7ghBPKm9LyFlFhG6JElDaD9jFhR3wo1UeRUleEkmldUG/pnVgTS2S1wkEUYcneAYQ81Zqo2KclscRJzIyhlI0S5uTfzzZRYaGLO9UcINHNirbOz/7UPjU7hy8+/mifdQ6OMR8XfrotNXt/nTSwcDtbvtMPzzvtjvIzxyctRlNbBRI0tUfknDvnrWOTruFw5OfLt6dH+93L1qH7c6ZyYwnszyxc9Z1HA6mJP6nA7gRvBqWgmLqRmo42sz44VAV/bYfGdoSdhtEaGVuxn2Hlsp1YOil2ngjV4Usug6eSE/q2ZhIMb/8B62MzNNx7yFn3DVL/YUzd5ONGhXdOgZJGDvwtRoDkZiTv+in+5djBuacBjPx52z1G8N7JjFCUXWrLxpTJRJi8cjVGPsDiVhgXTD+4NDP4EQNRZFEk56hf5LBE2yRMdt0jSfAf26nBgO3v43yqwRTJ0uvPiBv1b9E+3ooE8KIdUIp0IdksatqyIll9JDUEBIgvJ4DJI9EZX9KOqNgYqPDuBoWjTrmL92TY5xN2rVJwjnydLw9twixw3yENfwgBiWeob9Hj2KmaEe1PxI12yyms50aStz+RkKJy+KDOXKQ+w6TSlvCnDyTEmUO3EhjtuxPKCw3JVZ1BbHOYgpo6RE41At+Kz3zmF4R+5Yb/jjPiygk9gOWwGeMgbDODDpzY8csB6RiEc+MWi0zHXlS3fMpXVtB6e+AloixRrrlSGqKw7tUN6xF9VRD1TaYe3juKM3qUDBhnpF1fnra7uy1uu3C/snZWXsfRhWkDGfHGNvoJLoV3HB1jimJKHkhh2AmTXG9wc0AcCS9sXYRCW74FeOBcZg4blmdSDV2rPbaFdw4iGgxsXcjohHxiEl87ItGxMb3yEKx38kCVLFDw69yZSiKDeYjLlLARnBGMMTfctNxBfhCYLWepIfqK7hB5t4BKyTCnecBzE8UjJHlBJnv7InIrDIYFu7X1xlvrNFReI4irxSUn0NnTXuIpNcWqyEGMr/+Skco+Pe/+dNff/3D4Jp+lnmO7AouvJuHMYdD5AxpY78MggF6AUTzp+uOQESoOXn3Tqr3o1aoqMQgAWXu9xxc+cyVAiF0YI1EeTF53yftb2PN/WUUibAP9kWGIa50SxMPTZyhW+J39eMTridnEftqt+lxsS1SyaNFFOQoQFhbHz1YT6Ll1iqbTbThrvlkhbTJwF6Rzp6ODC5Ulbk8LO8ueWr8NKkluPbd0qiZWMPCMMpl1oEdHqpxmu75279gvgbe7O3J/s9YR/hU2Nlc8Pjnyx+gKRlYgdv7/vTnwQ+deji0iM4Zg8qQekS18w9SSm9TMHzuYoNe4CmFx0QmLSKoMQWOEBahnYBiKNIL8tDW+WzIEL42x/NYTPkT7FrbJBLeJxZIfiSkW9BhE7ygqQs2WprYeP58pJNRTSZGnGykxW86uLmdSasv3l8qMJnb0SwvgZnBiEWbjHIyA47OBOg26Q1U62i3+4hbWjj0mndzEq7nU3ZrFPRDbH7tqngwh+P1Mw07qb7Mzrfhy0RDGAuezBlahcfX1+Jy5IPZw7BvU8YP4zka/j10A0tJv6AT9DF8PSbN5foVHg4JgOE9+j0RTgMzTfsTqbL2h3dIb/Gl19qjGW8J4cz0Zk7ITqoTsvO7OyF3/biMIT3t9iWQljL0TfZ7eaIEUpqbv351xevHglyTyKwBCXOxso7xzSpEDneHzVoOMSyQY1HqOmMZyIlwebYN03JnorONJYCSYragZy3uzDN6Hd9XJOzlAzsjIfYAzuYXYrgJz8UMD4tD4nJPDWX9yvmAT9mv2or9OkHaG4dWC8CwUH6jVTNwnrIzaX0oekuLm5bxTkZeVqYAQ2k2pQNtqDUmBn+WSlTNdQvZB1z6OZuOITPWA71C6D5Q4JNdI5NnBEgIw5K0xEHnBYcM7LwMwJiIQ6+XGmuzhuMe1hX2jVKasG+UfkthnzZ/TANXXzVu132gM3O32DT4Ns91uSNbfYtP7/wRrXcqESx7g0BugFmS/hXd+qejLvFbzye53ml3z4o3ndO9Ihc34ihMswUEhZNlb/TjeIgOTf8OfYmTcKgtFzcYtPtOB6iN+U6CotKc4VYGXSwhLdYDu+kvwGFku1469dwNfmfjlLsm8gYZ8oblNbLyHhzp1OkKgJF+h+K+/uwK2AAupayPGgMjApGNk05r77AtN7iAbRR3kztjv5dHaI4Rl2CLhkCPDn9AUkngBBs7pccQOYKmyrt4YPVJ7FlZwZ6q79QiR0DmtVSf3N0dRJ4Ea5+ug5BYN6bE5ywn5u3OclVfuBUplXxntxoW17eyVL4b87R20gx3fUkj1UploMn6c510BMqP2OIMII5oo27p6+TzooRCyryR7hKDNuyChYaGfhaAdKAr</t>
        </is>
      </c>
    </row>
    <row r="4">
      <c r="A4" t="inlineStr">
        <is>
          <t>fZ1wsPBJ21VdsV0RKFfpUZRiBjniWrFuKxtoq4az2ydWOGzamAhVzQUOo16QVwhNUZOnnZN9cWrb71rnh2dc3kDnK3p6bOmDXbTx9nBrL4wJlkvF7WKlVGmYcmW3sr1b3zGnR1AmzCE510rIKZmirZlQ530Da4l3o7bq8IzvDS8UAh7LZvwbbnFDDC8hwl6ig3FlCEGWE67D219cCCnqxcgCsnm2IDkidpW7J9Nxby6fRESoIjiWG9uFamF7t1yvPE041deg7zrxl5chXVrQZWD9S8k/J2kREupJ791Y8d4ozIrsQY8MUkAtLDnrbfK3yGeXuX1k+9Jh++TagDnmsrQliR+wybFHiHphpbtmYaWsbfW407l02jKb+gomw0KjiLfILr6PBpEUdsYL4xKeOPSaB8X4G3U7ozPlulxiw+jSYpGilVcsi3FKULu5BFAk+oLRkUbmL/4XdITS03ViZsaLvH/eHPcCOUbyRggFOZIwwmMws+abXpF9AVtgawXbSWuJMNsPQMOGL/9KfGMnQUR3XQ6oLWGVVAIRDpeSkT9ws6ejFwDhykJkfoeohLb8jjVUqtB0WmkiIPzRCmFF3xeGlbLXo3EPBcPulJ+7IuIQsuDUR95Ekg5s2DovIs/V8mGZLPMc9jXSrQP+2Q09H5mBxFJ1/2yPzNfRlTOTAvg5c/hR9KeL7s/HewCCjHHhJx4orwFzqaJ5EltsP4ktfpoOZn02nDISfkcuZj7liTsg+Yin8CjYj2IdvpLw0XQH7fU9FiXmHIpcGB/K2DHmdj4sgEqwyToeRqF5HAvkMKMXdl9WndqmfTFz5I/mqKh0LlXr9CDHGvCa/AMysfYrezoQ70G/nDNvAacpaFUWOhe04Ws5Slx5ayGyQkoxkN5WLQqkl7efaU+hazWXQENFusnGo/yX8aAnjUAicywui5lJYELm/wh+RGbv8ACJw5w5aV+ckVj6eHD8PmfO3l4ctY7PW4cX3Q8Hp0ft47Oc+XRysH/x8/G6OFmVstjIclR1XvC0ny69TIR3C7ZktFJes2S0shTwj3l750m8rarhdbjV+yQRbxCj1e7mK/VG/v3eERBRkt23bQsZEaiuou8g+MpRKtR2SpUoYlShmDp1jQAcJXcwBU9rFL6MFeVHJpLyE20nibQFMfaDwxLxeewfbusGeE37jksra/NPpWCij4yYYyGHVNYcKV+prOKQxRLKpRyiuBMuWPECrJISwUH5VxgPCVDW2OSOBPshN3ZmIogbkoPWzierfPKhHhJrcXGDeVesu4aYjMoWickwtpfnOpW/D+/3fUQXenaPHwt5VkoFY0FjeZpCSr9opbR0p8qpkbbyt5FWgdLuqp6eJsNsP932R0kNL+NlY3oex/LOJ2WhwzkUyosHgqDegcHsMQxsJqFNaxdIrK3nP5BGuyV1JWIeNuiYrKRRCNmOUZkPbDMjTAoIzPlsw3GLvBuVFbvxuwSW7EMfDyX1Zld5S7vp5h2gTILqChIc+TxiUyGBMo5FoMkRsy+aRFAgLVDvvrVhMZG38FhyP8YwIsFYQZSnRKpzKYBcWjCd+UjQE7g5nPE4pIaDUQNuCt6S2DziYwzMx0APtM6pVskBydyVMC6JLujRUENt7ToP3pvair05G5BA+xeX0KIznxTOchzw521CrG+jK0hoqHIzmVYw8It7/vCKDoSfJTHPui+B4x247DySHSiFicc63buwsnxiEqOcGohJHmZ0Ec7GdjhOsAoJ+VnkitcCJZ68EJ+Z9tn6D7TilpgLDZRWPD6FCo0VVPgLnZkrDNUxmZifNtTRo/gwKb3RO8jsC7Cd/Pg6T6JaWuNIZXdPu+Q9EjVuRAHkZdJGdldPUY5uF8y04E1otkyR0fo2SuZdk96QQ8khlYj6Cpom5U3dGce5zji/VI1DTOBGGF3rxImadkAl6zCFozjUF9uVDjOFKWIB4jzePDqfIhJUhdLmOmtrjQ22blzPWW8vTm8vjaZ5Tk3eytMLhulTZkDUUVAwH9HbC8FbLbGyL3jOletCsMLhtHNPz8bjz+R+IjvHI1ea3E7Awl46ZBIjtVMUYxHcULQ7W8R3HXZKBItEabTpdmyvsR2qgJbLm7U2YrWoUV03ijeHAa2IyMGyZjJHQz7HyHXKPdfVh0or5zBYAycWlGCMjDSLaTSUaV3OH4KYJHiSyNpZQUIrielkj3o4eJmTke2A3Wejkd4aPMMl1wz36gAXecCufpHRFSD7cqKg1KpclknafFPeuPOhq941P/X7nyE5bfru6CT/rmNKjd1SKV8uIxsk0r9uOBtkL5/0/c9IGNFVlchV5fAKyfRV+JJSPbykWpJr0KPTbeW756ZU4ttUIw/j+cjjMUSUCDTbkHn5YD6VqxVTCPNWObO9WyrvVsqmdUQeE/25lsNFdfy7VrKlZyI2cfyy6Pih19GMtIazInAMt1zugQnB97djEpWKey5riB3Kn3TztbfeV19fJgZJoV7K+r9+9Yy83ZIIzhOYNcXVjjMr6I0j4pubIcKYryJ8yUGccbOMHagNmrnTca9sQf9j+6znTz/zRBzM/2HWYoaBDKD/8CgwZRK6gpkPgfr+DT5RXsOHZOr/+Xv6O/+njP8Ox6MbnqHJeHc+HiiVPJtK0/Iq9zjNOnFZiwzPCEJRaBAO9WHjg53KnDnyv5pLpRiKjNgmERzu5eHdTffp0QVleEVZU6mlrspUSiYDkktcVJe4a7zWcKizhAKeaRYEUJpeq/Nhv/3Jk+k3tBFhU5sNs/5zjn2UKEXtsRBHTa/LxmOaKYGOpfN3G5XUQEfl2wh0SL4rGeFowX7IS+VQLxLOtMHLPDeYtQ5cTZ3IuDDAxcVGoy+ooSNTB7FRxEVtNHQzc6+SGqKofCMNZ1LHkndJo83jEJXUOET8PU843OQSEBk5BWEmBBmJIvIR+PcYJSPQ8Ss6X7l0y77ARmVqj8zHEpfB5kMEO5izCHEgIrqZGwGxi5m4cI3llrd+gGj5REw4jm7EKQAz2Jyza43KZmm7wBjcwZVCX+VUevcjGR/pDfiOYxMwBJlvk5MPbJ17rVQ1Z+3j1vHZxd6H1vFx+/Di+OTsgj55e9jeRzxXHif5IK6RlC2wP44FTDawdRgI50sUxjsfhQjdVqTRg6W3Z8io+cAVYNLROpYtQ+v4G+VcmHGc+EyFazuKyyI63w2CgDab+aLT2LU7pw6dQuL5dhPyHlfns3b1xWiTbWTHQedJJain0Y+MWoXRHocs14oHhofl2lFYia+H7UfqiuZDnpcJUVuPtCvg/fWKRYlNn0VPYCPlBNZWnECUGl7T1iBDGTmA0/7VYCKw0bfjkQToB9cPUkWfM66MitOSaIjoj/SXyH68wmlNn9tqz1okmBXpNbPtSGGgJvNd2TTKDbO1VTHVermKLs4Jsu7/Obu9BBzR1fguZ8qFkhlektWU/nZc/GEJkQEnYWD5WzCIDqfqAcg2LWrmp5nCjynnVTK2vmKHu2Qx5NlQCd/fbrMikMkWO9Ayrj4mESPpG0l53WL8zdTd4rVFsHfOJE5uncclek0Ltibe4qksv6UYYeV8JWf2BrMHiTsAlQhVsjzZHn7sUN9rL/KWJnPQPclXQliJkFbS2+TYyoqYVKq8gHzQW+bdLe1UITfoTohrI+L9x4Sd2oh5b4WESQiWVfKksYLbUKjkDwpkU+R5oKLANUlPVc6CAK0hGCIJ76cKBKXEf9A/Z++PWp5k/aEmrQpkTSYr+yQLC8GkaNXyUF7p8/PUC12U0bTxU8751grKa+imQLS5mwS8A9dD/wuQE7o/dQ+OGPmx08oBhnH4kF2Oxv8M8l/Np1NwHh6GuawiIHkJJEuj9rl26wZSZM2LJf8pRjFe68Yk215BMgS3Lk47J58O9tsdIhODA1zsnYBW/HH34OT44Pj9BV+4f9BBH2XRRH57WWqmCEJHTbe2pnONN1ivJNXDLRA3YDjAtEPXTwTiwy+t5vnY6jCWOx99TZhw6AUYgijEO2ydvTvpHF3sHR60yZQ72CczNPUv3fZep30WmnWP2jsF87xN31lr0xfXDStzycqJPV5RZvEJ8HhiZH/mNV05Q54rOGWamlSV/i7CJyVAVkmMKJoMxw9cyzaZ9vntg4GULC8Plj3jaHiPPHRXIEvJoEWsCwM7xbSXfeySi7HX+fn0jI7Kxcf2z/DvXZ2n6wHW1J5vUKbWqOV1OJSpVvKXDxjcSdxCFhWfj4Kx4wV4zA7IfA9vCEu2pcC/vGHKO+folzcyM4r8HDtyOOw9WXlE1t25amrIpvqtYZl3eLKewHGh1ZfBiG1uElQisjwoIgtwFm7nd/5o8C8O5Ixm3CmITii/lxc4EMUpD6ucbaazjZsdCZy5lKN4jIP+ZeCb7l8PpefK45ByBK68UdZSLpRjbxYLqabGfKrfSMxHaZ1nWufvLH02D/1UU0M/iddF7kc6hf7gUtGImyKfiszW+DpnPrid1lW9SodQ3c52LJfydeAqWebzaB2etvRiGAwiLpFoT9BH0+Csb/uGHOX00P+q9/l31IPgBeLdqyUzGQ8QIAFcoAOry/9giRG48jU7ClY5fJdxjXs9RfF3E71c3fa6BY1ucGylsW7Z4tLBsSQo0wRO7duIER+ObxZaTVkiRAqxGV8ICpS7vtDtO6RvgRqQB1I5nOesVm+AYlN/ZtEgNFkeDrrEJC/SAAjl4673tw8FE5l1SNfc8KgWiQDaknAfbYNCF3/jKrhaqrip/f7iZk78mgeClAxxtehl1sjdFFyRX7i64oX3lOLYRTrrSLpgb3OGeQBttcoEgZSsGssCMZlDX36hSZR2AaZayzUqFfO9LsTs7FTJiHarMdVqrrqzA7s6uipTIQGSsWz0fbvTOenAxdPqeMAy750dfDo4+5nXr/eWNpO9Vqdz0O5cdNpAhmmL7Xt48v7g+OJd6+CQPphyztFN53WFtqyLxeD0shtvVW3FVkla4A9GhnW+2izQnWqtTLQmictn8Hj8vXySM65n1PuDXgRwMpkcLJnKsevoN1u1Ur1Rpn9MwVyS4cdCorLTKOygSua8ux8/xK07GXUQwucIJj9KnXr9q8Gdj6hw9Ptr41UycesriNtlEhoAsREXabjjVejr/bVVrnbqZOIyYovA+QNzkuG7/ui5eAxSA3oKmPHYMsOXL+jLNhsuNyPpe3jwsQ0LuycVb1wvYJF62GDTkv7OFu3fH+GvXnj2lvly6eLCPtiUQIUpYHgy4f30XtmmXl9uhAttRO5TrnpGq/hdnQ49USgIER9SmIt3Zuj/Cswf+RYX5HMTa9OLP7hFJ1XwWMGvZC/JShivPWOLGaGxghFEGTG8xQxKUNcrBfnStUyacTBCvI7j1suDvmvySYoj15Lnt6PPb+nzu/J8Tok1XcHSKDLlwM2b9C0cA/J1CNIbRuzRgTKK6qQW1Y7jkMhT+S6t6F3gaftTN+0B6CDKMBrgxfCEJAcAdTJnTjr7aGJiqZqLC1eWtphVefG+fdzutBgb0ZcSr0sN6JLVgCRV6+ystffh4qdWp/3h5LzbxhAWu4as9q4nr6hkFc09Z+X6yfmZjnYCJsX4+poBIyL7HWgAdHxFqjikUcHsw7zV8ANKdHDYQsS7tCKCpQMQmS+3VvBl+yvPnNvrfpI+TP51uZ3yDCEVedr3xo7/XjBYin2+bBem35C3PWfqhW1z9DanWopY4mYE7D/WtnLT72OWjYSdM5U6C7mc2bKFkllpCzZo67XV6Mxw35PS/0+TobXlBUUMnBn41/30+W4s8PTREKn4YtaTl7oeD4cQrdZgkHIH1rO6/qb9rqcT4gS8KGGeNSGHhjPydzh2uMD8PH0TKWghmLQG3oeYOynrY0xhXR5/3colYagtnYiIsZzBoDf3h7s2rTcYhWsWtezG5wX+g/EE351W7REnk6Z1MYT+VMcYRvI0acy8tZKZt1dZnbLFmIKNAb4MOHYDTI5/8eifG06T9jURNR8tx8t9BptXUNrFj9aIfNP84NDN+fMKOKlc3a6bDH7/vpxtypKMV61BNavY4SpdfS2FhOQ3Y4OG0/S3LDLZt3edxP2vRPNBICTvEfG5Z8hWoLfs/KdMt1RLxL1aM1Ou1SpmIlORVV7jwTwL0lUbB3CFGW9K4JQ4XetrBJA/woo82MDTwb8wXHAI1UqM9yTzamfFhpOXqWEN9FexIoNys/qMTducOWMlJ++iQy1FnKN9rrfY375RqCNF1eL29OuXKVfYASXfA5TFH7DDJbJfrWfQ2ts7OScvomDOT/dJQfEPXfq3NemcQlTcTz8QHEdu4Yrg4TnC8+otsNXIn5DpO9OkpaQqD3qKpmk8jAMmg5t2S5rWteFSVXhE9arQQ0FkYHF0Rv17Br9XRb2owq84Rc8+uf2odXpAjKED1VuzBammJTd8TAfcv0w31Ck23Nqma1JodDaa+AM7aQYrzHMjDCYfimRrlCDTwv0O24qEpEzPdOivN3qDVeIpJW6fFE+SShghc64EZKUHLFxMILBNelzEG4FjXY6utyl72qcRd8L/naAGgPx2n/UtOjrNkY9Im5Ubh4M7xobem8/o6AfmT+bDGLDLKB8/uINi4ErWt9PxZz51IQTt3jyYje/MOwUKOJ2yVghC8PnkC7N48y+DSH/7tjMilXNyWriscS1bSYRqGob64GqpUTiYQjYm4LYUycUB0VMWgZpN+AKO9ayttsCcIwYjvNbodWTuhaVmJvGyJ/PZhGzLyDx0LqNFYU+UQhFyp5A3uQUp5I4RNYBNik+T6G9ZhtBwZ7opdofk3nLG2bW5pGwSeHe+N9va7sT7kwn5YOEmpSn2pTNgG/XUMGb920DPczrz9ADckoxonvaneTuH+ipy6RSOd54oNFHj0l5UhF01IR6wmLQFczC6nvrBbDq/YnHGo/pGs2YIMUd3mOJsDn1UtviB2m/5+SQoeC+Xv6qnxjHrv0scM2kIm8zjiRTUXhAr/yh21J9g7H1f3zCXUk8NbdbTPXmXRpEI2mhcyAEGl1FHsq8W59GnkvNBNoKHeFqtXFEnxyOW4I9KTTIMLM+hygDhoBkkBe7m1mvCoFyJb9GUoc/3PP8ZoKl8pYC1R9FU9LxXy4/7RvbkiINBq+1iuRzRmY94YrqHiGrQJ28rYKN28KWftcGicqPC1+6UxYFbkMPhOzBGilserV0ySHaFiUBPVgqUEquzI+m5AYs7gbnag+vBulLiw1WKiBJgSdLCK3/RKBo6Y6zfdX788fjkp2NrelTSpGK1vFIq1lZwYtL6DfN6/dntmBTkeecw7AdUY/jQRxL3IfsaBm85t0UEF15Uy5DBF3fN0xfI0aaBhY3BSEOXCuTBhmSsLptseOlz75AggTk1xdqO1N8lmZGICs8cXmOmtLVbFZ6jn2p1eQgmH3LPpH+PNjKSuzqQPcrh4hOJQckLdlawTx5PIBHXcm5bSYPMJws1tgExbBMZcTWMs4s+vqOBOFmJQGUmfbwisTnz6XXswWLehAxNOms4tDXeJEVOrmZZsYwsB6upkHjVZXzdqKzk6/oqLRMx0zNWiumInajuRIljz79ajT+9KT/DaZPpiZCJEtBYqYiKvw56/45r/ZS1cxQKc014/qJeGMiMR3HRLjBKXn8Unwzvy/r3Qud0chwWaMn6gdoCdeUBPKOxrcIq8SDpIeCybfc47PbVMDTnqiVnczMLl+he/nx2W9R7gaeYW+wkQymdxcYJZzHUlMXWR4oWNjFCFhMbn1MvU+p1JgNdNJ7IdnZCzBpF5osEkgRRF6W7UqUcfRw/yN5vSw+Bnkk5CiR/bKlB7JuAKoYX4A/zXK4nN184mxHKBVriyrkqevWdhjyOC23AIQ/GFbkQYXWHJGgsa3FElUY3OY5E9N1axTAkc/A5eBo/iKpLcED/q/NUBj0UcJfr26VsCj+syXMJnsHANwCLtIhPEPqR/kI13SG2eGRLM9LkShsj4zl6QjFkTSF1U/cgTZGy260PXyl7Gqs9DZz4DMIjZK0f979iig+RBZ8eQ6AevYCsScvf2YfUSyy2oUkLwuJlWki17jV5NTDWNISITyPxQ16ytpajYdcNJ9000d9I9cwa39JAvuhwjoVyk9jovbwMxsF4XrYP86aLzD3WrJmivB0zbkc1hYO/h2KT6HHlWkLT6c84sv/AZ5ZnYeR5LqwbX6klShvWlTRS/bHGtzgrr6e7wNUmm1eyNVK9r0a693UWGcQW2pAd10qFYDjq3Rn+oj+ziY4XcsxSjIXw0RxS5ZQ1ndWq2l4CKpoHEn2k4+t7vZSXJS/h2PEHBuywtJXbiG9DojVwqRtB8oi9pEhkMTylj1KyimKHiB2zJX5Vojigbx+VTP0/kvlPjTlUKk/Z8dqKHXdHPOrqnLlD6sgeMsGpO7eH9ty+Jub5lno8oHZyCKLczzHGL290v/PTev7Pgx++YuLTL2/+s/+VNSBsci/e4Er7oFRnDoHIkl7YcOKxNSoq8G3ZW0jxlmLO0RrlitVKLjnDvbou3GJ1OdxiI9UFaCy4ACxgfwvEb5Hki4BSeekli0yasxL9KfzdWPGq3ditWW5x2Ju9wdewNCRAaS2t6DRAziVf8uTjwehqOO/Z0Toyx0mS28x+A66kdT5HuVpdm7Gqjp+q6/JTdSk/baWaKVvfhpkS4iT/ZTxHJD7dSkmMthAkY/5axGA5bR/vMz7vyUcSdh+B3LufYsCEQOy23lXwpVgURu0WqZiNmC/XA84qR5w5fXh/uqERs5VqxGx9I0aMo3L+H7I5zzBetlKNl61HQseRLbJaS/DGI7Hk17Bb0hBWUqLBZUGWjVdqkno5+ej+2oyvj0E6eEpsZZsdMsufUusURdlRWaoXkKLk2tm2lSS1tSVJzUmS2ppQ0dXaSklSW7GHeozjgdfIdka2Mdzbl7dDUgxQIjzL9d3oKIboHJbo8AV0UWRz5g55R1sYl7NoZtjvr18tMkjKTnHTEH0161wj4+XZDmXojvsxOUCjHs+YlDsuJHgzUutLVoYW/WY5xqnncKhp3eAzGrR7scE8kZfjXKaMjAnDxUuNn0cYydk6Tznt9VVy7bVtGDVcXE+bM96hIWL08zmCEh6wJFprwu6BHiBvIaKFls5/2WD8yXaqzt7+NpK+LUy+DCwE5MLAtPmUi86lzkAkFAf75VsZziFZlI+cjV5KN7iUrGSjvSkyXCBnoQZcpaDrrPPkS+Sj2SFiDO7/Ynnf7VQVvf2NqGihalEBMZ+hn7dT9fN2un7u6qYouMZVXDW/ni6W59pec/DMRaf9rtPufrgIowKqnMlnvLJLEyb6vlCQtbH7b213SGGnnHcWs6lnIeOdREtUta5ZQw5kLwr0sBXF6IrD3hi9Mz3qzkqYevZJgqC2Ylv0PIrGfYfDRscqtkNO4Xb6fpDIBr2Uet3RE75rYkuIKcPU1Uh4Bj9pMy0jzuFb0QnOWulrz3UjksMhUqt0GE9tSl4ASWUHHNUfUW/1FEOovswQKpXz7dpCsW0pCQbNmfqZf7mrL0ovfNQyf8B7z2SKMH7hwiTMYpPB5GNzxQVS8VajZIOD3GEzGPhwWV4HKjHQzLztVNbHcx9iYKx6e0BLkKLyFMxbbukPP5daSuB1Pfo6TXl7BaB3BFAACX8YssF/2OwgKQ0AGw+Cz7vmJ561PYDzh4F1132ZEVREMkVRIlFbS98pmu7gX/jLidV8yFELgyFoqA/XT5R+PTRVebReH0OP+AuSm1R+24rwGyeIrPjQ28iwJV+yZIZzUfTu3LCGICzDuG8il5nVdp7Eavwz58jy4WZeujpT117qhoA9k8lSgUJij5Xi3glbTsw3kfJXBP68AOBn/dsxBGdmu7xTRr4Cw12uArNPguLv/f6QiyEPTG2n1iB7VECz8ltblTxAs1zXgn2wZDMi260tsa7+2l5Jz5ZrMyRofnmTTr5f3mSZPQRSifSwNtbKTKHpAFNAvocZZGsYtWLGxoLLVema/tx/uBwjWizVu8T/KEMCCpRdt54wTgVKmH5KhtRMyjKw7pClLCi2S1o/It7SIkYNlxOsLe+RSR3U3vhGBrV3NCrfIvHxAGZZmCrS738ewuQfDucTkHsaPftkyIRSJRcKldyCTMmxSMmJREEDGBdoZRmcUyARabPoK+PPLC4FJ3fDkFDq+PXGzrdib1pSFzUlUhRa5oXGPwLnN/i+XNn41asrXv0wTmSTqZGkLyPZW2nQv+oVhhq2DQyy3QvNLIuoSM9IbKUvoGlqLH64Z9AA2jpf2smXG5409OIaCRPRV5PXbeUrFU/m8aFDQfbCc6iZFoqh1HjEoik1CuZ0PnO6u6xrKjxlI2oreVD0p5wtMT7xlJx51qECMP8MU+T4P6+TkWLiM6nLpXy5shuxJ8r6YPIi8pqplkCNspJEY2opAZtFOyF8DO18aWvXvqIpl01mPLTsGeTCxopsU9/blMBV9L9S5H/lMrPaJmdrK3UI+1Z8iFetVHN5Fi7MCaFIVceQQpv4s5jgsTCzdlP2JEGzyb4UQc082uby9Hr5Pua75UxRYmRIqed9CKZhHiUbxa8P/5IJ1xav8GvxejyWEVCAcxC3gftDrVYVmeDLCA1215A75ULHP+O9fijooGKu/x+MPiPkZ/4xv5uYaJin5we3rMfXFPFbKXtRWbEX78d42r59kgnl++MSX6OnmwixQ6SubAte0b0grjpkI+NqPISlP725zFTpkFTof+VKFo7WyP9Cpszn4dVtplSolLZNqVCqVUga1gtb9XpWJ3gCk9y/BDBVeRdniwVV/XFefhO9YBkhqysI+RYb95LUS2HcQ7XD/B5CX+vyxH9F/mRfiqXI4kGVT0hr2SWJZyBCmq0hDlX270PzXgJt3PQiNqmPiTliMV5z7Sgq+TA0s9YgI9gGwZHThYhGgY5Hf1XEyrjXwLgb6H6bCWn6E82VYDr2iYS0ubgRcVPznYkvzB3o/j3LyT1FzJW1mAzDyrMFXj09zLdb3bNcxFmwK+UJAsA367rL3yE/yyu3gx+m42tAk9qX4xfiR9ouARCJ0zG4yWy8G7nHX1syHDxSQYEONcQV7J/2xiHUK0D4SWK3vmCyYB+FKURsjFojr8o3lUolRHk9Isl2NTaZo79lFTHW1Ot1OjrlCmLtFil2ykixZu/ob4IhS/+a93zY13qHGIisKTUaJUktyaRWIs+X/lBeEW45+Sl0D+4nOxjNWACc0tmQgr6zD2/zp629j633bUz04FLqelM3EANO/JGUI5Iu1BYxQUaEbiwzPN2QbyntXYGNecDo1u7rrj8kbf/urIP+2zux0I9P2u0DUy0VqlsZP4tEENiT8Q9O999h4v0VJmvckRvYOsXtXWcXG/McYf6Tek8BAAc/8/xJWvAut7Vi8/ooj5FpLsyUUFAIDabsL5elhdDD0iIN3AYmME8x5t0i9lKGoYcBelmAceG0KZfzWtFRBuMi9Ej2xpA65ixP12Gu8oeu3LpRLgFgpYTQGHuT592c+SuAdWAYDbTdlIyJAq75aUYytq5Hh/bnk/UJo0+XP1lPVQ4+SyYkDi8w9TYOyBwyPp8S4k45jokzlC3YA86mUKmORp8RCT5ixqODrOarSjvRj9vu89oWyaWPsUu36cQ7dj6Smg7iGLLH+iwR2wMdkWXDVIMgbHFUPOKEdLoe+jeBrdt3FGCLZlEoKiijbyXftaODpC60Pp2HavDHGeTvZFw6GhS+o3M24xR0QdqKZ3Nf2ll5LYFPhrEHQECUMPNKzS/zSqlcw7FhG4SLC9BsrGd1BIkx5P50boEVfmzqRfa9Au1JRVhCSK3TO7Slg0V0z6P9ivOAHF7FJT4LxywpND4/NMLI5uDaVlL1ckwcJsLdPHA1hDCfSBTTBxWSApNbegomdJJJOyVq9AFnJS15MjLHF+z8xIf2FlbOPHKrAqkHDJjHEZRQr/CQQjc4rHMOoNgLGY8K83LvYMhi2Bc5Z7R3Na0Hc6wK1hRebKZITH5C/OP2Vx6Rwn/OCvZm5CDZOUHA1KPT5NqIvbAGNnDIWhasTVO/pS17lLb1B/JV5L82KVzblg/qZXuUtuSDnZLwIiBWsFaOBpBItwg1jPAuMkNjNNO+pC4Hl4OhfqE1vPcfAvjXoBQfy/mUGTuiv/mwgjcwh2g3PjBNr9IzTj4uFwbvS+NKoR+BvyTvV/rJ5FxbtDHSY/7/mXy+QRvTf5kPZ2enplYqMfrVZnwoMV7dbSu/dm0KUgRxg7y70k4o5YC9o6eF2Egjl5qL8LQLeJ0zgkcXQrMOiAOhnUvGXOEfkxsblINtV0l+UOUP/ivdOvWvr63AFCtzLBYhB21MprV/dCCjyS/ng2HPfsvaomWZ0DUXy9g5xuW43bsHvKNeWHyidqu9Cdvh0EKxe1QWH8oHkOMV6KnIwxbVrjFrM+8BmnZ6ZwPF0Ljd1vH+2xMFPMvJ50ckK/7h8UgjHoMwHhUeM3Zy1rhENMQoA3T/OSfbn4yO8agHFCcSyfXW25x5/zaXalQO+9fhbLqYLSoqU0aEiQqiAwU7ZUH05xelvuJXqB2Jti0xy/pk2diZFopJUgzEtCtOpjDw2JpR2wfVtae+TGvC5wmhf09iUMd9FKIqkVSBnHxVNjwrBUmQtXRD/r+FdtgpZ2lvHhFNO2U93VrMI9iFvCNPlkos0y6ickR5gpu5FEljYNGFOanJVgWmKbpIi6qvmaivgni89pDVUg9ZNXbIpKan1/+SM/Er1jh5Z+w09fPXPLjN3MwRehjYdjhBnHiJQ8ZnjIm8yUHbVWQSOWiSA/hGztkgcsyOx7pGsA2D5LPaDx1sFRixMzaQSdP94TWfWVQY0H7gjI0/89nECLw8+AN/vnKScjyKRDRVbgpypXK5ThRwHJtLYVeJmo80NmZxZDDzBA3vas6gnILNZXq4he2ySw0m2Cx+hQTn1jflXLS44oqZ5lg7tSb4BUHGHurzGC1ZQHDK1V1694PuWTbO7hySjbL5Oy6CvOTup6sxNuKFWLpivkZdaVM3w8vNlAm5GdFsXxxFQ0TwO7pjIfTYslH9IwfWIZApByYZUBhp8yOkJ0EcJGyeIrv+n/+ibwMMIHE6eEb6/OoKHtdujD8r2GZAASILEhlI8/5t/rybJ78wT6+YFZ4X5w8yPoQsFLvMwhzs/aWk/9TPu8rTMfOTp0SRE2UPB+5Lz58HwhZqEfJNBfRdD4iFxmfbfeiP9Ahfzm8gGFhd9cVfVc4yGW+p5xp1WAczLxsOGHNfAdH0awVG54qM4dEpGYFIRO8J3q3nIv2SMb0M+4aBCuUOdJ+bWh+EXHoBP+EaE2lstz2TQiKatCg6Yr9GDMd39vgRQazR+s6iitLlJrNV8vuVRrWR3ZVJLc6QEAUkc4h6EQHXDAuagQ5wRZ7JbvSwCEP/8uYJBPnljcCo41M5VdrI+NcWyRwMWZAqDrgDM3/YN+/atO+j3rCPngGWYeY7I6YxG/osdS4Go4TA+3ckhC22fWXNaG+t8qRoL6QR97URVQUEHkPvUEAj80KB84DgXY7/U9GgsHekE8VsUI0v9lT4SrTPH05ZUtzjyZoTUS32u8aDUW+fJmsX/O/lIeCUwGA04Hs2hvYZm5Njc1T/ZKqHOzmrGTJ+OCNLDFX9g5Z5a8exhSx7wUBtIkTb3DA6+z8x/oovcHA+Jfi6SdzV5h3ecs8oj3blaZJCbFLcp+Qc/EEH6z4SoNUQ+qro7EmoIUt0EEQvlvMd0o17LasYwRHHRwtx09AWwDjAIBL+FAkYO99heTxeIqMsLH9ibPDJkIih2BBaNYs/zekWJG6AZvGQjU7DdNrrEs1Ss2ZoVOKjsQWSmPhT14dvaZMWRk0NbSYjm7uPCC+UJY5jlExGBkEr0fPih03UMWAY0gobvPajMpnCPScBZSXc7mfNeNBCcmb+ZKK+pX15SYCSLuVzGt4S2lapQmv4MoY7bex2ZaCHrbqzQUbEoHXnrplhyY2dcGp7YZMy3dgfrFJYjEG6EGRgY5CvE3p8Nx9dhTWfKaHHMiM8yIvTn9VighQDaUhlT5l+luKgHPL/z4tRlp4Xo6wsRAMe4cXHY4CJkF8lv/BBtTAZ/c+KAS64ZokIBBu/2hxHPmXI/GHHvsgtZ9hE7JpZIhzHRVS0K3M2CWDmLkgsQJ9f9lVqSU5hznZiMlZAwuYtm023bCkndtm0nTBlENo7jEvPy69RY9QdPbVKbZwLOovfKI+I3CCYkYE+n8lnCG3Rp3fjL317ygte0tOiLXsIwlGvrHetgFKKcFEZdzcJso/Hci4ip4NF865gWmwHiqyxNdCqJ5KCJyS/lAuw92Jvzvjyi4rAj6iB14h8LfBbp5+/94cYQbcObwGqNJ2/1IX+f/y1gr8izMRswO2vV9LSCEbwmRVsofgjzPBNBZM6/RvYqwivRLi9p/lGVuFuG4gtNGp0v8hsMxspXpRluy/Aa/zEJJt9W1yWSzBRjH3Swq2WAeOxh0UXu7qmi10pP+pi7wJJ+2bYz5OvchXy8MR6ZmQ0vev32l9NeyRRmZwplz7fEPfVyTxgnwyo5eXSx/f47ON7fJbVRoEwnhrW18wWYsNBuLm/o58dc575lVd5z497zClesBDxIMZg1imOu8JyJYgMX8x5w4IzvvekyiWTsWbxOl6yjo3o9a+GmLkns2uviVtPjC1nQp130pmW3wHAS8cQqLO1r43/V+K0YYlTugfNPWRwGETaxQ+kycS5qk0Hbnz3ECvryOb0S3xqma0cOL89jHSMaYHj6bB3T14Fjw+XxpfwM60Lybkjj1sxsunwUpIs+ANLAf5Dhf+wGADgteyyi1VqkPY6aLu30fqpUmObPj7lY+A+2uGP8Ar2o60Sf+S+zCMU9MZbO3rRdkkGC095yUUsz35/p2x/qJiMrXoJr0oLPnDeyJdRKqzWwFY4dBohC/pxiRpK0kR0PNF0ZSda2vi1ONW2lVcaEeMhBNnRKwkkTGNJDldgwHrKJTpE8HEjuXfEWs866zbIbAUVv1kwn4h/EX8h58Y0VdjYL/dyqvYrXAoWRY6C8hTtzX6mVxCxsSv5eLsKaQxZOJJAr2QVPAQQPllt4LKnvLdknfAtmSUK0Sj2Bi3NebeufS8K4weJwVM2skktPgmTRG4PNUnadJGbs1iTgeZfxVGYCd0Us9TWS7lFRFsTlINgScgkzAFP3xqqsxLFyZDQhz6H5Z5TLK4UC2UEyrQZOSr1vPx32x6Hqv2hZuu1qvaHWsSFOP9Y1Krfct7hftAp3IaU34YhyB8Da/UOSNuCPbQQSjkiM2p+t1Ed1yNPapoSP2zOkBbufdeMpQArKxoyoY2UwYTxKEk8MLIJI2dUBDqhp/uAsSXe+UJYZvGBL8hblhdCsbkoJLOPh3mq8ahONRnmqeYXrqglP6hzICjyQeN/fmSom64sOJIguVvAhE19Ea22GDNhksts+4RZqLj7+PRYBTMDwoi1HcxkCrf1Nb6fTef9kEVcMWDC2JD2eRLnPPivzEIERh8LvAIKpx7Gc+1HVqF8J/6bP7KnMKdsLU1Napb54axn5x57zbilccNtTU7McRpVKeKPQjK5OPY4LPUgE5He7com/mO3nfqDgJ1VcgDZP0VqgecK+Hc2GHQFFG86NSQhZAhD+PWlJLHwA6o6eGq9uD0iGiosttwbk03rfMfItvNQWBiMPt11ehN10OjgnsXz6rYfUTxk64OPXLWbptt1kJMAx9Sru3CGGV2ER9L5nA/Wy5yZKu1F0lEVkCj/7eNZ2FOivu56fB+4/RVWyGYngQ/RquOw/s6TgLYHAKbWZKgBxPW5X4x05mygBhAnhiyuPCt1CzGm/baY879fhAscpg5KxNtK99zFyXIWlhf33b0XEcyPymT7mN9YJpuMM7/Z7JALSGhIxFfFibhi7jJaupIz9ciKkArDhmny+yWo+Dsc35QTGlbFygFDueNwcDVbFe6rrVtR04iF+7rxNqLMMobO7iYDsLs6k7s3EDTof86hPJbdgwg/nN0ymij55uHkMf5mj1sPmqHLJCF3dZy+3fjf/7wGyvUjkqnFOSYT9an+/1iB83t0QC6E0jqCmBr6Hjy6I1ZxWsm3Px3s54/+ln/3tzydyIyL13CYJ6fDfL+4ySTOwAbiD/n4Zja/jAg2sz93MHOk2O3ozkc0pDuo9wxfL1wXhmG0bpYHOxZuChq6q9j4ng0/lG3NRsXWatRtJ1mjLDUajWoyXHc8Vkl2bxMPTt9EvOVF6VQwLZWVYgdDQME54HtxE8hlXxFnl2enUCczH6KuJhgLeIMTe2GKJ6W7UlGHnpYKM7/MS6XLLQn+a2Fz05b+59wb/8lI9b9X1tt6LrqxvogPzwVKZG3nZ7iwO/8BC9Pa44L5qxAXZab0aumyR+F0zelwHtg7nnf3zf/H3pdwtXGm6f6Vmsx0lzSRhHZA3DgXg5wwwUADjtM9mZNTSAVUW0galWRM5sx/v+/6LVWlBS/YTm6fmdgGqepb3n153kZnt9bY2Sv8jsS6cedR7H1pu13b7eyt3ET+W83GTq2zs9G3NFjsfru5W+u2i7/9AjtuC1643YCviAsnoTu0aZkykRbRdrrH+8IiTKED4lG9Y467Uw2vmZBEF4ypx+L8tihbvybbtmrWggssj8Yrth2kPLVVmkg5FuKVLjPsAiswSgT8tEGUb23JlET5DP8ukR7pZmG9S5/NzbAQNahXXTiYvU74DFHcYsLvj2ZvyhqVFaq/v+WZ7gyhadoTmP3IhKCaZO6kmYxTnHY/iKYI97qilTITLGtn42vtbHytXc19JRNfa1e72U9sZ3+wk/3BbvYHjXr2qY3GHz9st1I6AnMaW46s0EpB+0yiFo+aMmWJ+UkdRK4ylOoNJNtx4/Q6Mv9qE8syee/0tDgD28Kz86ODPnzosH989HP//O/wElYGRyeX/fOT/cuj05P94wA+dnp+dPn30nk5wH0OYkdgBgqcea+24egqAAOKILDkcbKc1OutCErtsvaXEprOMBkQ4G/4eJ+DNSU8+IYMOTVjChQ+o9IPtQaMHv5EYax1VJO15O1kU417ZvfjbqK3/PYFGOGRt42Dpr2bbcPNWkiCj3tnTk8pZSgnDgzZPfnYQPQL9KYMyvxijsmWKk1Mon2qs2o1hEy7qHLqpFNvsaq11CADhyl+Eb2FT6NuRBRuk2lzQ2RXMVq+Q0J0w13OuU2q9lWGuQaxo1T1UKNxek+qrcRNU4gUgpGZtyYjh9c1D0I9UOzQW3XNbrPhSi84S/vg4LLzmpeefuEYleR9EnG5Z5kLKeFvr06xK2+luQASMnRko/QDe8YtW7QVU6nBxmrFSgI1Ltmi5GEvdBFsL6phiEwxkjW8xdzQRxSkpseSZ+iuC011Nq1E665o9uJ1oRgks7Pcw2SGj6xE4yD3+EyX1CvhRx/UUpQCsxCf0jdPAVN1v3+BwRP+GmZT/aRpv38U/nGDUc3devAcrLIxxmtHb4c2BKUdXwf7JgQFnnWn06k3kA8zIajTE4lASSmcH3iSorgNQ0/CDEW1cGfRGxN3aj4m7rTHmmTOXZ5pnpyEEI4uT2RKrXV6tB9qFZXtZeJae4XFcHv/P9r19NGug32KdvVXRbuykSwqmRQOkDIo5nct09AqmbKCsuMX7yezN9GMPJJM/EkedRPPnaS1T4DD2WQ61MF/WKPkOtqU+IC3syWiSRFyXUOGmCPfdJsqMzWsIORvpCg2X1MBOgs3kTCCdjCa3Ff5TowIEwxElLBUgPYw5VnYAxGW2YCVX9nsBZUcESxnZauOUVWtFsqYs1IQlnxVC+x+Xfk+ueUIqK0gF38F0wkz45MFmjCTYRqKXXwmpe2XvFm/4hWrwifLxMBd9CbXErJB4OMVrJCDHKviHptFNYTKqC6R3YMCcQhymuxcnEZlZZZbvAuyG5hwMZVfGJFVASaZJ9Q9mBCKQDUvRktFZHuL0jOZl1fENDp+LKGTjWl0pDXM+UH7z9Er5l4qN4sxQEY0Zq75pf/yDJ01R4BwqYCqs9JB/+Ti1UVZ9NoYZ44AGWfpgm1G85AJHCDIu7BaDU5ocPmCev3goeWgWg0rKncU2hKIgcUH537/rVnp1Oto/WY/eosfxfw1d4vPEGd6i4YuT2YRTULE1UhK136xi4NQswJNaj+WcCQhkLANqH6qJVSFJ8HNVfIKxxaFkuuIyNniUig2ji/ueFwmuRoEVPGBAi3kgHk0Mi7x00QljCwupqolJIXZdXRTBBpn7lMt5lDkn+Z0rSY2odT81SyjPVrKSpP/PS/vy0f0EduA4FhSGtg2LxARt/KxJTdZyh5qJQdT6zOs++8iPiyvFjnaeEjYX2gMYkcVelPFBQhi/lesyQ+mPoZJi7psVpFBeSMZQgVL1H6db0A7ptv9VkJJXkwBS6CWhhRqoRnSrMYSA7XXwPil0pTzNr4Qs3UV8i7U9rRcAAyAXfcGM2kZM+CFk135FFYWJ5dKDBvgBoLATOhv4VXhkR+dbWlFUllNr6WWFydVzzRQM5rc3PjFRBTww/JE+zqgqzHWu6+LRXQ3jUW0VnTFraorGkymiVh9EhdFUChyF9PgOB7fABFsAfkP6c8f+SMso7gX1Lb4v/tSggyvPLQYLmA3JSlFqC5nF9lmId91xw8cYzmgiWa53WxtfmSmwcWYKWHhuSNamXUXiz9TkiI5vsFULhBu7MG0dWMPJ9aPpXp7NN0ngbNNKbpZYsQTm3Y0wQNbfvkQz8thQWcTZU6BVF/+Un11Vn39+qJ6jPieDDzRBcdx6HmcxanUksh09VOzfiX3thL7O3F5Y+7w3pwNNXYC2FAL/tMCrVdRfaLlhMiKGa+O38DOkd4Yt30QFR/DPdI/f2RZn9aKmg+x2VknBDpLKH/ExLDIpA3bOnBXA0TeYgUtLEEwLHhJTYoDynZL2NEG4voYJ2iVg/+kjf8X7tv/94/ev1fAYGRSrd2sr9P9A0LhFuQihNrFYORplsY+oIvuLRMdSutSCtooFM61gGmXU6mUGeC7ZR6pAjO8a7TeISPoqFWHU9CmJelORtd9jOigrqCvOD6FigIKl0kIB0Q7Rl9hT+ni7g4dG7IIDhdToDMOnfaHCQ4SHII6olILB71bOgBZadpeIhDRJLxk5bXgFAyCm2iKfeZYvtAjreIV6XHESLrfzf6EWZFl0MigJBaDpDGuIg+0Y3jADJ9/jjJ/z3T8CKQh7SPL6cEwf0YhmOYAJo2vMNn3MQ+ukI+KNalzaEFJS8F9XxHLAMrrLLrtnEXXylt0LZ2aYyw6Dm4NJ4MF979JJWHPRAsnM8miidehH6UhSVqtpkBeFN+nom9vPmEwpxBgq9oOLN4FTnLSnPvxhLs0R95qCLOdrEHq890J0gJLcIu+s8XLDkpiGD5zYb/g58+Cn7HHlT5L9PGaCo9sNR6OAjJLOwS2H8GSQAbxUFPu6aHXU+poJm0v7st3EYH6zqTBK16HKV3hSpQ3XLyL8vbDcy5FrWIpfrXx3LSnL6+M4OB4UUO26XyS+zS0y50CjUZbC9wKbidhqUs4IAxVkbGEVl0fy3Y9T6prNv+q/T4dYVpt+hD84+xYm/HhuI89hI8ArN5kpCOkmkhCJAtQFKudSMst8UdaAUMx8rHulh1QDaVKjMRJLpjoJEz5Vwr/Rf94Ad7ZWQTLv52gRghv5/Np2tvaur+/J6TP63gYv6uBMtvSHSOu2ACoP8YRiUAEb+Otix958kCj2XbQysvi+/lXoO7yUHMq+GI2V6M07rbx+ED+CoYc1d0ySRArwp3TcHrFb9W+8o9oStpTBWJlqLZGRyjHsy9dntwQhK2xw98KWrVutV2DS6wEaz66NR1ew8dBqOy5F94LOp0qzqG5Y3JuNvBvpSuc702AKjwTHCeAAPk42qa5Kg6/vanliXK2/c2nsj/PYyT7pxnG8EpnE9YyUna91P4YbG8lP7t8LHtSh83lB/hBXxK7WM0aSDBiuLacrsTI0zDXCplAGhGYumqY+sMEBLFwVihsIhCCklJ9Y6fS2u46UmaPZyDU4VetVqW70y5rQzzKP3iq0eVJyvX3vH1Go4pp1qJIGJrHPh1FgxiXgFwUqRDio27zp71hHc5OZP1IOE8818AQsRKFY1zSCz4VObwXNaB3zdMnmRa4baSQGkQtPZIatpsgHncr292dZdTBV0e3iYzlnURKPtF4PeuTz6gMT9UUrh3l8/gMg73YUI3DqYSlFW9bEV5AIvvwyukX5GEspb0TNTnZP7pOxvGeO+ljbHIWHFW2rrOM3+BpEANqkEGdfkVx8NkgoTj7PgV/V1qFwodqGyK+r0Xeb/HUAn7A5eIqzleKKBI/m6KXr573q83nFYcUl4zjKTvGJvEG0mZ1FQcllLhFqq3vOFwkpI0AckBuoAdn1OT9F34eDYG1kn+3pbYdJgmoeLNEzM3H0NhpV5vtnQAT9q4F0YWfAPE/Fywh409zfuE2wb5XsaBxgm+HCkMw4zAYxdHY8IAUA6KMs3Ne8IZenR9XqWaXbxWLYVK+aoEnisZyuTRbmNpWaORwRLKAv8tvIdj8O/iqTKky5piQCpyimSjc21iwvYfoUkHF2D72jNnTa6L9Zpi420IDzLHQJKNuZhhgeBVvnw0lelAVp+5idDSAC51OUHhgJxfYplGCM3L2+IjNLyUtkx1TQFclE1MIU3gxrgVniFHI1UzJ3DNq/UFy0jo2i6vil2dkTrdQ5rTXypy2sGGVYtgqY2YxCksRM9uPETPn3Z69dQnYmeO7lZ1fYdSdtp+x5Zyw1iaS/cOMur0VNMmkwxK/XatLqAA1zmqxYY2W96biPZeEW7VdJ0yBdd1TbiPDshoNaaSwxI58rIuLzdDGdiFtdNfSRnfDO1963/50EDPiYy0dPBUFcJpNuje5y46kNd971zl5z1m3H6EIQMlx0vBXjQp8Fb+Ivy3vZdwBfYaEMeAjH8vo+yCqExvvX9kuk1bd3TrtQ2fjkMVv7TvYOVtvlOhju82NK9QCx+aQnldvVj0/t6Mv65YZ5N9oatSr+H4kB1Wi+NBYTM1CEY1PdsSoBFwiLNtFwbl0PMwhWhuz3IQY/THukbKdVDnak1XkFUMyfgucxOlvuwosbCb1i2W3jxvLsrNhdryxagh3KmliTg+Xe9nCcLwRjiTQiHfNRPw79Uti/DAKXl14Pld48nfFuyHoWAFXPLo4pT0SiNs1WsrorX2plfmZtPkepUCpUL/i12MXQDZMs5ANZhC4f7SUmdFgLeaQpCU1NRMnGKHSHEThGOU+GhEB8AMQfOYFK77JVs8GZdka7s1AD7jF13uZVLi4g1JCykaKVFkfvPwlG/g9V+qSlBYlyehRSmMBTb0CURHzkCcPS8YpVpWSx0jgrky9FIWRpVoo5RIZtLmx+lqKp7lMhi4M6J0LirzYwc0ipqIhP6Js/VCcvXDZh5M/7/9wdHoSWjYpUVfFv7OicQjj30FlOSANLgMlKfFQLegjgfR03GXDFIAyhvVcRqZJtbgSLm2+J2dQxMa264+fxwpkhq5aePgiJBeHGJdHjdkPksBFVjYlSvJrEp97QQi3G7LfIBEcoAW0BFLpjIBvGEIcTgg/R/D23yZpcoVdHlT/RSRox09y35LM9SN7msD4Ex0+yINMcwHk48n9pyrUXh5/zTRZ72RrA3ayddA72d7unWon+4Nu9ivbf7jS6eUDP+8nKg05voJ3r4GKd1Tqf+tO75NKAZ8fg38PXchMNCFAaCbpGyf2NyuSQ8UM6gAkyKAIIv0K2RLA4PQ7kBrMg8jutsUUlCUz92skZJP3t1xmh5mSlqxSTDMZ42AH+15+XuSWe/tvlVKHyPSBUY1R5Es/szlYlPyel0y/rIpjI/CAWMkn+jySUnGOWYNQQERmUrgK6qXas2ShGmUdtqGeyoRDFJYaYaI0NtU7kJhxu3U5BT6K5hZrvvxElQxO/7Y9RGwIs2flVMjqznHUm9lrrt3uKsbZi/isVrMa0xdsee/+D6/g8PdvFlEKq0WbBbHKnh+cwE+fR/+M4ChHCdDCOInwxxf5HwcXC7DMDvZfwq8OorspGrjw7x/P8N+3STSNrP+C9kbZB5RNPBaZOElJ5rYCg8/qFKJZrJVlpUktR1p1cUPF+mQabkxCSNIWCTNdzN4mAlzItPVV1nDYycI5U7NSYIH7jN5qKo8XkgrVvmHHdTXfiA2/KvNNYlg7LyU57usasF42hWUroTthF2kdxNgB+vdq/InhpTFGDDzOuK0UJJdj/ayrEtn9OPB4xqfhdSkOOBUsh68EZrtZBdN7TgQH2y3R5giQ7T/2jyvByXG/HJLjw0Zt/C5CW53BBFAd8ZfTr8SPEcLzCezwRc4JWet45ByHjQDKCmH4LTz7GzucsqW3YnUomNLetWSMcTvz12tdpL1uGbX36zeHL379Bq5vHM6N4Q+8QlQZbE4TVqGb+awyOW25BXpAwmT+Se3PDKbPbtb+3P0MI9qan6PtTgebM20Zy/B9KQJ8y2SQqFDcmCJIXd6DFrkJQo+oyE8ayqgxVosyewpzEbMFz1m3JaokdTBXAZf+RHbPq/EMa+Qw9ImO3jBOkxtUxfe14LmMKWChAk71OpXlHR9llTAcRkctTcuLAUUqD184eSYyI8zB6F0+SnJby4G9SPFM9fAJjUa6scFDnUnnzcS+xFt56E+x/ypND/co7VHTVROo1AMjCl+tuWIemMIRF/92xYwz988xlo0uHO2X2dphWTw/aQPzoNVaEfg0xoFBcEhj5jquG+J0xRAJ7rx/cXr8c/8weHF6HmCMQ5tb2McSsG7EqJRHbQnwAwiZa4ydD9C8TVGqkAtH+v2LASXhGa5cWINZFwuVXV7dR3Q8mbwJJIG8CQyGnq+AX0ZDYkEErobTmYF2W9KEk+2nSVc01FyaW1PZacwLFJ2EQ6O3chdHY4rShVhsN3qLoTH+bskBU4LtV3H71G1Ch8RlZUeZu9Zn8BX/Embtk+dLaAnWWeG5NOBrVx5NRiDyzCAxWCZxUO4B+fElyL5h7fMbLI26Z5/ALTezP/gTGCwvqJdQTHQLsystqAZeUOig4sgmJ+R1cnoZHJyevDj64dV5/5CiKkDyD56wMjr06aiMmYkFUJjKZGt9l8RwJUlcFoMpA3yVYxneugGbOx1T+boRI/gb0STOSWnIJTz9uX9+fnR42Md4yuWPRxfBxY9HZy/7J5c2imGEHnK91QcoQsZrWP9gP4T9wNerHPPAG6JzoB7EFNbAIW+MFOIozdR8/YnsulPMeWYb+pfRmnOAS8jsCuzC4UYUdbDvUlRNYfUVmtrOIM1eAL+Z8rp3VxRwWv4ufMMPz+HwMQCH1U+LqeBS8i54HBpGAMytTQroh+U2xjyn09HX2SmkgTsNt0ZjUH+qe53deupbdfQHX/bHEh+WTuTABD8Lbvhwn2YSyA1hpFpWvYLDCao3p+/FNzBQSZHuZp0l2tjUEl0Flmcw8hR8awSG1WIKJvLNDdXw4A11q8PkBrbIwFwaJzexGmcsECXY5xMyVGZffoLdzlldC0+2R8VX9Co9KopM+8dVMKSSEBezIk+ySlRvYvNchRalvMEkmOWWcIzPmKZjaNgK3J95wvWtQWnn24DuLHWw6LJW4TE/mdvy+G73dMgIza0LwoP97Nhi4N4dIQc9hxKiP6jS6yIUryK4sReNHvwt5XNsdvdDM6bSIY/lq5yI5Y7g8oeahH8CzGmFJ5szYQsymV7mpEhDc1IQs01KKFzVB3/dBXmAIWosXMDHyq/R8kjGaTwz3wBqoBfZbGPV5aCpqllmrUmWpEOnFmhE4BgkTl1ytQlTBQzxR44jN91iNRTDTNmFiOjWI5BxC1co+GArwkcc44G9tGvdZq1ZR9w/oJ2tdBohIDXmmU5/2tOYPP0bTjw7uuqTgS89/lKXXOde9irXXKPixUr9CnjWFhR75f2tuq306wxv8SXIHeSuwOlXXncJTMqZizBIGEK2ZDdbsEz8xY5Sq7yHhDffkKgoAsnCFLsth0d9PQZdiUX5E2KGIiyddeZIc0NzhEF+jTnC+l3VO0U8OIbHKZVeFnQ23GnsNoLjCc5OSAZpcDirhFjnmCruQQruGwZU7+6iz2x/aIzqwnzlWWY3eXNBXrNlnu4cidiFWSMhc0AGcnPGBS3BFFtXF8SEe2ioIpdi1TFb6U5TM2GwCedK7UMW0aXo9L+AQE7zD4d5srQmyeOXMHXII0MHWqNNqq2IaexAQKUUYpqKiiqPLzgpOw+c6/lcXYo1ghil9XqyY+my+SRYelpezBxX9LhT+pL109LjcS6PDLT3ORKLTucfSFC6yElGrALBAiPY9muwh0AspXEl+Eccj6hy9iho77a72lSp2XqDiJGSVBc9cAxLahQuRwQWQklgpo3xdpbW07/Qw3KK6RkekfrG3galqN5s7YAKBp/450Z7l/rqpml2t7TPe91UDU+ssYX/bQYls33M8IHX9MaWqFCpMgERstzdw3dsS8nZZEFpML42eCNmP8uPKstnitukeGVFdupZIM4wYbkk8PfQ2IDar3cFN/iG6SS6ssNcZb7sZBx/SQmmvSBdmkd6gaIB9yhE38uhklsDC2HIGxXFHfdAx78N9KyW5JEyVeolSnyl0xGWOOpk9bKGJGfZQviiuABeA605ISahKXIj6qt0bgI/QMDd15PBIg1w7m5q7Xd9RLaaxbteCU8BKaOB2HAKuKmOiz7Ez0XjET7SNFlziv5TyjWVSIB59XwypQ/fTJYs53NXUzf8OViN7CT6RnYSfSM7ib6hk+j/0NEEKj51GEjporSaj5ouH5UrLBGQYi0nkYpC8htrD79DlUyNTYasYMjMLFEqxT5RamPJQVTcHS3ZjWZgzbb2cpthTHqs2i7Y0ldUd/rhlLL+OD3iKD5IYDA9yJVO7cazktsrQGAJ1BsNGLDWp+ReR4PZBAfzME5aKL0mkr3Ajxf0TGETuT+nwIHc+hpUbWbwNqJu0vbpKdhqYWgDi4vljstWxz4nTLlnwUXRGW6mdjfVr+CzXiezOwFfxssBNphw6QewKRWMc/oDpxuEOAwOKEruI9uoxR1UhxM74XQFLSBlcteafDYa/nNBYfcHOhp419mbm+Bfg+Ra+tpqoRLORkQTKVjuHNEhZ4i3l+uh8yiQCUhHP92gqiY4EsEcs61SaO0OSN+sVeBHn1RzZ9RwdsZlo/1nwEgldaRERRhfDn9VDDOFF8USydYdzB36rW5GutXNqJYq9E23KXJSbzMaRhlOla4P2rxnRR2VjHLXOMe6sKiOyES6tWgDOJtOiy4JJhzrS0FF8CrZyG0+keGw2VU8zQXInLnN1A9WmKy4ha/SSPkC+EIk9EyQgo17/fgb4gv2LmXPWfswSRGLCFfIuQA+3yi4RluBYaawV9Dy0mLKPXnYV686cMa49GODcApSMrlD+KUg0xNzBYsp4XdDnk9ObeAyrOUCIYF4mmwaqiY1I5FxwOYkvYvnycAUB3v6N38c1AhkEO7+OblaZ+p1Pgo6rI6xJ3AwAv2gvj0zNpRsqh/7+4cGXskBTpECmetoRJEmhHHQ8NYZN8qsQHbdRcgcoqwMCpoid9KaiDFw+oR43HNsmTaILUvgV1MLWyHwRBaJo+RgQxaFKWR/Nqons7YpKmFwSb3+GwTYGCYsmgmiovPuHacwxzjnc2QPN2Nq8bn6iCX/kwz/N3/U30/f3HzXCKrP8FIqMhsd+yrxqQLOYfFuCAMLPtus1zPQKyQOakEf8Xy3fEBfAxhIWRUevj4FsQCC8gHnfwzmwcV8lgzmLyl1OlZYGobcK6+zoTbGtm9R2x6dWREC6f/QOZ1M/jdrXxUdJl/+muMMSu+a5eUoRvJ1Pc+NPuxcQIHZ90cqz90k/XGaZfwMxhsCRRl8YgYlJDf5Pdkjwx3LpFQhu1Qs+Nmy99qmc8spny+15B/sutPbjB/s+Vmt8FEO0eOn9cf4RVlgJyzWtecHqNrBqnYANsWowNiwC8zYXHMru81Vt9Kut4MSHVHFQGbVEYEPO5HKKuOzKsB+v0lVMHC5BJRYiMZFigtMqHQykvIk9j8crgSRfRWnMszn7OQHoysJZ2SMsp8j+amtTzXQ6RQc1SHbUvrAYIu4OQd0nhRcBoKwgFYsf5eKlBNQRPkDkmrDTvNq0OxeY6Ep3hiVh1YHyWywkAzI1Btes2ewucG3iHC6+ki+yU0HjBuDO8WgBGyxhhNszxEFMxox1FssIOwb5842HfjU9gtYcqZnj0DgKRuJsmYxix2vYRbdq+dwYcrx76kKnjo1yVAkcvmXgA+4B9tr/oGnSK8c5u43kJde/mLmSXc6nWZ9p9FstXOgBdSHeVCMj3WWxcd63FzpvaBgqvSeCUJqQlGazyq2pYHhTOI7RiBzYXp1c+6o4EdNM+YKY/NBRGPhFvh+9Wzf4NkyfAlQdyQz30mOdlo5o30fYReA47Vdx+C0shNnkXY1oIoeCtwReXMk9YiGpcu1OBj6KNJnSSpe+hhDmGNcAB+VVPfjo8wJ8KA5dGzWhyJXVycRgL/AbdblhpzBde8dqPwjRR65g7bKT8t2wsP9cZ8zoaVPrq+zkpGklwvejL3xE4RAo1usFXj2+DyivStulxhOfsfZFQk2WJlANrU2UZRfgjF0eRUaYIPvpPy7V5NZUUakX/9EPSssXc1EUFT77N7j20yaG2X640haVACreGBJARnz+8PF8uFK/KkgudIcOTIdF2NVkWY+PYJRMp4UahnCbjKKnmZLSTBhkVIwitGX4BzGk+p0hgJQeZ7qA1O3EDBMg/+4OD0JSiGt5zeDgv1bMiTQF/4xydV2B4R3m+aghWU0HgiUAEwS7fhxmPnTWPpraZK03papvNgyxUcraBHDd0Ry1wlYwUByjiT4UCozaKpMZQhcPotHJKoHCMSM6RemkkAaKYBKtDAtju5CB5SvZyYOahsxfAUTbuYNHPPwL8LUhCpFM71mSAabr5hU6AQdAukF+quejDylQOSARvgBsxMMrwmDXUrFFj4JrVqaKo6R+MU4egufpvgxkI8UlxsaRCJGm5Xw1+GLFi8+1GeHaEaD0SfcwvE/2FBVNnQbXSUZFHOElycphdf7BTlNK8lYBepKcta03SyGI+7prIBi2iVitZDrLiauT5uXtwUHehWD8BtKnJhljmYFcCyS5H0J0Umn1zKhxhpIzhCrRz3pEnpNn5wigxInkQeW5OrgWp30z48Oav3z89PzsKwBxcSZscLSDl4TzRW4T0rso1Tn6BEhMhq7AKuT8wLPGcZY6cALUkRCVCGfF249n1bp9gTIDV6BhKkajo7Twqmo9kemS5O7BUs6OS70kHu2fuzs9MIGPgpInBjXd4THcK0vj2kBz8H8/wE+dh89MOGK5nXQGosUN6LakQtJUkTmyyc+NcCHpgyTb8xfInU4P0IDt5WyrkFswwVSm0x1Pakg8NeCkgma45Rjl+D5o4Q6LaU08C/qXsL7SJ3ROLxHjk2X399pp3DCBdlrL9kwAPc9/0MDYiOVsrRblsE0ZNJIKUFMFSN79DjE6UZ+el877563q/263+7KMyD2z456HGaAK1Cocpk2yENi0Kf0xvmi2r6fVFEWsW1vQZZst/gEnckqDVMA9hx+77vpS0J2lDWR3CDNwh5d2bQMenW1JSuluYj4e3qY/lImfJKvnPcO90Ha7W5ntuL0n1YC6muz6ZzgHa+ooqjrQJI/PqcxKB1dqesvHl37AKJ2OIQOO6UIj7bUMX3isZXaNJm9Ucen7mEKVJpTuD6IJT4FFsD+HU4GqT4FR2GkbEHBZ2lb/KrUeY8V2r4HKkfZtDjoAiffsT/ZbhIYcFR4dLBI8NyiUZ5kNhgj97cFeA9rEjbwSrie3W0vWZOPnn/ZbuZnGsK2nOM0ZriUdYAkSKwu4b0mY4kY1k9sfl942Gg3Jm/4QBvIWplI31/0SnlFx850Yq7gJ9WySxLzis0cQbhHOPgKAxZWgt+T6QEB/+IXf0akVmVF+YHb5k7+BBgWfx+zS2jGlPu8FcDbaAQNxV7ANgLGFLxis/Ho7iq5WdCoTRnaFKXkPpHZSYN3Pi3eyCYksuR++UyX6wIwUuaJIwd6RnhkbnQrcCiGKKHtyNJlH+7ohxt1B5kdsx78msbSb7b0m90ydURvfG1guL+NedgJ9Q98DePC2EBBQc1xGDK89y/7hzqPiKcQsarGj4nQdjIqNwReLYjCGDD35LtJL5WMwhOU93QZ5TTq9sLM5A0H0A/14QitqtghGjRAwepG47VZtuNMtnnkOHA//arjzNzSZZKPYaYFGqrNEW3PUI6uvyWppi6KFpsmwI22aKNmGfWu+RKrRRZH9kwqXP1lR+ykhGd53la4GzkG7R6ZTygeyz6alI/heGEsReQSH29bUmuLBGp9BqJZ3jCjp4VE9yGaB6HuPmBPibuQrC2CjZKkm3h9dihc0eW37Jk4k9/KXM6h5yKX36X1meykzn6ny8cV8OxqaaYNcITh1zEiay3v9PwbU1pTw5bn5rU24Z+WR3cFfNepZfk85RJQOWfLVW0raJErlZcb9c82euq9z9EX9+5xeqdV9DE+Pe3/xTNcffQf43yDl8zOmeFaIYU1bHgaf8v7pYA2yjgqQTTjPFRyfKyBSGgHYRRFa+Qtp+65C7GL+LnRqWvtPUPfXM0mNInLLu0xbuvOx4ETp+Ac7O3VT87UmbJWG/KHBFucI/pYKEdFmDySilKue4EUGEj1iVJFaEADMGZAoRC8LKHhL6m/xAVx0nmdDQW7uAC3bAYK43gyHoLo7cMNdvaflwM7MaPEQd63XAb5gajj8G5igPZ2lXOpDRPcp3/vdKvGqwb9iaPA6+U9MwBz7CAzZX3qi1tp5HTuUe6QqjyJyZJrScGU/Zgh3zEaQWZozvUouqEIkw8DqDZxBuPhnKI5c0aDVF5oBPwdQgjBF/SC96A0Jyim+6GzWJem3cRv1jMGotiSe6AVEnOkH4wMtfO5ezk/k0tNZ2im5b6Ez2JphDsxlzWNxWDJEFA1TzuCPMs4TAfumBUWAzi5Y8S9Gu8l0IDM+u+mEduBFOia3EsRjk59IqDp6jImU3veMpkMAaRJbMrBjqOGGs4g+d3GMtGbJ+WMHzLs9nmne0vWceXN+iL0S7vbk8myOwO5kr0yEi/Ba0qXwpkYLAYMLDqBXFUiLF5iepS+hPsA+Y7nFBak2CMjXVJAfPRgm97xY0lKZ1xNQaYn18nAG+gG1iEcb8KVRV+D1/1eJLRGLX9kqWGGNj0xXWWQS9LpZJwi/gLVUKEo4FWxSlG0eZp/jQKop65h7Q7N52O0m2kE38Hp+Xn/4BJhT+lwDHYyVdtpBd3PUgBS4yYaQYNPg/98v/3/V8XLIU2rVA9nzsFE+Me4hqqA9WmYQz9lJuNJxljUBHd5EPPwoTnIsJg7Nh38yJe9VXS1sl4wO3MIRxFRmZ+gXNKQC8yjJshCrigqpCqpJKOkouyPNo+n7dyYe12SxFRS+Cqc/Q25uqLmO9wCj9xpV8+7brnnOp7/4XkluPzxefVs/+Cn/R/6FDbvbcL5Ff9m3pfBi7kV52Wid4iC/fX++Yk83UDgRnkyR1zgAtY1dFDZjGNdojIKxKkQl0meeS6b8yiAJw5rbEwXH0wUFQRYfkrKyHoleaEvAn9fOiPJE1eXDJwOHPKNK7uYg6Sfm01evG7sB839/XKhAGJ4nozhQFnmhEWnDHVkRg3iBI0IpyZSSbj39PRbKdAQSMYf0CSwXY/iZrfVDb4NGnGru9OoX+FM6P75PgdpitoELl5fHL2k/BV/5jYCMTl2PwSWUQpnY0Z09TF5qxGTiQo98ZPBrUvZS+YHGyh2S1ArELk6BfGfjzROTqLVuF44kysCNKlKFI/H3ILv292pBB2GPWk2Kcifx8DQhpdWdVdqZjm4frOYxbYynaxjzm6aQZJfbgvCGglTCV6NEyT+n+AchpO7DUv+VdDhx7NV/5gQqASvJYq6F2SwTeAH0ylQDWYWaCAc0JAXcVrRILC3eQTqfDGW2GyjY8PCTUpe</t>
        </is>
      </c>
    </row>
    <row r="5">
      <c r="A5" t="inlineStr">
        <is>
          <t>zRfYW9Taedd91wX+AKLp7gBJSEK6SZH6s+hNCr/oNO0vwIywD2rbOpVG893uuzY/iGirpiZWnmTgQnZrRIs1ocZujb5T1B/sUNqNGa5JP2PQHpuB5VAnMWuJXoAUrm+f3094y1mQ88M8tAmwPMeESKZj2Nd9lXAS5bvsUyt8SvwjOjeHzeiH5oT0EEL+ZRWl90zMLCSINPndmcmLRTAUmsOXp2GZ2jtzADX2WGDxuCIHm5v3wLBvfLaBHk9FIoO2DFTc21pwHpF21JKFOLqj+CGLG41gWNEQ8AATU2OZrSwWU0puI5pOPySi18lW89Pd7QUc4LMIPh8a0vMHFjayAwsbn2Ng4ZMDxRxmacOpUOSrl3JVcWoxJrhKXBaEjxhD9X7iCM+Uu9IpEU3wJs89djf8vYZ7uj73iFdq+GAIZDROeX28mYo7bThK4aFa9y7jRZI5+6f8+i1h+y3hdCx0JBdbCuhMCTnKFq/YmgrIxiKvivK+nwpOhkDxr7mi1pehKc9McJYl9d3rL9Sd4BqxzHJNds4y4lRf/xrxg6GlJ0eesZzJnSLSIItTl1QMRYEVHRmw0YyssxdLhCqDMMLHkM9XPGjHP8Le2gtd55QVsmzJmBMV5l1ul2bP5iNxcOlt3rlBMsZSztfOoytim782dRgus89ni7hcsVpTJBm400zJMjtiKZusAYtpbjwFsrFi9g7POewFDCGDxyI13iEIIAI6ASMRbrr966JeH253Q/ZM+OOoR6nVggaRs7dYDBLz+Yz0PRI1iUeEzkgI+gJ7ts6e6EX/ODs+OgpK/4ivZlHZ2ZpC6tsjK654tvMTqVvAnbdD0F84oAufGmGxcRtIWkbU5BKxdLoScUBcGka6dW6MnPQpPYf+XaLiNJnUbZ6fG71jHwA2BYWKl166ztBzzijEpZTexjikDos6o9m0vHai4oUZAPEp0fea9T8+tp6ZO78J2WbviWypHBnR17Mk8K5L8OahISOaASzNQk9kTlgOeK/NfvyNfhVa2TEyueJ2QsXW4BWm5jxZRmVPNYRjpVJzPJ+yHAseLBnf8IOPc6IrtVt+slwzr92a1X7d125mkN9fdequzvnrwelMJphuCS5JfplJeijlrrYx2hsqjjP7+Zxtiu+m8wcXzWSRmgSuDMcV0Lg/LkBGc7cePAcxOobjej56O7SwGGLClQ72DSxGu9HtdDr1BqIGZWAxTk8EFeNyglSfAcN42fk5aB1TtHKTeco0yYaAe+E+e0HBfeYVc58u1jcHCifiyflL9iM3FpQnnVZw1CaNO861JJnV8IALrJiS8XlAL/izMt1HRQPXFb99YjohMOYhoxNM6VyJCuRKs3D5NFwkxsYBqppkmo2m0WzOX5Pr2qPKgW0FxL+NyGbTUfNc1I44cnISjeaOVCp+IYq94QVHmo1MtAR+8CeIlmzMG/DfjKirspSzg1dOUCaUckKhbCUARmkz3F8WJi4JF5eVz0unJ2VmaZnKKBxdtvICBQXRNMuKkhUWZZ/Ag1Mtp2C9BYyKQCkIC0UeHHkpROdPZIV8+LHbI3eOl89STtA5PHtk9rTcA9qz9SaPPKCvAwX3Yx53kdaz9J2LQxBxczDCpWaTytGLAeFv76ZZ395td+s4nNC/JmENFsmYjuVfMBfojVmpvc4wys+46+YNo24OI/ZAJvqkcTQb3PaC8C+CevtbyG0xOLUILh8HTqcUs+dPoqkjCY47mRRohgNhgba0yeDI8ojrTu4KzKCLeD6nmOWzQBdS2krlh1vywLLq8uAvWsKChBxe0EKEKVhpoq4kJASuOUrmJgmDS+RGZsJ5oLAOGsK/mY8W/Ra0/W+g7Vd+5C/+7w8I2JjHPuH6ZH5I8AL4gzq1yZ7+DXdCDQByQql5yJ5gIyfcVD03Gyfy048XDRWg44CX4ICkv1SC3yqy/gousmZOGGgNbRVrS8Kf7uirMtU8IMGWLm8nBKh/he0LYCwi65BJdHx84H2lMH3GC7pzui8I+IdsCopyibFqbxCNpoG7Tdg5/Og3IjzHAknR0lrM5BWxbb/G6rXQPDnll7NhzKgZuHW8B6CRA/t2/KB5KdE+ddSiFJFP0XBW7mI45jGqFZlnWQnCaljBLyG6BjZ/y6hW3j4XEMIT7xYE7jDnXi1eGGdlMQgJzE4d3GNmH7DzqAgzW//ucCcdB43L5EYu5R/Cq0b2bHL3r/wC03ch04M8A4jCfYpSg/l+g1Na/P1QRqEJGQvuA5rBNpCJHkcvQ9W4UhJo3q3iPorXX3NlwvHkBo5XCBsLU+AZb+KHgqI8fGCJECNhRfzJn+KH7/7S7JRNezOauK12pdts4ieoP5nO4W/7jdZvHdQLOrAFf3LewcpsBFC+w2Kiw3iUkI8Aa6pYfWG2JEuY6S/yr97m530c7GTHYL6dz6e9rS3SzLeglHqdxnYrJ0SztrTbjS4f+R6ru76r/xU99++anb+moGefP3yHxEx/PyTca1jbd/sXB39l8sZtGijYJu3w13HRs0Eq61d+e+wXRArrtxpUMi+eWPnXMUGngNTDDJiRNILllpAaNXVM8tM71N2j5E2MqCkMMs/wKBd/Ow6Oj37qY8EOuoKm+ShOBxEN0P0L0cxvteW+yMYDP1EhU1kc/LnLf3bb8mf3m8f7Ic3PAwudD8sZAwGYv2ItChU+BA8LDEE1FUbaUAK9bqQVVrMJpDrdLRcdokWCIu7uzUj5VcigSDoRCNc7yj9MNpdLJI1obbykJ3IjzuPqfTQiSIJ50ACL8d1Oe7sWOIcJa1N5spGKk8rBZSfM2GRq2wmwwmgyviEw6JTrE3mcjhRK/zfWRXw9rfgIt8p7reicVZmTCb8xQz9NlzdlnBEYgq3ZSDDylWON/dTLU7SCabGiQuPUEtGGV1Xyb0mAFuDBxm58lF4V+kXxqpXz4e/9/jF8JTRDZ5F9XN27xxKwms4fRjFDQAOvBafnQQOxpavsmiiE1TR6IExmpkl5mSlWFVhpe8yuYX/vHD4mcu2/7XxWfBVX7Laq553q6x/rjXLPbNtslPdizQjnUdGIsdyCMRen2mPSf6vdZfSDyw0ChL2cExiRBKyqi7Pzo5MfXhz1jw9ldb9+898LoMXhr9+EculmoE8teJWiiHKOAwEM03KBMaWAit7geiVIadxIfZ8NzVcxmPCx7BZhGm/EFjZ5RxnTa8ELYi3D/QPjyT+3wQNAMjSnOMk+kbrIcLFLD/YLbjFQJlgtKSjgf0/IM/EojTNCwqVvuoaKJVAg5N+QkN3TVuIWGvBvruhSastM4EdavNtq8VbU5KUWid/Ou6pGbdMEsdqHmb3elsgnMw2wLJFcoprlHlrAnyLCCFb2IXTGY3GJVuvTdBvklfR2z5IMJ4OkfSpLGOps206WEn9R0UjKjyAeo0gc6fYoXSLHp/Snl56bgF1ImObtTJK4ThAV+gySGuvoNEOfORoUdWWINLTkGEoNT/txJJlb/FC/RmpKT2+Sxs65mfMyhMbv5jk1HzK4u1tvxO0oAg1mlj+a3Di0z4vgYkb0NWIMfXBwipUNXXr/4mD/rB/8+s2v+L9var+Oz7vfNuD51/FVu9FofBs3tq+udzHkYyv/sVGBh3/J18Nffw2Db+U9x+AGlShHbqjgPKbww2T2gOFQuF4kCq1KLx2A5wqnEyFwIV/l/mKYzOE27PcOKB57dDcd1cyGq7hhhLuwp8H1BhIfYnbiiIhYUtg2AXukEC19s90ddodXO+3M9hQTY8KRF+a4SkDzzKhaGXj9TTUZP6o9otnaNKLaKYyoPgOLbbS4G5u5WwP6p0Ih3Cag1McVyizTmBUaEmttKBPFR2cXXrgISn045gqeJzhu5Q+KpjKAv6wPf/AKu37eBAzNxpkICUGbsLbtZooGNEEV+NRJY18wO2BDAsXP++mAZq2iu8mz12AP+ajlISeq9XBG0QO423s2bKV+vsYk8zMB5niE6ZxAprh96fqBWtr5iV7RE+6vLCkQgQA2w75G+BA8BWycNlclcNuLMf/GBiKpbd/gl6fiREhEk9AiC3KxGPgZy9NTpQR9NruwN7NEJrzwc+EznCK4jQnqhWLCYDMvpRdghmZsyQaFP14BEg99mekHSxR5cJks2SBpayNwjKbteYzlaHwrxs8RumGqvJoRyXHHLf8c0Wg+fmL4/eJc52QkamEG9S++iYFrnMHMdOIljwADwui/i++uCLpXsw542vGsrK0LTEc8a1bP5FngHhkBC5qps4XhIn9SezM7y73Z+pSp6+YXNkmsmEeYzRxOKSJEK0kfzTHKKjX/7uS1hr7vhLA/Fzok16igmJMyjPc8qaCKmpJGYS7ukELjMchIxJWw06JUnnLL5zBJscYZ1kCjeyNzS6zE6DvERTJMCA6bz7464hKWGDaHf+XTx+7OB47DZG5AERQsWsKSZEYtx2aU8MbngdgouqgvKrtNx/gBatbRR0tUV4lVHRyMXp4t/CNTJQg9zSlfoyQVJZ1FPYas8dRy9lReYpK+ZHdl7gS2D6agTJDwSbWKU1QpwYkRtsV4ik6f0EE1GjD0v6yIxSv7+kFJcOnTeBohYj7NRw5IUG63P2QIWDPebV0Pdpo4BAyUBx5YlcFrCb1OOhnwnKs6OuBmEc2AI/4O24xnQ5z6TFBuCzupIr+Z0q08/Ltr2HpME0jkeQyTl074MlkTixXCqU1lbea5RyG9NdsbmrKMZJ6vmtwKnnNlxTCJ0IwvqX2pjFvusSWBjTMyLjS5w+JS5MQbArxjUzA1ee1bkgURsitBuiHgHqWG98h2pCG5goj0QbbuxQB0ogyDJ2x8iaPNDG454dY7phMJSdgGW57WXs4dhylMYHe1WT16eVZ9vn/w0+H56RnerfkGhck4pGlqO6gCgP7qWc32fUtP0tuBKAO+GfwynY9s5Vl+0XZnjCGSt8kl5c0f2stsomire2ZPzvZKCmeVRm/jYc5uxzumcLJPIrhvTu/aWCiQCMetNJCbJiOeNwGyjQpTpE4RN9DT6BH8B6XDmyA85E+JX5h+H2bB5jDySmDD9BjyCIj5DyKwIkdwcr84fgwfdFG+iQt3HEU78YZs3MTyFOxlSgcZ9yBL81yBIPxm5ytUguvJABQAl1oLIfwiU6nLhAHByDGbMaPzDpzQhKEpjeALZA8CU0xk/mXGI8ForFUPgn5BF4EYU5N0vs4JeAWaiQ3+T+oDnEzcyccUM8WyMrqLDJXytVKYmfaA9yAqjiYc2A4ht0HelKKBOo7eiRc65wq968VMQhqsCth7QJWbzhH+mu+JbyOCP5mhH6Y6oK7Ya2h/uk6W5pc7XRh5xFgxg8UsnczyUtZlIsxofSg/qFHMlE2vANK4wRskMZKIt8gIiJ/LPRABCeo4QQi3NEnnNDLGNnukRlVgCzxb8hJnbdkjPJyBlRsqG49BwHinW9lQzfORLbUf3LMVGY6vm1eM9AFZADJGZmwxA8ZDjC16QlWC73TlZI9RHL5nXEEt0luMib1VAwQzRBigUi5UNN7zv4dXJsauRc2Q+XIt4G/h2kmEkPUCJm8IP8RnxMPvJfV+gYb0Fn/+S3ZHrC5ec7dIX5Sd8vQq5T6GSDjS0AKn8n3IN7xMyWJxuSZ3M9SXY2lUazRFCR8jOtkGcYSk7PAhU2iYiCEiyPtUC0qr1/0qqjPvrrwnw5rwNac/WXu1pi/F7/yiLrVRzYSpz5Qg1UJwOjROSQsLZODEaIRwGEzTpI6wuhnTuzSJwqxdwkwyUg6Y+ToBdSSDxwxSI6E1javAyx6Z6bLmOb7RDTOcPKk48DLAFyv0qaLASJHBQzCdwFl+gHvVjbc77bi+C24CpwbSM26YeTkZAonTfy9uY4Svk4FNPNdZRyfPYMM6gETGKMOFPXJMU7OzoRfELdS5gD5m9nqZkLyY2TlBVwm8YD3e8uT6uiryKqIxKm2wwKfv4N6HSDnj4eR+T5QJGZ9UzUYOyxVlGSc8jt36MYgJofaR9Y5ewZ1GSkPyXH7Xu2CnXbdkZjwo2klMmLR8jY90sKjxWeusXRdKQNVRMIHm0aj5ep/MLPF2Mkt+R3diJAdwFc2cCBHuccOMgtjmd1MUCEPsxZ8/OFmGovJlvGR13xFVU/1+g0cux2/vpudE5YbeKrAQbW7BJiSIIyu8JXYjMpD+LLh6ke5UhQyLwGko0fAmOzFK1pnSGctxew/fy11KyQuUwblTYgBuT/MCciZEsxLfm1J8ydxPjAsBT6PwehRp2F4T3bDdvCyGPRbGOeL18I4tpc94LhAZWQfa8nYiah/JB28BCAth89Z6Gkef1sV4neWzyhL+EsPLywjKKZdc37FcdFY6ZjV7GZYm9fBMRRO2uV6D3smCJMmrgermt+kKR6PjZyM62fREp9rK/qCd/UHnz5PAuNDJFoxXlOo8US78z8x2pcNnoXEwihZDFukSTECtlrJplXIjVJgSqdPQDKwRrdc7WCNKV63KxJsRDEQLbMqfZE0jcnVYKCJVsxHuMbzAiTqT1+CHMnEaXl4s7C2X21TeRk2lC5pnwTiX2GBsJa2dE4CV3J/Zmbp7cFGBBF4JBU5IFkdIEUudyTnnqRSEUIaTQyJU6gaxmJIjt8i+gjt8pUIM/kmnh5h1UbrAbKPh0cPTl2oqdOt8gSRlcvfIF9hj4/bc0VtGyCZEMu+CRmdnu9roNjoVKtKZobUHXzXjr5XAbC5aJxvzamd47416Z8dYLmqWNZo7tEY4nwEPrrdDyNVcwtslUW+vOG/ccCJJlOueN/YtxRzHQ4YSv2THCpmv3W56zFesFyysv3enMszKphLU5CwX3G2rvc1tDHJOAzKoc8pCogB0zuT1zSQ6EnnmjbmU0m0yr6LYtOlEoMzynn1KMk/j0bXmhuiLadBsEz0YM0ktRM8+UR+JIihF9i72iemEniU5did/JLKJsbE5c2TS/olTMVr6CCmj3eudqBFf4eBZeD/w9fMHNT3RTb6djCfEzmS/4MChhE4QP0uhCWnC1eIlnEkUgZ8myenpLK5iQok/o18iFAB6/E08zyWZ5Nrhw9zjN6PKp2j4OC+pu2muqLnUSwqwXYgMYmvFgiabDW18IdLsPKmWGYoITFSy8Vih/KC2bdpi7JSR3IA+2B5MBzxPzeIUo9tv3sEfsmPeuCf1gxJKe5JNhwfL+k1MfDGVfZT8xTkFV9nv8ieHsX60p42XdHcrvkgE3iNQaHplIrNqjBTh3Bowtl89tfyJFKxB3P+8Q7V5LVY/4hIoeD57Sw8m4kaeEVyf9QN0K7SBiAfluL2iHKegbbk5HY+QtNAZ4WT8Uw/tIGq5lYg6X0kUIFOUTeFXuBgzYYXCX3yldIQkThVpe47lCUKDtLpshZchdsHhHpij9ojFXJspg/auTDuDzV7kKEoqyqqUCxdEEJafhgrpwSaNgREnqoUTlkDVa+u1eBEYANuzK5DGbcwv1YKDhwGpADEFS5ZUKy73Ubla5N5Mma1Id8o8vY2rQDLbo518bg8ODyzUm1FKkLRRGnxou6SD96epqCi1xMh6OM0R8QrHrPuHc6py1tNlRkah3hsARcYYSJ7fUyz5fsJXxUEzpHs4LKZBx9tVo4ogOi0R0/hwI28rqodA4pQd+jagP96nFlP4jPMotjmqDmPlhRl7/QggbL0qyxVMcpJbeqKuQ1IGanm7Zz2nc2SsYzx3AcCKTBgsJTeUxRilDkhVk52mG0/mRqHRZDujjJysFPPCkgbg5Sx12L84YCEn683QBbAcF7vC5+zrPF1DmmVP5j6NuAQW5deqa/g6IFLmLg+oHXQzWUr4ZU+YuzKeQXVnSVTl63aJ1tPZzjAz8Nk4SEcDUqPRFIz6mGZKjDgjLspkvLgDWc8/LrVa7e62xgTa9e3y3gaFcW5BHCpOKluGt6ITsQ4uZTtr5bbrOSu3XQcrtygXAOfyOya+ngWXwCC/A530HFiU8KfJ6A3YTjz996eH5K32ypistDFtSSVr4x+OSsZ8Vxrsp0m0dRCNBuDjRbTN/mIGHsLWTwlsaCPj1YWWszgWhKE2DsRRSZ0dMNAILr0I5UTXUvQ73KHYAPxvWaM1NJEl5hrGDMJD0BeDOQmX3w18kWa9gpLmLgQI9QhoMaIPl/O2qVl96qCf0C4qZs0VWaGuKxvoZzi/KH3DPioYUUf7J/uc6S+F9PdSXANPdJ8Jduskvv/t75PZm3Io/oB2YJnvyQ0KIXgXCEshYiXUN3RF8dajURKlgkJi4UEUTmSRmpYY5TMESQlT8+IxAwmTyTXPYobgKqQhionRoKSYG1CJjd2hNbBC5ORCxabz6bH06vLg23qn16pLKxeerPmsQ6ksof3bp+0xBJP31M9UK1SEM3ep3On4jhg+t/aEn6LFY6zSOeK3TEgDBO/tDL/GzutC60ucC19h322TfWei6NvZwPu29AU4P2hnP/EnCrz/GI2uuTWzpmTOaHbIEw5JMkuN+QJsTYJ0WGOskYMPwjVuuXMhx/z6DX7w129qCPDvMb2JWuAAZ6rmehKLjtBQdJVExTxMiWkPTA2ENWEZhbxr6yiQLOE7gnzA5OnCTxitpk43RSbzmso7BEdU7Hkqkm5In+TcT05W8hNavXq9/FUaY1JLA2KmOnCNh0qQ1V32hBmBYvOjreiB8hc3PE7pBZ8zWGOIxfX31P+FhenMOKrxBNBxnVG1s6lR1V5pVJ0zooQgoGJl+T+Ozr5tO+14XEJUlUkgMZXHT6aUtdp14bQ4AyPQwoLhxS0qiGJar5qPcj1Mo9lqd6rd7Z3dD7WxXpDYgAcEjeDILQed4qcj28iN9EGfazIA4AvQGGJMgcWO0+Xwl63MmTgtm+EFBVdS+/XQlKV36916o4q7Qm0Eh5g3oOCHfJo999M4Nc4eY7kW/IhHZ1P6dOa9IHyBCD3g5dHBoblrTxBu5y56J9eBLR+vzi7CXPOm3KzEiegSKFxmb6pkH1nW9CBfv4JjDAbxdI5tAwknNmR4HDDDHZfT7BqkNnr2w1S6KzVVyj0e88k9lZLnDKhLqrSaLrgaEDYFzuINiL5dDjtTqa7SH8mT0JxkKIE4IlGnqZPKYhAhJQhdoGOsYxyHc6e3/9UFHUo0F0zDEwxwczW49vWIkQif5LOceZTiMA1XMcqg06y19TIeJos71+CSIV8fvUOzyOLi4/WOlqCINX/AZ2wJtJc/Y4qt7Tocba5fJDBSOl+EJMAMwwRbGfYKrrBhvCYInlm0OSyc6TmLbXRwpsd4QFGoENvxW41mOeh0OlXEr2Ww88yPQ7YyFCjHBvA5SxbNV1iGO76Zt5O1DHf+gB2jhWaOvVFKuHnMCQKMx9alLEwwfZ9uIrBE8pHEwlGVWyS4aogl69OghsRIcCGOOlOsD4D0VNhhHvXiuRDIGklGZ4UkIFYJeqr5olHKYyvnnZTNRznJF+xvwzPpeREYTvHXatoVamfFXcspZqdtE++okGJvJ4jW7mtuvLy9j3YDVpFQ7y939q6x7HY3tew6Ky07ieClXPQEi9FYHkYDr+C+mCKEcVk06rRXQnIxqbhgRldZCuN3EQEBdTnUKFHFNAzewhEhVQCfEl4rnhDbAWH5I5p3lRUmXQVtOFQ/Ysa1zQHY+Bg/euCHNvdMrBOuCI6Jw27RUEou4gc+KDbI9r0jNMYfEDeQjv9LZ0vU2yH3c3RYFNf72z42+gE1wX9by7+Zbx+UpcO697LvbzTFuOWH/8u/BCUxS1L5USGUsCELazhxmN5m1RYjO66YAmZvxgzLweMio2C76so6Ij5ZVJKa2vy85WdPW9gOv8jjfmfyAI4+LyFEHOBs6sAw4EfLrzjqPsK/U/U4aZDK8hfhSpeQtGtomnIccYm6rktUEmPKv13RZXIF5iB9DpQuey55Q8uIbiTGUJ45dSzkRnAjkmmp46DdI8tQFSRppVpw+ONx0H83JYHpQd/dJSkZwD0+9tD9oC8u+OAXCJtujHw0lKUkTSzs5d8n5wCL++QQ3fGSpKNEgepxl/h84L9lm7unMAj2m6SID62rWBPNPOASuU9vWWf4jw3tQVRAGEiKJJHH6E3PEvjIFMGIFzytULuz9RCAda9iLioWqnFGM/DJUxMOuimo4VOnrF+52fyEjluiqWRuJ5PFbIUJ7E9HbeJ0VC8WuputSt6ttrOf+OzB0XNpGXyK8CiXrskV9+wtoJm4Rq4VCxyEgfMyfyLWOBfshVYcKSuuus/8HCXN0InIsGpG4zEC+6MlgpXAojzWPCYrGJ64EFlVXhXkR7pIqyKGRS5aXGPT0DYwdhWpNXupxZcXlNzL/tdymOFEFBBTjhV49qmnO1pFuoN+KJFF93hlOc6ZBiX8vR47rkHFthMcecQNBa+x9EAnFiogDOn+W8wNZOe5YoDT9OzgezSOiMSYFfxV2R3/lyq8b9WJmcX/ZDxWyuWCpOTz4jGiOFc0xiMbT8ZVMQkqWd2BZV1oeaHpH8+ydo6jU74W5GVXlcDR2nJOB9oWiZSDYXBGNJnM7ZdkLJU7niKOzJpgmO4tQaKSBHMPbFMqr4hB8XhJx1eB2wobzfCRplklx1TISj4PVZ+5/AP0hqA57Bm7fNRjBf4Sg4WGmhSr/j/r1d3/+p/dSqP5vxWzDNLkUzawXf2tpAwvxj/x/8sVq5l5w0Seoc9mPBqwBKaG9pc6KM0Hx3VwiNSZoXCuOkPtci9H6ap5SFw7koHf4ciGisMQyFKjhfmy/1l7GWqO7y4z7kTDsL+90CUUUJF7vvvVf0TV3//rfxp8yuOJXoO9mDJJi+12vdNtwP9wLW9AmJgL0Bq1rCt7TXszMRdTF0/t5QZeFrXo1WSB/SLJeDLD5AjHneykNoJzsu4j/3VInWBcjO4GyfEDClArYy/sk4jMKdisdf8qJ8vaqkrO3CBaEBKN3IxRJvhxdXdM7TU8i+YoazAfXnCTa/V5YqRoDpJX2QrLIkXz3HRB5y9CJCgVWuJEbvnf/A9G+v+3TAjT3AsEcm5KswMxFE2XGzTavXod16mNsdJDa8YQNjq91g7iof/ndLQAhdZ7m8zj3uTd4L+Cy1k0Tmn78oparRaks8EWvgdoAxfB3nufln8Gx1+bp+96jQ48FURCX8eXU4U0NZoEZMxKJgsIYIbZ7gjPHk4WhSCeBBIJuDI3rK1Z4L+MZm+At1ACfBqI5uUY3waqOaeNfIhv/DUJEQVt1nBVyY36BM+yIRz4SWHspvyH0lDdrIbqrtNQ3r5XGXyVImWmi8PdLtNdXf6v6K4u/n9ZT6BIW/WkBvitiLqgFPJ+p7cPqVQgSpoM161rCMuKf8g9aNUP1V/8UhkdmtMbTvS3WA85SgXjwnQh9id7gffbrNYpVzJ2JRmqjJJi1/ZYnbpKl3GfeSwGAz0fm8bXaCsqD3uUyhKSZPGpGstpVTOmPQ9Yg8WNIgK8EHX1IT1grWg32m7vYg8YvGfrRf+w/4s5N461SCgF7X+5yMlYJst/ay//OyUHCbxtQp+bIGNTVIGTQWkaz+Z0QODTHRuf7ls6IedHTSRmm4EmkbHFvhY2fI4VmGpTHO1W/WPnDgSNZeKThR47qT4ua8rikqHEGYwWBg5Y1Hgaw+KkM6lQpAu6k+LNKF4RQd58YZUiG6cY6Nc4+dqeoCPGZUwhFsp5UqBiAaO1e9Q/RQddnG+paoudbRndIFvJzUZg8BDPwzXrXgpaWLSJjAgz4dsKw8L7O/H2EcB/yAVmUYbNo2h3sUVysX9y+Pz0F1cXpLm8hezfQhQi7SDF+N2KxZtkcvOQ9gwqkzbvy1eqgQTP6aNVyYtQeu9uCltKC5Ia2laJX0FBq/65At+BqOk5uH+JWzY1oH2hYSkrqORoxD9Xlmf8DfeITU49R2XSUIbt8kMDcjjDYepjEr6xBqFdnLJIxbwgCOG92ESHTHKwAXwpm2E0IVgOsR4W4rheiReT4ryHHrv2SZvMB5xZMjCofStLaz7VkL+iBMCJel0W+ZApc89SpMEccnP/2JzG3o45eWENdgnvGLbqauE26C6u7pI5NYpfO4jy3ImCdA73hLS3PLTfqv/hkA3zTVcsGaidbcQF5uYm0ElDHJ7Rg8uAxUKCSXoTIeG0XK3mVblhtO0JLv2JClhesHhw1TntplQozanOAY2+4tWXZeQuPJBPWrTkCnXSs9JPVb2Zy1wkc8GK0uaolcfpqxR7qjj8Nid5CKCAOe2rLIeh85BI7uMNB7XQHKi9Fbemt7SRhkSbt7oZ4Zck2YGdLQ4PrKqNaTU+tn0bOpIypORXSlhXFt1wMhnNwQQMwRuRXN7N7QgRPtBgQS0oPStAWONFrPmv8URDn6n7jQ+xYPdIs6v9yqljNFEJRm6cC5kM3tcetaOw8zLMKnW8PgkfELAoultlY2SbkhUGg8tarQRjJ2Er5wJM3xJ55+iQ0n+S+QeaoHtuCY9bU/3Y5GYOhMFCJeQ9eM3AGvADLU2GjWNAjDJnd9FMRkfMFJcS/VYpA/GrbGjqRCwgqHMksHdZVATnLLGrFshZi7exNlFImTOyG9KzKZ415DyTR+JgC1utQjU2bMNw2EHAh7hsgc+CEGcsTElBkAHejBJExwQ5ASowToAYhm7iig5FoK5wWi0xroRD7tJ49DZOv7BON6FvCXWB7TxiYHUeGlHSv+nEgip6A3SOI2AY7z7dRiO5Vx2ITnzP9gpeWxwPEXZCYD1WWIONP741SHiAS0XeCmnnBhUTDvIAsY3IUnd59xFZdBZHY/B8bw2bP1rZuEPdSCxwDT5f8BMZlK7QsbUN5N2O1cSWheJEacImNQmBRLwgT/phaZKKliqo6Nw5CoEOw8KyTO61siqo4Av2l1UeSyHVVGMxAeaGWdUti1JmXMVkQFcVq0Qn14opeRWDlkFbS27xqzQs3csUE88x+vgGM6ddWnVB4CDYsy4tuZRy3kqwn5V/+59nitlz7ilMZdYO3aIG1ze12bySHORc1KjopNsvrjNNm5uapju+aYqxL4rMGBvdhH9m0b1kEKhl6eX++U+vzn477//t1dF5//C3F6fnvx0cH/VPLjWOEP5I+15MQ+Uf3+Ckl8XuIDoetVxggz7zbE+QUG+S6VSDuU6q0SuXdt4/n0QShhwL3V5QwGLpCBQddoJ1DSYiqB0eoJFJXtzRi4vKllVewM9HXJY0RqOAgoER4tddxaOUK2MJEfGakDEZty7KPJ8DOPM9Af7GigRtG4OnTPCg5MBHOBcVdbn8W1aRhQW4QI80+xK0VLxNC7/J4YK1pCAdN/EYAevwu7KP6ipioE1SOdZ9ksZSNCWAOPT9APMcNtrKxMDW7ZdQR3uZmaGAsbSYRhhIuJEMWFJ3jPOZGgVKdxQNLf6HSY+hseh0r8nEFRkaeL0YZU6fvCkuW3HqQ0hNiMkeoaxbYU75nWKtZjX3gz9e69jS2o7LIuHgAejOWIZgmUtyF/f4I6kN3DlGvcgTLt+YY6MnQcClAjXZ2jZVm2XxfYBOhjxGRDiKyIoB4nkVV+iOTOeIIslUkqcDY3MjOuoCCALFC8Fmvp7MaMYho/qRsW6TDgxBZUIgqcq2p0KdUv2ipWMkakxFYM9eCwiVNXKq9R5yysqhdQLIEc5S5cnSWYYj0nCGG7qgkG0y0I4rpCCJAp0eY9BEjID+Cm2zQfYquQqwuURLmskrj7lgfeTnv+OKsM8EnCr8dTU4KKqBbBp+wmHpjVz0klqepKMbfn0XsRWjPy5xZJkGrCB4CIYiEdth/KZMkeOMCRaNH+6xQMWBlUIIw9TqkwEha1vnnLWNSIr3r36gNbxk4k1pePsD4taiaiz3VrHBNaxkPAS1xd+J3yFsxZ4je1lYPwq3ttX6NOATClkc24ZyjNknc4kMYV8lKD8qlUV0FQLdNrCnxOMh9mI2uRWTu8HxBx39gTuFWbmGHutERj+kwuB0WZvqYimChBS2R07bL/uoF5f7l/2etyNpLg05zjpOUvZa5ECFlGUIF8bRCuK+pzqAUQYt8VnQvHPWlmugMM6XrXTNhEPX0q14lUiyuJ7kDiSHXJLE//IeRQbWcQOJPH3b0A53AwDDwwpEq3OTgnh5w4mIpskMsQ4xDWiHFVMYcuyWrtCQQ7ooupJWx4PbqPBPfQyOjB/A5yS+acG1qheRA7Bh6eVQsvnGJH+ZFRfrNpq747Uy1A5ncj9xCsro5DjcGs3nswS4KzYTMEmQ2TKEsZ9CxMsYsokcu4emE+LQyv48jXou4WU9jQudFlmRdgmunDsau2xVGtsiGls7UxYNQCcmbq4alnB0Ayp6iQazCesU0zYUlKhedCugArbQ4J7BRbrEWd4rulqmwTFjQsq98G90gpW8pWKjWkx0FnuKCIA09Arnxcc7a7UyTX+t1p8B9+KU8P3d42cBw8OKM3YGN487Kizb85fhXhIZwDWmPk6eZ6jKmSJjKLIA2cqZ7eHkU5hOK+j6LBc3jmPrky0WlirtOmtLWYYiDjCwBMZBaHAy2BXRMMEIA0Z2J5xleBLf5rSAQ1xPRTfIU5+W68WKDt0mbVdVnW1ukDWN1rWreugV6gGg7jlKMTDft2gI1vhBsFOBz7Begr9Uz3zpAKSc/jL7QKIn/OXjUCjou/84OtPHNrLPJcgdwS9ntSBCH12PdZaSQe2lr4uodCH8IiWoWcYoK6bYAbKWO6PCmayJd0CqzPTBCHVWQbJWjWRltnEH90X6hmoKBkRynQxgS1Fy9xW6f4XqINMOFpRQ+zpQH+AarKBsQ9VE0dV15FwRGoY/FwkT5JdGymtC9O33C9E/99xlbAMbxzcRDYqbzNxuU8l826mCHGS+epAw5uwtmU7IG+GFGdZ5TyyGBY8SGDOTWfn3Em+cODBBG7kpFZ7Tabg4Y9x3xbl3ikHO4tmA6havkYtiWwhS7aBp+jNDZnAbGrk/F4jxbmPyimoyN0UA7JJcDRyXyfnOI1yGPf0KPTfFFVFh09WgEGaYq8uuFzzpedl1TXm/mDaIUj/DKxVSZAZGfH9exbg4RnQJYOTmGh5NZYeDv44pRGzLkF4x5GRbCjDlWRcRzzcZ644U28rzI56jAywHQca6VJoopYkZy9XH8JLpLMZhU6AB76ZScCBWp0p2U2/i3g7XnkY0EtFukJbN9SvicM7IScCILgHED5cRtx27NIevByHRU3C3SCkAHPHV6FVxLlFCfV4XKR4ZSjU54XVexSfD1lvlWOCieXvcmSIU9R3ViptDT8YVEnUEsRNP+cb0sng03dsIvXzyYwmreqIwaO5FSVkJ/u1BwuI0IMyrCAG1x/1maFpGOImObBlBp5JsdimlGc+LGZuluGxgzPIKT8EHQm61s2mOtsCD/LER8ri4vkqaDMWdLXdwEG5kEDcXimxG/LZGhGYjYykrzcMGnXw3nWsZFjMfwfLH8ZBddsRcwBqVp4JCNidADQIUamfi5I2W/lJ28AP5aMg5AbbGydcJT0N+zNm4zCK13Z6MYiFhRyHKoQmKJ6WrVyhhx8VRYSmI9RTLjcCoemskC8nDxeyLTivkaHTdRZlLeh/CLdEkC20/n88WsXRFDnQKiivA6MmwsjTm0Q06rEQczkmk405kFBUnNkwrxGq1IwMjJQaP32LJ1A1TbKKg5Ljg287iwWRm0MnXmZOdj2FOGhJm7NmU4GUPg+iOnCw6GJrKMOa6sQDnp08JTOXfmpVOvVI3/9ds17Y7bl3SvzXp9/L/9OunMRwrMixh8IB7MSh5u87/jD3pxZTPzvs/H/VfY/6lYDjaS7G/c29jW9N9vL+CPXPIVxEWRKBtC4dT4yFtPkiyc/hUQQunrQ2uk0UKR5H2ig62oPFL3ykBGIom8VuN38vLJz1rqIGH2UqWjitmeTl0owVXTnD4o+jN7Rb4xJihEwph5tG9GNuJplPumYo383HCv0COeerpYGsNKa3qsxMirmJhl7lrYfuTIuitcSYcID/kYIOpDVFaMYohlcnXsUGRlosrvcKe54dRzLmSYhYsCcPKB2ngK87ZhD+1VoA8ezx0cs8ppQhyfRw/0KzfGdYcgZqSBCsJp/HbSYJ0wV21avYWmmQdP1bbyQZvO3+G4O1rpYq8cOCWO+FOJ0K7hOVyvM4qRaSB4Z+K5pEYBOPi8KnKb1V0wGIbdf3fXziAVyBvaMeyexpAEdot0qeLtyfuZF7MfMXju6zoMFBlRC09n1z8s6QzNOcXbkwftaB0oRgQYI4INgPGUjxnmqNEQQfeVMXywhvqBZ1GMzKQa+U1Nkl3Q5uk2fBsEkz/irrvrTJwJd4wHgN7DDhcUWx1eUMYh2ShaaYD5DgP6EE+ke1SlCPdPPvuGyglM/X6WUCJbO5rx6oxCSXR0CZt6rfN/7b/naxRqSTAn/6Qt3cquVhYcVRrw3gWl1U76/NDXPCevHFihht4vS8qd8iAtXEkqlErramBRk8Ji7TdFuvCyyJokNRctROhwlVwSKsoTEUDsDaPEbnhspEp6rVucC/YYENa7rO5H0mEqvtG4BKKgxDb3wBdgTkKHNm0gZE4AOIaUUb4NpneMRrLWAoQCSIn07hF0DY0IxypaCIAVGP00Kn3+wAWCT8hvHawMImcqBNO6OQEPQS6fYptVp8VHyDIjJ9ijlByERayK481l+L5WrgXkDV+ATJhYINRkykPtl7x5Iv+cf/gUs8aQw2EGxhVVT4N9SlwqqeLOQa+DoEPQJjQT3uB1J/rO4V9qbJqxXsPnI85bQDwkpdAdtyzAMYoWo0z8+xhkk5H0QNz/qrjop4NamF0vsAdZ+Y9/TsMWF7CVYxw8kQvOI+p8EWNCO5cEWf3Z3R9r1BL/cfF6cmqd/+M5qySJ38Zv/KZKrHXmeHAPBIYEK4MafakfyNmuIYpqtE+T2IxLIYl3jDuhxUKYktQdyQo8hUGbtcPMXazMcfu5gYuDlgnwH1Qiw35s8V/dvTPtvzZlT+35c+db/4IcMWvxtJ8WQsuLEaVj7rHtsk4r7MkACMBmUeK+c0kuZX9Hu66SbCsIjSNB2pEzwQKxR3WgvGyhU11KJH3pthalMpzTBa1iJ7IzEe7Btcl85GNnoxJNMn8zhCr76NxlX4YFkahZ67Zm4wx0mIZuj+mwnqRRfxozRmX8L7/73CCoL9l0bDm3v07PyAb27QB4qGxgQcyb6M7v1wenHXux0Zozd0UmK41c2QRggxfY9GiwTST06OLHkzG0eD/3r0Z1UCrlb8eBGAwE9SeNUDIbLEiyiKQOx6Xy7P5MKyW0JIzLFXjH3yJzOMFOiLTh69ZDB1QjTXNteA54bkRpIG0AV0tbiS0w1lXCy2Z2vkwnrEu8e6lYef3FFubmZVXMedtqu7eBBlIzMOEYtirUwqOs2VB/Tfypmp5y5a7nYYVKzQRK+RuQgYsmjYzmZJB1rfjiprikzvtt7Q9yzQWHq+C+l5gA2/imuu3vUqxOMcbO8GYITpUbji0VaaqmyX6hqZwzOGvRA1HH4fkPe+QLToHNyZj8bnN2Rn6lDv09qhwFPsKsobbTVAmT8SYh/1pm+xzPCdahr5QmYf2RXgREg1oN7515qgg91YMgy4xKs+A5VNG9V7ColKAlZK29xD7lYedVqtZnFe0Kzt+K0H4MnoXtN1hV+ph5tkc6+CJTw/AVx5NbuAs0Zw/iwZvUCPR+S3b6Q/IbwyfxZ+O6ITU+1vyrf1gwL7W1eQdOTGpQZG/T4ZEXxivwCPDlhJdts2JxUsklnEPeNVR0Oo0g5+eYxBnwifE5UAysap4dcf4YRUtLCibwH8/PYfng3zAfnqKZAn3J3foPYafFdB5OSxwt+fj/9byfPKsCJ9GylCWs0jvY1J/pvd71RUXOLXI/Eu92t7jfdpKAWFZe5zrLEENuu2JpQLtWM52Vwqmdq/Auh8mOpuTwbHd8g+KahRBWAPTzVIBuC1/Nrxp0UvO5kltZHGnnSxLPEpp7BaN7zUw1HISz7JGxM8SivMKo3qOTyFgIGst3/A9yz6WaR++dM5TaXu0QvqyA56xssogazdIli8xoo2308tr9mfBEWtninUVqOjSOm2bo/ny3krlykJDddCzFQqWI4kFEgQW9REUpdWOa7aAgSpZ9spIldhsGDBEO248m4zuYmcem8v2FFnlpndSzDbMXrHQxu/QlBvcUkkDZurFrKL4y2PbEalkDEsSJfRJAiLlvEpPl+bQjFqdjI1OMendq+3BVbdd/IzHQR1vZzMd9W4u01Hv5jMdPC5LusupRIg6tCeLOepsDmRXhzGh1qhjTBFh4h4DrhO0drCAb4H6niznikHTGAO93MgkL8xVUAIaAao2y2/kRxyQwr0YADFwOIKBtCiRL7UaROeaBEH/j11em5845A2VkrlrilzFgwjhjh2dgIYrWQH8VuQ9gmbE9VPZCb2P92QWT5uq8GSCyLShYQNLgNhTWci3q8kcDTDagHp398l4OLnP504uScwuU6OyT1x0u94OEMQWP0MbKOEw7QMFIIJLfztJiIvulLHplpm1yaimGr36bq+1XXFaGcYM0t9r5BMy48zUPqeyFtGCBMpI4Ap49KBEptBL0nlbcJ7U4iyVZyk5AHJUZFDOLTA7yVipAp3A/fJFKN6Tl345V4eI2oEepNNa4Tqj++iBpM1DkC5mb1H9wGPx8K7i+T2uyfR0oLONlEQwYuKnofo08bUHfMHgDepFRKi/Rz1rGUXLx5TlqZaGTYta0KeeIewGpYlDDnlUmTxAuKEoFCqZKrjK02O6ZUPiP3B1yGIwwOiYHHQpVAlNbRpZiJdaWMauU0MmUrAtzpYfGNfRAZpzFccYC8j9ZnUFTTSENxAcCqp5kc565NoVEfXtP0GN7q3A/oDZybYb3o6KAJUkFCOW9v2Ip9UPaVJipANd4ZBjU4uOOhzOQCbJ1A0SiaZTuQVZeO6pSnHtUEjeJmNfCOqkNh4gIsqQySi3nUZHN1ILjtxK2CmwKNrN2hxoNd1XCaih4auZlZSiBwrAgErLs3ibmPSmNJmCalXD3erlUgs2cG4rrkc7u9s7ZbohSt3aa3ICMx7lNQ3lOYV9HM9z9AvqS0c6aaEzz/FbD3C2s6HBVd8uAH1IERUR1F/PgWxDU/iOY1mKqjeYjBZ3iOd0DSQQ471gTV9osjNqYTtQPPwV0CpcEZhIaFJA+eSBjOY6Rq2Lp0MVhJQLgNP7IKvsRwtTyxv04RwECtDWmTgfGjkWke5LdRxXQpvK2csfnys2QAryZ3BLwStr3elTqZ0KV4Ulh/hpzBSDRaCHZGBwDuRYyF5c8pycKdYSyw6ITFYB69rLvoMPfgVS7sHFzwazkgr0MIMeeVCmhPBlcHP1h0TZhmZkVhshvuGiFU11UjiFQZ8hpX6yUVv8OTfLwOVVgzUEWQvOqccVqOp2Mp4gYk3Pu0gFvt2KpsnW24ZJsvNia4P07fcp/OX5w3cYAvor/v0wQS8O6Pe7/YuDv/IJfwcnXDO3RR0eE/YvkXIQV6DqvRYzCpQLQtFqPODCG4JvarUrx/mlSgVneUsXrjIPAkLGVJGymK+zvv62iGef2PI6583aIh3h0R6OX9v4hInsH/MF50oqLJib9To77GgiSJT0GkMEChjmhuA4o68saL1e46wj4Q24skPbAvGUr3FoSDWYcrSCEJJmd5ofwLc5eR6RqxNPgr3WqTYpz3tGBaqQH4h5gnBmSgFYoER0pYC3I7IeWSM7wyro8K7jOUUWuJYJtXLUC16dH3upIYqzodFLhHvL5YPKs1NMkAEtcXX9jY+47tJyken6pwHOw65N2qKEVSKDl80yx9ewLjZDhPPil4sguetacKzeqEMr5Dhw0QQtOnUoopAQKOG1lBZMha1ysvblFKpwqcEbzw36DFNo1W/LwpE7FW/CQZWr7XHB1OXI0lkCfK5FoMUkllulCoCl4DqGBYd8hULzdIctJVmMlaGfeMj1CRW5qzweSQkAixLcoqZnqGg+Td5Z5M23jg0lB2gtWbIBpPSEpKJQIF3cD/3Lj6P95J7m3ohVU7Azkx5qJSKsRAQznUMGiDHxJhk7HX+Zuwm9gdUGSViMDBXDquJF2RLR3EvJCA4REZAFWcEMbP/ZcIRRAXjuOlTuL7Kw5Ec8FPKjpCcZOZ0wI3lKVAGR+/5NMJxNBG9IqIYCGVXWW2qP4HdOKdbo0lahsWtoq6S6Fp1RGYB09QCOzXjyz/JjKI9ihAfo4Gfo77DvEeBfZYdEqhVKwVNYYPZQ0ZFqFdYMlWjAKUE9CxQM5Aq4AhMlW3iAz8LSmMqBPOsgM6atckHPDIOtIIRVYHfB5e2EAsxXSIovFiMcB0LZgePjg8qri0pl/+Dy6Od+yMUzzmVwmPseLDa4Az18MK757CusgTXE+EBmpl4vezNkb5m5M+7cl1H0gA5oCS0HX1pQ6LSctU7B4Co8UFpT/mDtJS07Y2JGaQONBHjjEcdbCy6wRZ5TV7cTM2OjgERtRPMmpj5NkQOmcP5O5ENeyDjyhJdKhnY8nVeIq4Q8OJY7VEJktTx68NhK4dSwU/VmnEjsPkGfRg5Rqh/syYW1L7c8wJbipQnaBOedmjVjVomb0scgIqfsE1nVOWfGy0k/gLAwx5+nIe7RV26cY6a6gPlklgolk926LyP6ZAi4Oz3uk2Tg86G07eUywCr/YRp8VB7Hy6G09Uzz7c5FUG65QgBAyy9FJF3+bkpwtZyd/jZgEKHsdclFiXG0XHW5/tKjBJDREiY6s+Ke9/S0EftVVP89zrz8AGzZ3e5O47p9fV3uBS/6LofRVrfs/Wwp3/CU21Ei2AoRkCkaHdEUhNpDisaWOrMExU86QLI5bHw/KtO7u2lP2wq0Wa3ZmAZXeNaD2eLuSovXOSSkHrMN1Uo/MaEfU23FPQ1OugOaR0yWaRVT6/OQjMsxj9dRaHqKnhjEb/QkPgRZdsnU+3Iur2q3JiRDG5bUhfmQ3RWflaLCkl+epHNJWRjkNy+5zB12RSviDErZiW0WhxHPCMI49/1KULhJetyylxVhPzmHcD0ZjXSWBqN8clUmaVEJ8fOsLGkHCPNXEjrTvM2ROdizmuSUjzCChADv2IIYCphh4im6YnIgQ4MawshwiMBtmYsjewVnh0Ul1OMQRwgrfb0YZWKapwKDLEnaKZ1phga4c50Vl6HuCtyNKR8MdZOc4jCgrpLAz0ZmyH4VQSwDhvuHR5eBQE1TOj4oCR2E7Dq45KZQlBkGwqtgD4peIKRL7v1AkktPjEhQMJRiOBksUNzUmACSJfv4KGS9IlG7+4dL1G7shOYElzEGTggBiARWNbBy3IFCyd2VPnKZwHRVQ4aDCq/Z3KmDmxmmXBHDokfYjrjWjdoVcJ7IoyfMF7tn6yAivMfBWmnJAGYiLvSB/dcqLbaC8/gGAT5n9sD4Vm5GkyvYhXM5qqL7l5dHJz9coBdp5LOHopuy6+TCN+vEnvnEwwL554LKinRPX2X+eikhzosF75LrtF1ynnVkj9sqwzU5YjbMvBzxdj5HvF3tN3Y9Uw1NnXsNPQucISPIYmE1ktnR8fHRyenRRShKEg7b9kVMJzjgl4qpPfBz7q8hukAC5di0tLMJyIrVPdQvvdpKc6LjWUPN/MqOQMXSbi3+ef1jvSErR9OBDDfsvGsE2+1m0IcFcJ7+Mp7BnmAXCKIaXOAibwziJ+NKb2GAkSouCY5ADwY/cGbPQX7bbW7X21XEVqXfo4MTfNsISs3GdjnodDrVeqNeh7exkxK8urCZaq1qNxvLGXJmz942K3JrurCKez3OgirBwHtr1o7LXxmhBLNLjBO9YgK9SwVmGPs/Ux8QfeYNL1Bo4UE0TQWiG57SdLpUpPfp1YV5I90yvlJsSGcjnKqoGVRoGsbM0p0646OgWeX5pXIe+i3n+VLy5RB3dj6ZTi6jqsGMCXgyEXGgWRyfPgwb8RDbjtuPY7taaBcC+M2F5tqLgRjBlcAhqcwDm/WipwgctKGMNHobW0eejG2xHB3irhhiCd0RXVQRmhnCkBmrQcrzntKst1QEDgJ8QNKVboKGJHMJ59hBUnVNyZegohd3nxQw1JxGLpN9ROCgd9E77kASpwQhoFB39liGdIBBqYuy2elUAhEb9u9N/jsJDGJmJgP8lnt5TYfNmxWOdcCHCFNyGs+q7rWnNgpVkaoZuoPCwyemkjstBJlfhfXM4pzKHmvBeaZQHxehDA+umU/dXtNM2S+d1Cz6jLQtFekn1DO13LBu1z0IgXZdMAX+0CWRvtplu48xkx3U/yqaBNQ6y4jDtUCQJJVnGUgycz3ZtvPs9Wm5nCd/gTSu43ssl9vT9t2T08v9fxydHZwe9olqgGj4fS5tG6TK0PupvKJRL35HTsO549+p00NiOgYYj8eOGaKS+fX8A9e2dOQh8gGqAqeJczKuskYggB5QWr/8YhMDBsq5akLTAvRMyXIw6oQXDeo9FwXd24lazog7jkbQ02ne1dM4FOfabFZzaSTIM7C02j2aNgqJwj7ucUSgjeE5apDYF3bNyBVk4Um1BsuBQghfsqQRkOs1zfKFvYhsjvoTkrXJiBH4rUVkwAC/0lHD9xkTkkYZkLFMR5EhDENNHyxdcpdNQGz5+/1YF4uCAyj227ZjAFNMWdi9BjojGE3uSRHDckKE73B+z2pyPplxGxWh06Nk0dZ5Ulrbu+vg4RjiZhP/rOP5Z47j8yzYn88jE96WqW3DhJq3ObXFxoAbBJcWBhnfGtEDkJzZ5OSaaoUYkKmcCHgbz6U7ZFO37NF9UpHrdhqXzt8hVeESgroLiOt9kvO++7IvdmyCG4wyLzi2E5rfeR4h3FzDjN812EmZMW13XvTdX5st+aU8ADswNLBggg2ggqlAX5E+QmmDVUNTaGFD385cHcHO8WFwcUKRBydEYedZm0XnCGHOTUmTmZF0Gfw0Ssq75bqkQvfYpx67W7yLGG4VTL559CamL3MvvTcIlM6VxlUUoda5ZKvttLJGFs/cxaUOUJrcjFlB82kwjpUcVVUghHBolIwHKaAWiT/ezBIJd6aLK45yUkop7Gtmxm5Vq9rVGA3NqcnJ0zuJJXEkspgvhvqxBDTN0FOFszt4qtIxiM+wMb0+xzMxsGdKEcipc1fFZhPnQLyrkavQ4d5EiGjlsNgAC3vytmCeQ95DewFOHvpn0eiTe2iXYh1Y3scO6xksD/4S8GDv1J1wGqYmL26eaiZtpWBVYtGtAdxxBvQ5X6yaxj4eGpInfAGu4EYGqY2QCYd45ygByL8gPqV3ObOTvIlxZhAlj6BY7iA1fAepkQFdgx/8CVCFz5cK4owykUGSsRUDiq7q8KdhcSfkfoZqRR+KLZ70fe03yAhO8gIeMGcYDeGKvwWmpUVxISM21os80pFcHGXcv7zcP/ixfyhf47gkmhb+1/WfqDlhZfIvE0CWf8sbSLDeF2mN5vehZka0ep3i0/RuZ3BDpK+Ih/LQmrYoSW8jhgiqvHfqRyakFfzhnMrT8A3ue6lvt7XbfLfT3n4q12cVfaiJS5rUakVDBR/37pkEvcHd9A2WZo8ihK/Ru5ituonW2XG1v39xKd0JnHWt5MapSTUqkjfNNlRsi8fyDzgkDyRscy9I3yxnrOyHMxymewDuKiXjKuKAHUSgtUbgBvETylK9ye3iyXyPzCzCAZMeL8Ui2kyLIYqMUB9FW0rWqjUH6li0QUkeUa6FNEx7HrO+UzsnTLNGEDZGI2Wm6nwnKZsXDNS4U1834q3d3NDBadaLHRzjWv+MlfoPAqgsJUzRfcDKBiMQv128Ojs7Pb/sH1rziLmKJj3TIPA7MEAZm4z7jqkshsKpERHqpn6NmciRi07kKnPwkScyOH3/8PC8f3ERTEmuSIBXExbswPA2ZXhbHEnFD82mpU/RPzGQu3n6Z0lGqzDeX/ESQq8u9mxcC9ZZ4YVUeAEFHgYLBg7QUZWeGemAfkPFeAdypzwHJmKzVSPLxo5VeWpa+uF8Mr4BoRXISwk5U5T2/znYPz8/6p8/A+71SCPURi0+jEEyGyC8iKWQZMwiEJOcSS6dBAsPwpMJT3HDUejYDoWGJ27z/8hR4Uula4UbuGS3DgRmuCezO4ecRj/fL/iUgqFl3rUn8zbN1E+ydK7hTYIH8SYeS4QDrmcUKS4WRe9Ru9siW2QgoNQ7m3E25zCf3MRq8XKIw5YdmZQtifannSK93DM4O72wbQYmobcl5xlvKb9VnxGCG0FBkTbgXhOGylBq33Mzb0ihTHPoKXAVJnW8OGgtOFuAeoAt4CB2mwupyHKqzuU6NyqDYTSGKLVv7FfYXGSZu2sojkX97lirzSxTJW9c8yaByxWMe8iuhaJUAKe8WeFYNP8c2BNGodA5ORY/j73/uX9+9OLoYP/y6PQEZUhgZEjw4vQczJCji+Dg9NXJ5fnfHcw6h+OWCwp+wToRIWaMgRYZcCv9VXybcN1CvJhjCeMVTzW8nhDjSlABGNuTe6onCxQjCWEK0izXixa2vmCyyKey3eWCSLw5NQAa46GjpeHRzvFqn8DjLxGstA+6L7Ty+KrCgkty7udkUnA9kut3roW2LffxNY5ySRCL5wrIDsRzT5mN7s41fCZmjrpjSn0Rl7jiDgVCeP0lMjNixR0ZJ3bmVzIGPbGgyTW5GpcSZxMXqYlMOlthQGnOqVPtQLlwKs0ao7y1adbBL+A/jGn2bMRhTy9ZY6JmKdUJsW90i2ECwrZjRCk0cG2MFr4+JkBoG/5lGeeNOieP7DqZSfKH/UM+oXQAQusxmYgzThpkbPZIQXNvKAwqKeO6BoAdjwhbJWw9FmpV7hlBY+lm9IiCLPPM78A5K3lx+3Jh6RUezoBSNqZO3pSrCsAmpxHMFcXGlzU/cIGvJATEx0ktsYrDSRVP6PeZCCaFlyU6qUMbq0GINEyQOvdOFd7M9JcSBdhhLHEKx4e3i80+WEWv7i3NZZtM7Y2ngkCcK7CPdXAu4k+T5YsZhJ5xulhoHOmyWH0KM1LUigP3Xv5EKpZ1L6B1TyT9hRmD9I0mxWzaxkQOLfzHHc9j51yEV6CfIR4JMjU2CKl/bNC05XYzhvAsWytmaYQNgDcjOXN37icVakqkjMk/GXOqNKBUKdFhKcydbFnm5gULkAry2UJatl/m/lmMViy3Vlt+1LuVDYO3/gxh8EsUQFpzLUIpBelG7s11Lg5bMiEhpWnuIDOBZSMzrKysBoU/9uLKCE6GPM2ZkdGDl55s2IAawgAY0UDKg+QDRsVslelcEPldcQ2iiYG6GDtRwTN1XUONsjqBN/2dAHE5QW8KNKjwuJkYyVHTVBsawPfY0ouqCs5lw91R26gWjmK13hhLb8Inah5QSvCC20gEJgOSuXpTUPH4a+enf9HX/tXi4HmmhZut0IKcUtEplz/oNuXRX8SFyl0SzhVFt/eJOSvuDlLs+1e2rVA43NNkZpL5OoO4nTOId/IG8U61X/exix1Lc1+sd2wWlPw5dgynPY6+oOhBq5A9D3VwcJKHW75gO3VuYichFcqY+aGtUw8e4nkoyNkcKPJDdLQMwn2lz6y2kr21O42kGrXCnxMtv46SuYnoTnkeBF7C3ABTKMyeB+Jobebz+BqeeKutr2j3UTUQPxzVVSH4HoXt8+Y1HAuB8dLBYrDUIsLIrBaOjtIz8DaKbWv/YKmQFNughoh3VwmSa3E3dLZNxeRL2KA0dfQeupiAMFCelQs70JvHYu8qfSQyGMXEN/qkWSxW5ThbBuOCqMziQTIlk+l73Nt39b+mye/xd82OR1mmkwbHMgMVSDMXLZzLw4vpqkaVgKgpcD2E+odc++s3CuseOfTy6zdUSoo+33zCnhs68yoVcPCgtuKjD0dd9BmIT4HeXYLnqWVohAOBfWYSgA1SsCMR3yCD19mOroft7eg6FDAJ+L5SnX+PbsYN3FG9DoVbk8odoh2wGmOqEhlFyV3qxcCJZxIBsacTNgBIUvZFTcW2zIlNXAeuyly5cws4cMYBtCLyErBYxP6DQ8y5ED8CH33SmhxXGmR9iD7R2Ux6EHPnI+c9Hjq1tMKew1mE3SCpHVFA4qwWrKD3gOk9AHqvPiNSL83vkwFpSTwb4FD9p1591V4mg7DhLCD6EOUAUPyWpcxLUbSw9HTJIv5bzd6/Fi2n6URZk6Hp9cvzGmGUAV/Jw379RtI2ol8FY2vlSnh0TjyDp3PS/MNWhNwfBi+QVavMquTyzeN382WjU3z+1HkvKOiYvxATVyZa1YKja7YF3sSIYc7xIRnVvRFT4+IWM8lLyS8ZdrIXdBqtTn1Q71aC3WG0XR8MYoq1atslvAFMk9ibxXV/iz8RlsRZXOMFxT0YQQIlIGUBU1oeeIapyPgr2wdDm0wZ7ZSgSFe4qm3fM23/GVpaNlNbnH1h1YXJOY9cbcwvS64Svwsb/m8Io6uZ/XTIIVMcE0YcXvr+v797Dkc+xsQ0/L1b72JsDv72+++/l7Md4MKM1nrjdcIaQLw/UUJkmclGhuZKiVlgITSxNc0RCWOGHtNtu6YlF9xKTGY+W8xvrxcjr8EmwojhzYKgukW4f5WO18oTxglnGx2xZJhZKVGPSDKYv5wM4zL5TPkDXiaKa1yEPpa5MnT0lB+YyVAHlFGgt/Z5oMWQZ22M44oJaxgqpmIBykLkuYUNsHU+0v9j712420aONNC/gjO5G5AZgCIlUQ8qnoks0R4lsqQRZU9m1/f4gCQkIaZILkFaVnLz32/VV9UPAKQetsczuzs5Z2KbBIFGd3V1Pb+v/VgfaafcSm7nkQldCs8uU6QnJTLXYo4dZpDgmyl+vocnAxD9TIPZNlsPy+MLeT8HXnu5fmmby9EPqud4cMFOybkRD9sktL7bDFThBM9HH4baI3pwnQ2Sq4npEz06LvaJqlqyHeHjjOcK13qOFUxzb1DnDvA8yecFfVr1o3rXoFAwaxIuf48wWvYGZvBHx2ak1e7xfVkccXS4mAeeWnXppc5HrQTjVFn4Vwts5zC2IrmnfyeXBBMScVdMxI7iZNGfO+7MD2Ufq1BC4vZ34WiKC+YtR0m0et41CGo18YAPV3ZA2WWCw/NlPBxj3oTFY7IAnrUiYtBAIdidbfBR08f6sVgncTQU59VZ6ornzpexGixswMxUBG5usjoyQEuMQQnBZCNJq7/kr9bqlulDQlFL7AeT6Z3EUHXtybx70Ns55BAAA0hczb5czuQ+j2eVqIjuj6R/7Sk+TCPgDJctckicYPn0f3PTBef2hYCuK3NK6qHWvT7yCNJ0MzmC3tW7PBd14PU+akfUasu2/X+gN1vjGgVVWTOTKCXvvtJvmc9+Su6snrRqsq7bkwvyxgz6vkqerJnmK5WhjVr4vDIW8ozPfRzpAljBBESymw3j02XCyV6zt28Tg1TGpYOqZ02HTJYrsyOeaPyYr2TvolvTSOpG5Vx9uLAV880FrXQqhQJGfP/GVY0mGMZPsfaUd8BfpKi6Gl5TWck0Q+ykYprBg5XVesTZod0Z6r0Gsyx/zw7scCHAbQr+8T/SMJfGXRtcLGzCxyxrLbRyo633oXPxilsL57UpSuLVk5r88tKgQlSWpkAhhCVooPRbK/trZ69paG5Ma5s6qrozW8LXU5kql4qp6BROId5roW89EpezWQR7MqalMkOAisIQShk7uVNsVDO9CKcgEbDAQRrpprWWT8AGUIkG6lXr7ebjMDi/K2JvIqRuunEPZSB8UWksOPAMC33LtvCuMvy/Kxr2xaf4M7Q0DVHNQDiqDdRdT26mifaK25Zi30RGdYv3FJq25L2povHnxM0rijQMLChQEa4mE0bHE2KHOdhhciEe4m95VaTfk4FqmUzXVn0zY7zykKLdo1x6U1rlAgCQorpxnTHphFRGR+ZFLAG0OAymo0VO+pcOwf0oePX3KHj5PAoOu1Hw4pz8hhP6nP7bfx0Ffz2jP+nz3stiRTQWyF8DPG293SyDG0kj7FybPC7pTWLpzD/qncbrSu4sWHmRV0eaF8h7uAzc8rGw6p5NpMPGMF+wqyenSyaFbcZg5KVOfgU+nmXwmJgu3xrMSQ0wyvxUugE4OcQ2uHIgBD956QaSFNSasUmZ9dOZxoBmc9lTl8YxQYM4i4aFdUPeLkOFZHbJEiqZ3Vu6+Jq9DLDPTowEae+JII0nBYhbJkoUqXNCXPEIRY4N3Nb/ckaalbCcrw1ke+MebahkuaqfN6wY1LBJsUN9rV33PIfVu7BwU96OX5dExb64X0KqG9PA94iBUt7UwI0msWW5MspVdEkRA8XXJ6bCuAZdUpeQhadiOEcCFjhfr+xVZ9A/ZAwsgEkQ0xzGKebXrht27V5V4dIhXFriTMJnHNtOBJn/pj+hAbE/Ds0n48yMeeNek0edFZuwTFqDKzz4Rf4nkKScJGSA3Qr1Nwkn16FoLU1RMgyD0hwHn5GFuU1e8gG49GCpLYee/K4oNZXUwaoFQz+F7R8Sm7awfr45IN7Y9YTBbBg60OzUoFY+WY+6gGN9TofrPv13cEz/nUbBWZejz+HRIGXW8DC4yriuhgNFSEMyiCxGVD16uS20KrSOicG0F42FYVMPGmyDdX+oNDR5uIVJKoCDCju6guJLSIpOD4t+phPEhRFCEXKv6cMxJsVeMWvI8jjHBogCTe3xfdk7UDQ6b1bL3FPGZFqhFnUHM3T4/zByj9VybDiy3AIIm4QVUGkEhkSF7NE4WYqC8CydLULBvKibaSsZ3L5Q+XK0UoBI96oA8X/8BCtJCgp/dAO7ZBasBc85mjELuQhMPzvwFKXGGhmJWJ/X8FPvq7bsMgJBU7/P0NIchmOWna/I/sGizOdG2e+RyJ0GeIVM68r4IblBazaD/m616dDxiJ/csosi4tVJrR7yMxMR1+8lw4TUUvoxG0ygkl43eo3gVTZmpqPFfARr8CjnBc1FaaosXWZc8WDWmg7cutF/VxxNLuqs8/ba+VYjeJRqDmoHpmuG77zaF/RF03V48iGyoC1R4FqvyleR7bEiknJQ85KJEWbknaEzPp0zpH+5le5u9XfqHff+dkT5baLkX2KwsKkiLlEGwFNT0qc6Vn/Wk3EB97Z/FwjviOBZf1tUf98W903j7fh8i1GN09Z2/3KXkRwcnwgN8J2KFgftG1z2P1nMuI4DvsqCtA55NmbPN5jdtjggPr+ZPswoJqxJeQs0iktqDi3UxEsVVfGm+cQTkzXzPmvF93TO8WO5Uja3K1nT3WrWdDfuNjcKMZnXOZ8nWoukttkw7dOQB2zUyOZmbpc5ACilRsiYfwW4vESZqL2qysRkUbWUbcEgUoht3BuPkTF5GVLO8gjrMkiRb5jyTezLUGss+AqQDQUpWIEAto20Njtt9FazGybhEGjRfJqKkFcqQfMyD3M1hSnPo312w6i3NJAwqLU9tMHlfVXyq9uEjx5pxJsi26xwgUn+3gHZc4wvUsv5rtC2wtPsKR3LsBpDOZt5n6KWi2tlhxhnmRQZoXd9XR7LJboY7Qt0CuFouKqyAN8rNd5NxErW/CMp/mvscH01+bYq0O3deQ2S8f0ou8nmz0y0xUkLDm2DFkiLTm9s+6Bzbz1g8Xm2i6t4fihWQkc8oFs5pvFlIiZ4r3KspL3hZh5lFYNkOge/JHjEk4LpY1hHS4h9MjlGIsQ9xqa8TwSc4uWzhYkxEV3xSBY94l7hCvapgv+3hzyqzS2iKJZv8ADctVAo0CTO00U2WmfVsdilHxOg1PsLFD+4yfjJf/QzQO2mYdG0LXOMAUF21hgGzuP2VlRwQT1VAO99hProj3XDJ80bD116fVAdGdDRIkPn12IrKa7J0klfOeHRp8x3dN90i3oSXaNdi+k4NrPJ3lTMijW2Z6eScGfMSky7eQm+wW8qQ1aa7qUy//Dpi5SZhK75yujTxF5LHUqr4S1AZJuMYanS2uNG2wwlF7ziUx7n/px9fe4HjWkTkC7LOI7A9cavfz59eXRyeLRvfAL7cz618FIPVa3tPNL+El/L2l9H4w/kzWAGOwLpJo9bWri24NpJQR6mHYzlucDJYFqjBMiH2zDQKBxGHlpUcmsgpbUBYQbcJ3PbMf39+pPtMikO817GGmvMbp6MY3kpOgKEc5GXa+pA7zwsWS0zSxG9</t>
        </is>
      </c>
    </row>
    <row r="6">
      <c r="A6" t="inlineStr">
        <is>
          <t>4dtVbTC5Rejfmd60cKco4IMneN3rnleLxGwHRl/5W0WH9FPkUfFQzhagGJVrGlhnoiGdbCOg+XxMmJg9CLtjITECsENx3ZBRF4tFHmPWKC+ZY/uuQ0Uok4YPLaquKfJ+Y6TAZEIM9nWCUmHEc9LSqBTsJZQP48f8JHTYEmCxcqRKhl5HwmhiHUQeHTScAcGjyIsiSMs2jM0qTJNsZmXx62I8LTXSTiY+bXGOAhC1jqRUALAajn/V8Zao72fySlJ4i7CaQeEkgeAUpsxltKLUIvb2iGmhnaUe6QXDME1Eq96g0IofIZMBT7WYgzArl8/vRilwPSQmKYGOMqC6ISBbWYG1U+wt2Cm3we9oG7z3wWb5inb5g63yT7b/17XSP5rtzqwXV3xOZjOhdoi9GlsPQQpEwbJ6E7Xype2kSNV2vz7RiqKFZV1k5EjOynS8h0qM1oNksF2FUnvOetKqyaD2FJVUV5DYQWqInO5RFLUn6a66hxGr6TLvNPq2eGbQv+2h8bUKzxZ9ZrI3vr93fsqCSkVQ4aCT5Zfea2sLYY0698iDVSqPOyQAhX6doMFa0xea8hjBQMKxBp0k2S+TGDUi5snwFbCQTQGUqRAbrlhjc1z81q1jzz5Zukie7i6juVaryJwdHMstUU22qe1JWGtpk/3Sy8zF2+UlU2wpaxw6u5HXhr3E9e0Nj9WmYKcKd5kLzvCpqEv7kP28+9j4ZatkP8/Z98Cik2kyBc/OXNurDdWfd1zTdfSQTKsSYABAmXbIr+GrFaOJzkm2NvvcYqiQOsL8K5HO+SQeTj7JWC62r5dHVKLQ9L5ZVlf2ilfTewKv7gMPWHab8wlvAO8+rAUfGuljq9M4AwBas9ncaBK+1VLWCG8euJc5d6b5rUEPdi2UJNINqcD11qyyVJkRD6xYruarEQjGMSWLrWSRY+WiyhvTvtvPwfeAsCafEhYcde7yxCQ4Djdiln6YoMrBcL+L/MBzFYMSbACN4DmN5BKZYNzkHeooNDh8ORKcKp3QcTKex/mARJ2+SZhjxg64JDM0YnLCdY7Ij2Z6FHJFTFR/lF4lgzt5EbLytN80wTuCx1AVmEcrVXk6VoLHB7v0FZz/JRNHw4C313t1cUaTNUzuuMZhPHw5y4ZrvW5vjRuRQH09mDClaz0SAl222dfY+V1jaDqdPg7y0OgAvofCVaNhggMG3LnCN7DReUO8I8OYrfsZHe/4N1B5eNog90uHezZK5qwy41su3IFRMANl7eyODYpkGHOMYQ8ovdgswYcsCXo/Hsu7NcJf34sJPUHiNHlhKtQL9KYjhL60Ki8DDOClANSGFQnS39+3gnLD2YTOtmQqKrkRnCIXblWPcJfzdctAnMnUO9Cmc1o40AVDv8RciRHcTRYKADiRZEk2s3iPxd2mJcS5IQs07LAG39DUIJB3dI/bs1t0WXbLbs9u2e3ZLbs9u2W3Z7fs9uw+3u2hw7CNjF+v2Wp+8z/fCTo1DI5ybFZUmfQpcQ8LF0IAq6YilTbgiOY1NSIVbEGc4qoBIDw6Wq3S0aeLr4NQcvg5ijmSE9q/3ZM0VKRHc6Hh7rN1U7DPAf1xeivunZ5pRtcj7h+CX2M0p+0FoBVsx5lzOwu/YarS8Cv5S/vg90J8o7yKEI6GrGDpqMbwv9RRLaccPeF0Me+DaUesaruIcWCPuigwKpL+1u1xoZhRk590wOmZ9egTqgDzoaJr5JmnVLLMbiOxhS+f3SOX3i9Do+uNnpcSd7VhwxUiGIqXhyQjh6/g60lRbEEWjQiOK4LnrWFYgAd4WDJ/W11I7Y4pAGTpNeXq5kEY0NcQ6b0ny9Xer7oLTryySiUPU6+PE5YklCLnD7ic7eanpWz2xYWHqy7xMsWOI7d5zp2Bolg1kcC5+HwyNhaHQfxy9TBy1kluCiFjDwgWJJCA0bccgRookysYhugzqmkqWZuIq+xYsjzy9GmFATGBYEQemYifrvFBARQBMxFEeQxYfnCo3I4gL0y8JIzVIPQht9LhmTBpBLM5Dysgb1VXVN+I9sV/J4IaKmP7i2ZuGiQiqxNGjWDfm3dMeidYboPLbdd2dnZag+Sy3drZ3lzf2tkZ7GwML5PWkP+aDobNjeHWYHtzZ2dru7m+c5ku9X5L4qLEV8ZTlWkhwygdS+pAc6EK/UXTwCswmeme94oGnZQiQsO0wBIRWT67CsY/vgukcFW+FU1RzlxBDx4iMGUp3n1TpUdTx+bROvCKWCWw/dUKDUIoQyfIw1mFmoyrjH3F6MrYA7KFTGmooEpxRk3AuAzZntYOeTx56P03CGLearOZqVOu2RxLHfMPDqmZhlvuOLosT7DFgGA/BDgUFYw2Dp4G2TwyK0aDn4DmkiEos7nCtiD+BgJngZ2QAQjFqu2P/7pEiUudzFXJfB93oC1RzEdUp/ClaFXwcY8u55rxlv2hzLHKzw38imycF/StCW8GyHrccJ6D9tENG+zCO6lAL+VAmiF8YrGyx5hCfMfcHeadc4reKHD4LFDCwJlppVZKQyHTQLItE19EuDFyhhOctpjBXlzqcbaLvPTtZsnjpA82yh9slj9oFxxM+mCrfMV2+YOd8ge75Q9azfJdW63/dbAMj07XFRWs2KqiZDsrlZiAYraaa631NR5NFGx11rc6rc3g7FWgV4s4v4OpYU4xeTf/FAsd9KzP1uqfu0aRsWnEzVYI7ZEjOr2DygstaZ3yas0FoM61vCW/lJ5fsmvtuUcTKaCgvhLV088A0Xoc0kvOQOEYmF+vNqfwDshPwaaqIOoU61A5jcWes5cD5dyIUknAuQq9RSs6JkiLfi0nmZtiZKJMOqm2Xg/V0GQx8Kr5OCB+WzS/IluHckJn2R1TBFqy8nOZ5PTjHPEMZSLKZnfkQuisjw0RlkGsHb+nQ1moorgm0qINWwvTuC5iVXJ0z0qFwTDDM0iyCuU3q7cFXak53Vji27G9Zd8IYyx3pWHyRtwtbMQN2oihKbe0WyUyr8/DktdVESkKFisAOpzRxOIOMBUtMC061I7S2dBP1RgYGUKIFTpElEwu3qC8W0PStqP0cs6Pz11LtoFjIckzZBK34jhhjPY6ZEsuwYz923WaYdybqNuPjs/u7TciDxvxrB3/Ofvu45/Xsu/eflMQi9rynKxn/Nel9ecR+dn1ZssA4h0CCq+661p1UfbpsCjwYTkn/EgpXW+qlG502s1OextSWpRR5ub0pJHs3AwYJFZ2a6F6R9CX4mvp9pJdzZdH5iPxrUm70hNbnY02PbFeEH/d9cIBo5ishvcgNt86RY8N3Gg0vq/sG+ZmQQO/8JS6U42DDYrRLuW9qvMjc3f59LB73L3o3rNmaxYv0SdHVeQcfpHqNrO7zL0AbfhbRE9NHQQXlN4AAkP8Cd7fnJ7vCIbRzmZQs50xmfVLHRORTZ/nC6noMHVzH0R3ynTLvdq8n6wG0mPOkMPgnEqHDxGltluPjXqsF6IeF9cF0h8tEIexy0pkaBGCkD2MeRJ5KpXOh6bYnMOJpSOHZQDzz7FM6k3u8nl688lxDT+qIAuK53PEiQb68+lrcKVaWtpi2JGxooWViDeLDA9kNWjgnsyuEBvzUH2gOxS41wYq8bMaKUV6Yj0UhHBv+jKh26yGLmS4azLsv9yQEsw4zdWAeo3ctFm8IDwdj1sWVRglQLLkci7eVriuYBBJANFnmdeuE1foGXntyS66OFxybGjS38mGnUgNVwirvWtuKs780gm17Nez1HbC8IYtNTUVHosmNruG5m/PAKIUIUwnoeW6hYBUNFDrwUspCzx1yyhGyolz5F6A1a4GVoujpAk3uaIWnVZe8uywLxe2+oEMXFNn9wg/vpfSuqwGGmQDTcrbPtOTR8TOLijb7wJugBc36AYSdGauKkPnrHPdZwstnQ2y3GcrVTPoTueN60JchjlRCE7WpgVi1In17IGDbTE0bxThjLvlVCS0PJIZLwpy5rPR2trdqwWjBzHfJFn+GVkEiMcgCQFzmFvzjRYDm0NqMcbNeeYj5avAiJxwS/k9nnyr6EG3yp586/8Ec9TS8+OhQ8P41HYPz2cLjwLbpIjefvPzZMFqKpz7+/OOe234TkbRxSy+tikfz2q8/SaSLm8oyIJCepT6Fx1fUFqSKnH76fD0VWE7WU50I5ZCH8KV17EdPknvnoqaIM1CmcdWmccyNtCbOQVt96FCIWgwYdWB+5VcUm/hH1xxOUF/0QV/cHkuHjftZfCOz5v835SXdfqgNXfoJxofsWThp69YyG947wHFYMCFrVs+NyrGyOqtLcv/S676vfb5+mPt83bFPpcDWvK7M4lpi/+iLlOnkM6xtAaC1yS2meQyJQ6/IvRga1TJt8ITfyDLZ8L+48MMUA8mIyurmGhiUsbswx0h5IbBcJ9ZbltpJLeFl6kJ8kXC/QJ+7gtzVA/LsObjIVr04aSGCHiSY654ma6hMCy7GCvmSeJteg1N6JyEt1QCW8hjFhKkZk4hxwnAMRhjhkS56jPwpLrxdQrzY8K4ZOucnPZeH/xwcHzUPbngDYVi7bo+VTFHcxM3c32DMpMWxdlnlmc/N7IMhBw7nszSIW2g/bEf2Lo3Dyuk9xxYRTjChKqMIyjeSKPs2yCc6AuzeFSSW8fYOYwIsvEMoFbCXMvswToh1tmQ92OUqrHP3uMXn5HdfYOGC9NZDBOxxmWtTy+38EwHlVIprzdAVHTnsCKrYcnfWRkVvC8xasAmxkMvLCmjiqq7WuOV3i2XhEbYDUTNZibF9EVe29I1qUHeZ1YPqTO+QeCXgXrMJZ7c+ALxW895lhOZBZIZTDYitWa2fdIvIQDmKTNzYIsgrmQoNs2BqhZN1EB0UF/vwhw8FQYjcyarPZiMRtJDhmLYLB8kvCT3uCsl72Q9rnzwf8BdqZxDriO8ZlIL3ykVVn2ZtgxkZKzxddr8k1nauGyRh4t23lOZkVRyhq3NzuaulzOUaG15eMXRBw8OLVp9wqtOCPc9G4OF1t4+LJAoke0FlEmXW2SJZCHmM8GcNImnKBibKvjpevIYlS2hAK45S6Uq4utk1yAYvBndnNLLmIg+wvnLxOF8s2CZ4ewMK/D5ABpbFok2i7+hi7/TIVN+YzfYX7n4hRFVRGDpcCJvimWtVi2TWV5SqA3vzqR5sLr0OPnZbxsDfsk8O/HVrS9pArOiaFXnNaXjv5CLXLE2T12aeOXa1JeUdOWR4hLaIvRblkSbgNI6RQ2aLsYN36x0D1U27ns2tRXoS3bXCjOjXWIyJasOx3U5Hg0c/Z4/DrXibCzvyQbHeSUlQootMRUUUBPisklg1xRnaPWOz+OTmzzLQz7aRsVHa1V9tFalWfHEIyztFOFM4mlG4kgGweB9cmX6MBlE4CMtCIBzFQR5bPs+o+CNZtpdF6cJYAvwhMEaH08cDo5jII3kc+yPqtN2ChA+r8bz28AfPvlwDqbP+G/8uZw5kW3GeX3Wi6RTB1qywq1RpXq6mMxAjXB6Erxqvwk2jncNyCMaXtLZB6bTpPsGP01moyEqldl/IyfxaDyYMN5VHhzun0XYDiQCNwKUETkERY5Lz/h3rAPI8gdcyZmde773cTIj26z7cYr03HPGyIKjFDJkY4tXBAhsmt3kaEGoVp3yrAJKi6/C5IiT4h5B78dPaTX/9pJvjiThUkGoq1OSjVGCwgzxWFsxHZwTWZUFcWcNwt04nXNyNZgn/aoHqYYCgxUqmua6jJ3/4s+gP+aKT5bZ6LgAZUi5AballNaJI/xR8BPZq+rThlGAayGdVZdS7WD7TqsySu6MdTmll+k41bhdn4sqBYN08F5oPZBX1dtp06OQaDP2Lg1Bqyudp2XcGeEQpZsVSgMsqsuaqXpBxNqWamq2Caw5smL4JOyZRVI7QGIFooi1AtTCSEvaUmwoHbmZ0GJqC78UxlPGGdTAW6EqDMykpPlyy+lDzjqzZ2UfhcBiQAOTGpErQZvrAcmSZ8AJr7Hglu4TpzIspCFbCmYJPVNXEvcPzaeXtJf5cQImsyZ6lHFQBMiQvqG7gs/FOlqCpkCShrDibZYLVQYTWSn6hPafFTYhJ37oReYiGQMtF9B6ua/nkDpFW3ZGe0LxnKFNg3c0TzmOqOaGKU8sqI0x/MWJt5Z63BaUUS5CwEc8CS6UHSAFZUfFym8t+v1WCgH/AWRZPpXX477eQqh4z1FpoWVcepgJ87R2FoxYgmZO49HABZcgQPqbzSvVRUJUJp40YCWkYELj9I4K3C67l2wN3o+BwWMxn+zixhx1QXW3Tf/mpEcYqPVaIY1N5lPonCciZB7yj8oHJAw0aZDJF+mw+zHojgWYgPyabDwkr6+1sbv+cWdz+6uhKm58CZ/6lyZZOE8tgpHaOJ71jyfY6FuSW5L3K9BRLNdDFiZLpcfH5PXFveOfr4X9XzpspYqjetCasqSHVFlkcFvcmWCV2nji67THKvslWl06HX7Dbtcb/6CcABmdD0s5exUTnGEG2RztBM4yeZyhuNQsXGIMMtwHp5SUfsoTE2skGttwL3jQMrzHKFSz0d3Ci8gXLcCSqkbjUd0zXqqC50EBOaSm8GLCke/xnQ7HukvOt4iD35K6bzQ4Y5Cb8LTdR8ttK7GqLGcgicv1XGkG7EFvCkRE5eMgGOe3zBp/YaeJdhNKPnKFPFMJJ0uUvRwU4RnuK4UgmWj1SMJWJhfr8u/p13vL7PN+CtIXt+xo8PsM3PWd1u7lRtrerneCnqejYrLyYl7tWOb5iqdJ4g101H2QCcneN8wUvuD5cUfAXsAGDJmaKDlFxoh86Cy9bWgggvmB0+BFdzUY+UYVjLy9WSGIK/vHRWI4Fa59zZx0TFqNF3GuxkB7rR0G88wQluSKYmLyxong+Nz5IRG2EYS2Q3SrOhli8KW2FnExNpPwAE9caZh+HlP3h6Qybf8jwiX54oZM+DuMPTf5wPlkWriyB1EwADaaJoRBi56Kfgp8ThB/VN23C3OtST3ZHTDx6ykj4V/yo09hDlVgJxE9AT4PLB8hJT+vuCz6QGtA2yFgdnmbWI5sPeChA0SzwFne4Ndtc4+VeH1YY2TDbrX7zZEC496wEY/m1n/Taj92WLyyA76L7sJsvqRcUEyIudjOsIHPu/uHPwcXp0Hvh6MzkTeyroT006TKM2Q8LTmLhbwXI/rkTff86MVR9zBYx28TxiVyvZqiGuazLOENrFFxXl7W9cHr3llv7aJLqk8BvkRc6QQRQ3J7s9neatH/gvCNymsoB9725tZPzXbxY7pZsLO92Wpve59D9PkXP+6zCLw+ozFb4UfhA0rwPOljT9BcAHVI0wKmNUBV9u88VCYtDgFICz9Hv8QMG78je0zz4i/CsWw26P2VjzMugAcgK5tanUA0tKLUlJfFn++Vfy/MrxJWX42S8UAjdELTyiLGM3urMEyjjGbIkCIXYW0E2WQCA+Jq4h2FKDeZTic5Rz0B8Km35/oXtgKcgPHucv7I5lbzF/dHVrsGvn9RdVI2nuSk/LYQtFX4pYKxpJ5423fKKmeDVU6ttNsLWxz719vaLJZG2upG3ZX0UA0/WKpYVBVsnLcLgkpW5wuaC47/fqe3Vyf6mX2aZkpcRcQkTw2n2U/Gb+b2HJVauMbGAzsaa2MtIH/sg0VXDGeT6VQM5FbkVSvYIOEHf0RyPAyUhZIe4r9iZKLmyu1YOLo+wxhr9dPd/k7CHDPF01CUHaoYsWlyZ189e/YsQGWcsFVKv4s5z2TUsb7gmj8nLClPs77aFetr/RHWF5kzU0X/qDMUuVE72pamKG+iKiFM9M7HR2+68klCtkVCe58Xj5mpfAZqR4Fa6EvVOKc9FoUuhvYmrAObWRqBe+EKngwziTzKRvNfZpmZFttvC1bYSjzGV6ilgnFW7B3BFyD6IvOFjM7Ecila5lNUS5oDsItuGVrhQ/Hm1cnPlxt1HJY1IzUL4ow7QWbh46oDpfDu8Oi8e3BB9kL3sPv3KOhd7L+iTw+4vJW/J0f4h2Ns+rJJ54K8bt3N8oJFyhG0RmYRUemkHKyJqQwYJzcm6muPLU5DuDR+7iL1XgWpo0Tiyw9TBGY1z4j674lCI3ggkDARIXWkfxTNGhBHGWNHQnJuyMy/42NXcXLJY4slm4XKQiusniXJEIh9QOoGU40U2hUA6QEyCLzZpwi0FOxKKw1BH2lHJwg4yW3TDiaWXwcbicOYw38kyEYbvlS/ubmfzm8NuZqM3sZ+BJcDhmRFdjmwRDNzOQMaZjY36MrTScbpxxLWj1kuA/fDfv/kiifNNnhpgSyezuoAryEGBSaeX42jq4k4ksN0OpowBtUL1Phqow1TL1YFmfYf5qT2oByf9Qxn7HLraHK/y0aL09s/OXx++vcC541hpbZ+hMSJRap8OIeiPDBYSMWg/SG7uv6Fe3gqaux+q1beTgqmbbVyR6Rn+abH9hCvkZZVGApUGZdAFpWqsL+4qyhvcsQXs4IKd0j62t3FVoHTLSStPERG8QUZQLUBx8DAeu1a1qTSQlDRN9Kpw1GwwpmTfoTV0k+vBYjldyP4FzaCD5TnVxqzpB1shkZgv5Y/6GsXDZzyCBqRtyGLgEY/jVjCYmSDlpUpHw1avaIHq1gk6ux8T0oMH0A92fzCciPDmDvG2JDxsW0p35B7K3cQw0CL+YNXCbcgL2ZWH03GY6m3FERIDV6QltP4Zm7O2obp3ZbmZkXWYtwF713CPcRNeQagaOnRbLTrS58LUg5/wpVadAG/sl+nkUvE9lprkHN6Csdr8XaYvXGDrPGY1DnHUb0XdDewDcYq7zRuHbIpcvVo3+Hj58GEVMKHZLRILZSbzU3s0VtqxbvhxdAENK+SBz3SsDYSDUecItSJIw9XC82XOCTs4fQ9Oy89GP1CBp8gastGB+h/XcbBQVJz1driqiPRuqq55U6nB86dew6bz/A1BoPdtN0fXJJR7s5bHL+8fqrdVA2aQTEANtMbkCXBdT+0WHu0cfm1YwDdDiW1eTXRUhS+sYBQo5JKj+W/nM3S/QVN3Cz7Z1q7TvJz22tcf5pHslXxSDbv9Uh4u75KpkA9ZIbUUZYA/IstPtILd47OwVU5cGGTNHhL5YS6F7bYyRbnZK5CiuXcGpOgYdGQsBI1P+BrmGEWPAz6ML6hD7UqeOCXRekukRXXFisuBWF8zHnSj2yplX1rv/SOhNK22IBbiV13MUq752cIIbw52g8OTg+72oPselQ0lwi69aqvUard4rvlOiyYcvygKDAGI45frsFiqBHar/Tu99QCmWIbCejeqcO+GCcfyNnFDo6BqK/LaBCgx4xSahdTVxaTwfrFrqpPk1nmVIbswGLn4ixxIxi7A5BrJqtGwxEOnNLSr24wr+RjXb8byyMLMbOrzDK6PtUiPC+NlxWr9Do2Gxy5qh95XXxwzdisKPMnYwaYSOYU1EzxTxJdxjpJJxdnqStrpSTbvFgSfuD1sNVU0NKCU/wRLlUJNA9hS4YO4qDjgvOec98W4wc4z1/LZHCkzx5idHpNIxBb+AvFec3+u98kPjx9pfjHdqd5nIfFpVVNgpVVWLnMK3EHvLjDCbRsbaacdKNlVqwgoOJGQdWLXootN/2t8J2qOndJ6kmRCPR30/UXNV2dZCgRtOwLTReLLWAEpbNMT/tVeCZF9IL3WDKGisWW/VZCZ7JZ52x7CqDvUCE6eACN0AJ+lrb5eGL3n976UTeTDKhsBFSNaUOf8lrTUbRipOvxKGVARWb1dpdXnhCccj4eTaRsPaoq904DiSmI+Z0DPLcWmoNQ5hwNiY2w/hmWUzPd3tjZ2WCqcndUV/Y7zVGOiR2zlo2TWxTv6qrx0YFeDzkURD3TYLHxp8CWHJu4SnF303Pi+STmGzzRWKoweW9uPSZ5fqj6N/c7CXlcH2jD9Bcjjkz61Oqc1pKKJqF3GhrSKTHKHYHcLQKbV0UOYT+6x9LxuMy5G2M1JhubA6RMPXOMZDH4mXk/JX0vAmvMf0mnQEzPDl9wzWjIf9awZ+uhHWbwn2fHR0f4nv4GJgEmNZVWYL/u/btSvXtUoKtUaw531VeDg2Lv4saN5mR7NhZeTGN9D5pjlUeUUX4qiyfVR3BwJYtvgnrD9FIKuV3FjBc37HvVMBXZwQGHZ7DkLDGP7EMkMyQLs4b14O6lynqYC2RJ+JLikihcr3u3CUukudMHmgGm/sjJX5/qHUO5Ve0/0/4soc+WSawaTAghGGvc6W1YZsjGF8brIYTMvTcthBAlbsiPBGKQtz9sUBHM74Js0Ag8E9kEE6VBJRna6ou54PNNdO1thQQ+9jhMcvJcB0C8HNCAb2Aq9NOvS6ZZ2cZlA2xpkNqwWtAPzZRZmcu0rs3XWqpdkZOPtY5EVYNs0cVUumAjYbPmQIXZaEVmhAPmckbrHftE+XzlntWDstD9oukAJ12mUf0LGWW2pQilU7+baA8UD58lM05Ce7C8oMcVDcjBEMsB119cwZzDfu6Uj76a1f5F3W80MXZhvaiIfJVW0mBBzZ059ciyW1plPAH1l57AssM9dF05gT0YT3fU+dEmd6Z+VzwqO063yKlwdvJSNDH9WZuBUonGKD5lYWAwIOQyqwATRSuXMXXPjteDsMtv2x3NaRXXlE3MqF6k8ejrkP+vxhU9N8lHvo+kVCrzYMkRnLbz66zMteTVH5y+enV6sn7IGMY3NzQR9NdaPidnUx97vP+8e/zucP9i/93pyfHPQSizgrokYHXbiCZexhSQ29IKKx7FUZpKhxpd3AleHr0wT40CTw6iwJu2KCjIQ8TTtoeHdPg3+Bo/iIK/nr3kwOU9mavvMEp9meyGFaksdChhUcUhkyIsY7PVlh6WUUkGIhVcXbx6qXx8a+mW33xwy28GNewt0E/aLS6M7brLt5+yy8+3On50+MENUDBEkvslJ3pYbGSdS3YBz2Nhp0COxA55yJ6pFdRKJOw4VrtUhUqXa5lULd+GdhfaDUhnJt/qVjpprY3P2OHY0uYHujNIsmzc3IJzOuvHTuiybWfjaAVZ2l4qS1sPytLWQ83c2xVljvSGzKWrUiqoEqhStHH7If3Gah9AFqyjutozFp4FFZGKgpIAPVpPBP8F+fl/97Djn326rlkuFaKB6L6FW5V+XbgzKScrfYbqFyY1nW5rYoMxOTNQCu71+sobtMZbuijbPOyyFHpHwmNETjnfNGWk+RkmGgI2fDIsHcPAnDBQ5yTj7MaKMBWOheKNcjRaKiSAr3FjQ9ir4b9We+Nzqv43di9b6SWHMEyey8r3t8DnMFazvh9p2WSUW84ssYFeyHTTH7oktTqphOd2CkgkVEkOBYRDO3XJXp3PDK0XfXqTccdo8Ka13uQ2t2Hj7Rjt3ByzrG1uDbeG/Z1Nb9NyfdzbxXqTTgIUfw0d3BD67YBCwmHiWMsolsZI2ktiJDuVGMn2vTGSxZxkKQ/+GPww4T6Iu5wr3K7l75p5HeCaYLYYSdUzoldDVCINtR5Cioi0gEhBS0lwr4NswB3Iy6rcHoiLVMZVCIzItzgeewNmOeRFeDma9Ek9msE7wqShMDPdkgiiWWZ9O261YoGkQELQwI5LD74+0cLcI+nk+smLL2dxyGbiQroCOFNgbKi+l/BR6FUHboJz1AVqh4rqaOdKSXuLTLMMwZTS0aSzhUNmA6vuauBk2Qvyj0WWaDK2TROpwiHp8j7Q8YB6NCmUGSbmxS2IHmdS5QAxBwUdLZyMY83UBTslTplbRfp09XNa7WByWEP3GFcPxyEDvxIuy1fU2wEd19TaDdMpcu4okC3Fak4toHEFBJ05nHFjpJ7EcSpyeGkuhHzIidf/6glKDhN0jKQ+rdPAX/RhphgfWHiBVsawkYu3fg7y8CjKuLa7gs/hn8mfp6k9TNj0uJ5lzCFHrsgHD71MRkO+Hx8ZqLm8ox/VtZHLlf9JuyE3lOgq+nVdocWhj4do9aJrhwnZBc/vpHAp0WiBiE9wOTIuGZYpj4KfzPJJhBvZMw+2BZOj8/qIfogvniITvVKOz3QtjiW0HZTzDCUiozsDIuIpHk6ieipTK7nSufHABdtMook2eYI1mifvQTZ4aElC9EYkeNmAhCll2wB5l3FsGAGwzZLhB+2c0DMKS2wugTYTZmJbvDLltdLbIzTn6X1kR3CAu906XeTX7ggs374R/p50+2WTbqAwceok94tcuJD3x327fDV3wPmMGkXlb4hAGD8JHBVaW6w3+Z7JKOhO9nyofy8drKKGzaOcrufgxdDUG/i6DVJrQjwVuQmcRA4XeoDwbW4Fl8jUJOGM16PC4714zywZjGOpgzecl9mczLhlvBe6w9eM/lzbYoBcLXRzo2aeX0x1YWr8Xf2H1tb3QQ/R5U7w06se6QE1ITuwjmOn6jpBy39NvKIJo+BYZSWB7mHvJUk1mvOL5yy2YXZcruFum9FUKu9GiGJw7uilSZA5imxNjzQIs4mAdcnGczr6PsMEb2+tt4eDnU3OIqq59q0z17yTjyV1Ie398+zyrmGrVkHTsFB4cJaMQmXW05KDuxXDd+c+w/cMEXE2MLvjYTy5jOnwJM0LjRCAyR3V6mrZLsaAI5fc8tyYfEKGpSYOFx66sLtXOQxzKjEMfVzkorzrSA9bAu38foN42Xh9k1gi/KUuW70UGxUvhsqYjvU/tYxcXloMOI60RHpeB+G+G17oHd7isRgI4VKjyCy5Itfo2nbmZvPIMLK6qis7zzqhVYv1xC/JVt/azpx0A4KjQDij/EXQeLFdClJ+JDTQhlovUpp136LdpwGN3tvUYnyZDECpQw4ePyLPwF01MLR2FZNV8vYk/9cIlo7vTLBd0s6KsjLR9UCly2Sm6lON2fj+PhDeTWN0LhQgnxfjZb28PnzSdJbGWnCg5bWrpMCfMRrhcmlAqYR4KGyuXi5GIy40pRv3RwyD5O8lw6R3pFFYP9HlNTSjCRxWkNmKhd1Vu1IEKxSAjeMPE7LRhnVvqaXanX43ttvPbFZ+MQDoyMzDdstp3blhToIHrBJpAybDyBNPzXFp4GtqaJZtlaTfdjOH2VZeeG2mt6a4Je0r1N8DY+qefhbbczYaPdhX8ZBZ/CmNFapfPq2dgmYT04UWGAQWNLOYLOvhlWSv3Wyu3tzR6UjvI1uNVfVrc8+qqpd2UgCihA3ysMd9lwhtaJY0NOFc2Tu2U75Q2pZfJ1OpzywqCo4NiVW+rLEPi/whw3s9hkQF1geJkul2EpTqgfT5/25v/7b7M5wO8Zox3IcSV3TvIAZ3b0AXdoLum+75z6prtbDyEg3TQI9xpzrpmeySrXrX6+OXHz1Rg3KIdwBArqO5R+PAIY2xvw+1zHJVl4Z9x71CoXeZ2m8KfgrVG/RUYRI1zKkyD8t/GjY83ru56waEh5TdaGzBoNjyCUqKr8KQrRpNap5pxDH3QisgvDs6tU0aq0c72DsCrW7WiFMBI618CBgqAMNw6ZK9nHc33RsS0d/TOm9jcspJoAEDjSZ+htm+sTFstwatlMx2zz50grm8ceJbsQy+1bWq+RPxIbcn6dMq+raaZaO93bzPaGdOLGsTm85EFPaAsmqC5gY5JqRwE3BZCceopC0fVX1yXZDfoL1m0aczjusgF0oJICUBHu7hx+B1j85Lmof5hK8g8wCUcIMsNdexvWE/e6g3wjyo0BuhHxbt92steZKIrDWZEIu2/HTLA74k4IhTIcnGDGPWiFZrRbuvUPRzT5OCXu3Qn119q6lCmilkun1Jx3Or5zyaF+QEldCp2LyCYWNRcHhdch3k615sZvwuuBwlV+W6OjuNHayQ8iufnQdni3RGwnBOnmcUvDnitXuTza5Itx3lowTYVS9fBy8XyU0U7PeC/Rsyo7iTv5fcTJIoeHVG1t2MX38cvEoYkCZxP3z9im/3KmNahtPFfITOGP2WCUlF0bKupBEzlFnoSQ65l3cpG84LRlJRf8aZwaFfOAxZ/Zbm690if1ecCNFO1ois/Iq/a3gS2oF06vy87h1GQff1Oc3B8zOS433659EJ/XP/Nf2t9/KQU5o/0xcn9H/73UP6iYwWo9tcR9wad+bo75z1nq1c4fYAcW9aO01DsFHsCphNJg5cn9PFxkq6QZKz+CKGcM4YlR5RLKwsVU2utGO93YyBqq/li9GS4mNzbZ4ms8E1qgVJUfYnfYVnFc/LuFpKVENHX5rGUltO8xADAtiCZA3UUDA2rUUa/JXgfMzGKJvqB4oEshLSZ0sQNUz9n1mlyCuEkrYOg78rJpewE3pV0ezP0ZmXys8yp/2+YA2gnBM9JoX63YK9L2IsipstUBx7mmaQE5FkJm8sP5vkZ+ubu1AwG60tGqen9mu0Z4cLgZCVaBBrx54izLFFaQ3S6vmpNpXVkawVpS0PNEXGlPYUT0Ev3EqVcul8KJawFjLJ9qyWl2pt7wRlbYZ3IuUIG/w/f3oZiVSbng59Qf+lc62l4MIx5AJlhDBqZyYwgLBC5BRKZBRYDAWmeNBASlVjRs1NCatYZXUtuJt4/VgUDxKDGcKs0D4k9rpfP8M0fNNqt+jYoT/WyTrEv7ia4T5BqB7UQjtC/uuwvodb6T1WzPvTDMbW0wzGIzEFsd2ANTxj9WxFUOBree7K5dcWa7dibtqsvUz3Lqqpx/FiSipwaArVB9dfzggsD+1Rtt6yZgjf2pino1HuEJwdfoQ1Di8ZAf0H0hswVHBSMeI6Zw3ITxsaK5sNN8OIbCqJSSKRKU8Q9bTtpdyhz6QXZGQxkwZ8NNLbZcvuBcPI3AAQwFj4dNDfufMHWynmKiNlgEp1VcyKmCwQTrrljww8+/HRlpdTMXuoKgq4Kav347FEzUG4IXQfbN52P3K3I92dVMpDv/OttdWWVuH5XOGkOAoJgz9h3KPkDgc6uqbx5TsjXQ1zt4a9HHAF4t11Ub70SnqHeRBn2sEVfxdcLzjKkIMRhM+jQaoJJP0xfmt+KsDiKXIbs+TWuo/T5I6LW/OH57AHbJUOw67BE71azCxkRG4AdtlzY0l8r+3Fm82N4KJ7sn9y8e7gh/2Tk+7xu5PTi3f0yfPj7iHd9bmLrML4YcxN7h9OHPGyIoyygxIBPV1363u+OJlf84d/TT5wzUmSiyNjgh70oqAMQPZqzmuiaXIQseCcMLJpulhlnjSfzgaUOEZG5GeJemDkmeS3nOXU1IWzpWwd9NlRcMzxB7e9O9I3otQmdhH4yhlbODFJ/lQdfHPRGvtxU86+kXU7hOl+NL7kio7ZgvbmLDV0UnsGyYN9uAzlQeIAJQaIjJQhtzruj1LuBrcUWYXxHS5msL6FdoadgstM6mrxI4Hmu6R1Zm0SMQrsDY241z3fj4LLBY+nLnyTX6+NZ5VhXaUIb9jl5qXWDJWttoK9J2beUuUUcPpWjpV0uOc7Qbb/2UF02HqrRxnX5hQFb90TLe2Wtbjx55b5c8N240QOwMLUHfa0a7OnsZ6eHuH0Z1v/3Pm6Fvx5ysG8J9vwm79uH895u6Mt8UyL6cGGAYvWaI3YNyw+yXKuR0sOsULACwnBpccGPfJcKj5gTTD+jn8EiIY0B4Ggc8jZ8k/vbCn2otW9EhCWUTZd6LCICtpZQ7hGKecG5oav/cTD5N6zxBb3vc+QArWmkKBRWNpWiKJDUsktoI61FHlVOssaWrgXu5wZu05HU5pizuK+2W2bXHhIRrbr4SbtjjpJxsbg9cjfs57n2pM3WUJXTE0FCcehQm5gF7R5snP/9poPe4FlT89Y1c/hDWnWSVSbYrbjgTgAOae/mGIQSyp2w54EHjGth+mA/Aiyrf5KZ1oL92aytexqhlAt3wN6kLdkzPTSo6C36GOFpqNkkLL/yg5hfp1Nkiy4MdeGeySmugCy3nnB1K2Fh8/j4Qw0tnpyZcLylrBYoczplLwoOoy4jkcrIM67vYu1q/Ozg7Xei4szOuHQD0TbQx4hzQ0GkzA8GeZyiwNIWUinaXhOYzMDMx+bENNPnEkCWRBvcFOsenB8dHbWPY+C0+67i/P9g78dcQPUxfN3r/ZPXu8fv+NivFfMUcy3eXN6dPju55O94PDiIDBJTC6AnwCeNjxGfZ9SKvTvyBPbYMhb+mMz4n+0+f83mXJO3yjEkSvhqMSw+/IxNwtqG7FgViHFTVPHpUh0ADcaWlZ4CERDNICSfOJQYbDljvUHWAWO4QbCqeoenHcverSnDs5/Prs4Oj1597fuzwU4wQ8ce+U0KZMg/Ha7rqxOtor3QQVae5SFD1W8Qs/ylGOr1OD25Ut2CTtd4StmCRK+ILtZ6k47dszKg6/5U5QhYLw/RWrod6fKNCcScXpGtzx6RxaqkQSWAL7ulxUtVlyPU7+kRiY3DAkykJwPCvJMffR9OpkB2WYytQyuEQf3KOVVepSGWtaVFZ33JfVcxOrLYOg6e588w5PD3rtT0k3HXfntu7/2Tk+YV8qpRdaH9ipG3VumHM1P6fslijJipu98MvoAcKWxru1h9w3qrg3LGntbixvSdjwfRTVYW6H/1vjPTfmjjT+gAsu+FO3Rz/J96JYl76cWPsal4e25X7AdzMiOmT87d4njpZZEyB41m1aWF0bzczKTA9qBhT4U1d6IrGh9aqxUYvZHHNGU6QcJji2Zgvwv0c5fqI9xtdbd7tB2T2bcosAuUiN4ORmrOpBY0FO08SodG7kNHC3fksX9GFUWqiRSUUkgouoGRnPfA1JsK35rqmtgk2AVVQmFJnK5TIkNySDniIQzkF1M0tjKS+G+w332y2JRJkNSp4PZ3XQOu50EZs5qjWOc+0cIl6A0EAGMidXy6CYVtU4W+n63F788eBUA2TwHM50ruYIZHb7hsyPHHUamrpy5cDlIgaz4Mp2ec/HX3WQBcPbZBAdPgjE5DGZSaThTwgj+iboS4knQPtakO60xO4pJ1kimWUxf2prQRo6di8/JgfrA/eNAZz47P31zdMgGnPzzeP/ixen5q3dk15HV9u7ocMUXcmZJUzKrTqskkNJ2gT5b/mpKHRuMEtP4mRyMhM/dlKs7wwZaczMEorg4fZkcmHbTnHwvAdIDz6HF5od+mZS7t4IaH1qQ6A8t9ed2W7SDNze1C6XPSrIefg6oZ3833UyH3CApAskEsSQUPT3OSCQX/T6TRq+0SsTrpO27F7z9Rqbu7Tfs3Lz9RrItb79pvB2fb33bCmrJZdrfbLVa36at7f7lLmc7C02aPfM46+MNJtM751q69ADpRRIZNUhoT3KTQ04eU3pOUpcWXBJfO6jR8YC+qWqLqDSAM9mx1lbq86wxw1tBoVRPxT+PvwvLyssp//5oMes/ppl16VrBOnUOPBOPGrJbu4y8Vvcs5UBx402u+knNsBKiejzb1v44WIyZGm0cuLAf203sVqeuNW5kLRIkT5YB3AqcFQoG5crX58euDzbkIxtHfGjBK4sJI6CYPhCQ5E0aY2gx51diumkMGG+JrRTqJZJZNadknNHKRVNu2MFYHxgBvHTSTjd8LKW5R7kjRdYMtoT6x7khJB7pXHppLzSFKGmJu1d9Ce/D7QRFi3hHlnHcKpduSbJ50vHc4zAD3t9CSohv6Ad3MLMnl0EXztCFeVClAcAJgS47n/c5aBb4TWIxzTCD6rffGoRLW8IXOWqrOzFXga2aoPcJiRrtQeV83WI+431tNElGkv6xTONlZY/r1UhgAaDqFV1ofNgTO39pSxk2FAbI5HExKY+jiqDvMvimCi0sS3kYLZMh2a48Bi48IhFYcm+t0J4YTsspGkVy0hRkC5TL6zHVWAWc3eJMCeu0aanU17dbkvmwlSwHRJiGBGqM/ja8TflIHC+YkoykyTMrck3wqKneT5ieKvXEnIRsQuuqB7M2/oi0gRdCWQLJhn3/EObYl+JEflg9PJy/0AD2OPmQXSWSsOGn8N8avFQI/dHrh9WldTGu6xYuqQhNg2kv0I4NykKunjKdbqWtKTIaKVMhtIcRlIfUx+/l8V+juEh1iJUdgyHGGMquauxOElrYE53gMecXi9DKU8bHFzFqB11X11qsANp2o03ZfWDaTtPbwydAWSRZhyS2vyNcrpFDr1qb/HzOzJVOcgN0kkkNMXmmF0o8niDralGML+2/HEf23Kk2w8llZ4Dx/EDoLLzejPZH4/gMI3sz3dho77YZOf91xeD5k2KkjNHx1KtMJCfsuW09G2Rz7Mdnb7/5ExnYAw4IxBI/tFPNnozs7hnQkkgXGyKqpxX+bJRNuea9QPno12JPpYNTexyPFyj0VZiYbGgpGtrNZmDLhCQI4I1/k759nnAzAbLk6C26SUbsgsMpYCYk1PukebFxhwvRF2OOXQGrnY+HooX3kzleRa0oTCI6DSKblH/ZdbTZivWY9AdS/y1Fmjill1zWwp5Y8sWu+V/VwDrVuWEMmP6Ai/zsvJFDI3e0P6ev5auoYJTVqw2V0Nl5eqU0QYlt8kr00BWL4R+COJoISdTQzkHMi2ANKsW39/E9uOX0JmXFFtseKe68QGpKmgpZeQB/YR/rfZMmYJIiOR6kEuAg7yyZwh9xhRfCXsxL3E/5YSaqNizZU8tXqSBh0kvBzszRyUX3/GT/+F33/Pz0XFEZJjR+mDy3qKAFhahpLoRE2W4xTuai0hgsqqS9QS5NPgq3UNOQyECccpDLFHfAPhykwcZlOmz1d7Y0f8lIIGZL0IIz7w+aaTnAwkAkHemmkVcAzgpNGS3Eptw3FFFxyq8R9CZa4s2mqch9LsaQ9P7hB2TUTFMO3Rm3IPF2E9pavo6RtHRLlSFZJcDRnwzvvOab25QbeeQw5ZLVNHnvWDOABUKKWOB52FKkfyNfTX/aCALvh1yBnhKZ8lGimK9muSAWw3ROJx/q6lSvMJW9wuVdZmNz2mhRr9AkD51j5/SP1C8ZP0z3kJdtMpuNK/yGqV+8e0U2dsyi5mupPfvG7PWoqf+7hfVlLawVWkUOZ9Esm0azQFQlgrR/zKHF7uG78+6Pr0Gip9JgNOdbBoVVhRnixieTMLhhaeynOAqvSN9wxIyl1mnI6jEXim5j4RKZ9DWKVNiqXkkMiX0nKB5QlVPJqBxWNafnh91zhINenL4+OSQdw2YRMuZqD+UpK39OZWgCgOwTnhRsWkEZ8pxk8uxQBCwGq3brQN3LVq/pJgrxT/QBs6XHiRPt1Ud3ITuD9KqjUWR7PswPodND9RrdxarK6Z3yz4Htv2xeXm4Pd7fIbHtF58VkuD+7WvClHC16leVIyXTtgt0khi2Wp6QqGJAcd3gqNZI5u2GvP81G23yajYZyRK05NEW+JHFatRcbdsD4bEK25p0B2DpnHTlLZ+Zjjk6ks8+0rbSTce3ih+fNZrMQKrNVkfKgJa12+2RsJAuGuJijNWAY+G+2rBJ7kZPlEPS53YaJpzJwQl6i/AkIe2xEa8YRQaKxlIsqsa/ywYp9vsAdFqaaNP04Z4t31RxyroU2KJwSCUcrQrrCEySV6SV79/X5seM64wPPlK1msyEqEbNKDfeZDl7YBWBTdIK/xy9Y1uJTrZo57HKX2d9jM1iWYvvleJKPaeNyaJq0Dq5hWkTyt2KkMfk0izmTljIE/ceYNNszshJZjcWz1FhqzCyOnETnXrEqvTTnx3iW4osZ2YlsTdlfwZxEt25f4HRsKMjumwmypuD8ZeODF9BaH7B7NKzXT23rmOoHCd8jvWZDUA9ZRA9waD7NHqpug/sI4Yv7gr2lxLWUYns9yphocCslG9n0nImYNGJtXXObGbS0dpJJkFWQKxCOxfqTofRnkeXvUDxca9X/vKYfQIfz9vHbbqDobPMb3dHY/sg7evTMytXpI9oVMf/wav9MZ2zcqfuiys7BfQQ/wAbrJ4y2i/gW7Ww40vaxJhCgtZFcIkJqsHdmSe+NduDBkJCwYV5yUzDl3ED/uxX2Za2wLqwEX6ELfGw2tqCYQW25qRY5WyeqGjr0UXG71QXRTZtaV6mrt99osDnOZ4Mg5I0S7gmVcczB6RwQvKQmx2lINtwS7RbIERBL8D3mxG2M3gL9hCQX7Tx8KgFu4qNS/XyK/tZTWzR1UZfDZPT0R+II3AqWgcAh/HDx6riAnMhRNnSZcRqTr3jDSQ+2k9RXYp1hsWCsar1N++YCsVBd6Rj2IG87P+8QK1umjVPrl2hSRORDRNFT2YxXfiVYLlAQKw+TzzAF19PtnXRrZ8ipV72blE417HQO6bX4bXx5wcx9WxEXlhb6+ImC8jTjsF02DuWTh8ibTEUWqepkAMy096mygJvSE5ypLF9aSsjMnNpX+S7DTgXhSUG9g0TLmoLsLjyOp8kWiFXpXbgchNwSKJQXGYyps1Mys7nMnQ7dnE5dPgFp3uYSFtY6ElJO2SBLGrTWaxO2I9fwjkXAYS57m7M3NrWArnL2nXuvoLvddfHcLTNW3YZWJwqPY0dPaKJxwreaa62NNYFI3uisNzvtrWD/1TJbVhZGSNI+AFIeGtN0qCQMKzxk05g3yUeDcg2SCQOxodxh2gGFVQXCIY+LQ3beWubBdUIizDceF1bafwxPg+lJVEJru79vkvy95dJk2Ba1xpBUIPcC84g8Ht+b1gak8Llhqyyz2gvyhUBbmGALQkSxv0i+nCm+yFs6dED1+w6v+fabzttv/vSnP6nKNpUq72Q23LfOrLDHkblfMqDtnJdv52hUcjF7vJGYs8Y+LRvih+ub2y8+3Ga77b/3x3/7x98PTravu5tn72/Ppj8O6WFtGiRtIwZ8o9UZ37HyuL2eoORqUtg3KMLCaTl3A3fpXJo2nvbcjkrS14UutCoLgdfCRrPcinY3t7UZ5oa1/WWiHXdOMDkSrMxPzHqcyaIJjIEg6fnmVKJI565BrygKCpksP4cU8Q0t+g+nUxQHg48oEYAkj7P8EYgQX8aaX6Wa7jfoRbewtDKYtol+K+KaxhwXFvVHd6MZZGoxy8doCB4kjJ8xV+yPxLA9+6TQr5Lx5B9hLs6RqQ7fAwWrdZDmBpI8x8LR/aWiHE7x3XKH6f9M5nfz17GIuRVNNqQcHGbzmhQlHiQaCoOTvnFUxsSmkuIPre31dlBrbQang7kUPtJHLbKT/9Da2l3HH1u7+GNzh67bkOuQ4i1rK9GaABbWqid9WkGFctzH07cS7fA0pugngQ6lp26vq161z3pGz+FtkUn95Q1UqBAkCYs7f+EOoVzyM2KNFbJeohIawTnf3pTJeF1WnCEW09RmtEv7Lq6GPy2pxkbzM6zKYXNzZ6u9wQFGNXj2pxmbO1Khyp0UvQAhT2803+rfj4asGAtnMseB2azXBXF+hR7yaypC2NRPTAhXmNO37sX7LZXjo/s79xHzmPUmuQ3Qk6DaT0rHtTHcuhLoWYz5WJMGZuwhrwaw3KzDjBl3Uy5+HAbVQr+yoVluG3DKXDqj42v5pogRURip0Y69i/1XZ7133GDwjv9yfnp8/Hz/4G/v0Dr2Yv8ItbKT26qR2DUWIp6pbEDGLGyuWWBY/mcL/1xuGWJQgrgHDW6aPB2zwxITuzx/I76BJeg0+Cda8QVbVgigy/2myzpNeQ00D7KMqNNMIxtwgkbmQyqa8Azpvn4yz7itlOcWsN2o8WM0xYBbFhThDNh/vEU22+2NdHjZjne3WoN4c9hvxbv0//R/7X4rTXa308FGp1xr0CFN96+33yAX8c5mBo3Wa28ML5PtJIkH7dZlvLnb3oz7/fYgbvX7/Wa739/eWd8gc1F/n9Nv/svejJOEuMlme3293Wy7697p5OBbKREf2BrEfirJXsX0YuNOqvCC7NIRq0qPOh8Q5mSQSji6huvyEd6WfLyyFdCrLeAtkYE6HeldGm9Ji/2bzVcyEzhYjrnVI3uoSWwyMUgzOliKzECQsOPfX4AhnD7gLR0h21+ZSg16m4VqPEEeRT7Qfm3ojkUVwGC1tFo0pn9M+l6hJHYUSiKsySimUnrzdWlJi/qkbBv2DKiewtVGeuY/SqmwRwCEXM/xumWw/99Ns1/cNKseB6jIgzEjWQnbak+6NPxVNzn3+UGFkiRJJonmiRUot9zFUKwAdmXl2gryBew13vLTLB2ktbzesB2oFmVA3TRNFdxMJ7NkltFWXIyRwE586GVaURJpv5BGFIt/jHDUKHKqnPfxEj0igENqf/L5EVqCe01bpxBg5eKbMgivVppxiyFarFZoukzg2+BYqWFiSNhrvPBDRUoT86/9Wbzwl2T5Xu5ukP1XskNmFYmiDZDbsr58cXND0/zP1McEUjJ4g/GAqjiPsfiJULEV8vet3fvsvXMtkdgfJ6O7eTbIOx48p2JntFq2kgJQ/oKPyESwWhUZWqNPHsz8R6T3SeMvZlOuSY5NXwNPTp/+fA9i5Fj3m1bJ3G/xVUbqG306vjgxX0IFHKdcVCERrMl7bI9b0axkGaHFh/TFbZq+z4u86gB6XNJYUZwLc8KZUKl09govOpaouR2vt8oWn3kN3vv5FI9UyCI3RbkLAEncJQ5+Qq1bRk9gEhfeIhnTVp3YriHBM4toE/2TPj9FnIabKSKjkHT2GRg5HS/IRmSI91T6XafcVTuMCij92s7hh3w01y5QuwGrrTtvNRPo4WQJWRhPMZ+SqtebuzQ1He+Vgqb3UvyP8mvxZ/xi/Ke8Gv3FlOSyO3wxmZNKaLUk/oJ/gZ2TAy8gg8rmjUByVFo4o6um8nANwCBnig/Ab2rFGkpFizD9rIfXLyEQQxopRBmbcFQic+sBBevjmfJLpx/o9dISoc8XFGD5ViP2/IhKjkWS6p5P7GMWIyo3GT9kLP0i4KqV7fhQjtxHWDXcJ6ZbpLhRZcH2bMdNOrNY6KWdF3ibNXwK7NM2YJ8iq1Hj9cfiQP1ucT1ocUH6aZ2VJXtGS6pmmFYuSxyYHpxxBgLV2QrGb/aOmlbaJOj0Gm0VVHJJ6a0+ym5pMRS4UxiEIeZm+n0MxiFGhci9gfqnjVV0jUCTt51P0spkqtQwbAkHohOYpRPQP0YHCug/6R96fwZR1sH+YXdjs7W7CaOtzxbFXHNZ5cE6Wxa61y7uesd7iNObe0ZlNoM1siDX8Kf5z+lZ/nJdVCz9g3FyzVmITha90PLUF8FEcaJ8jtG1u94fJusDMrqKSyuVnrq8CXBebmgxlTfWIM1qvt3Sf++Z6+aTBFCW9OvYyJ20afdHyfh9Q227bICmzNviu+6hlNLMAojJFtOnGWw7T2u+fe03XeZLmmBqaeOqEUjXULFfyFVX8EcJx+ZGMZ9jax/v/lnXYOoIKWPTRvlAz67f0/joxtwlI1vaiYsHgYAm6HJ+pdqZ6+P+f1KH7urpwD3vP+U+rl1OJsusRIapLPTGkqZ48npEQelBSyKH8BtQOpwx1J02c4c5YuO8La6gz8h7KohIpzBZthlUmjGzXNgCJeLjGnlNWTTsFNP6ZYwg9HFF2qlQ7rYtGYTcdiZQnp/VU7t3fz+tGm4IIM0rfcemh9bQ0Srx38re2aPSDNoEhES3ajrzgRzEwhZr0/ZeTWo8YpXotYDJnnO580rL3Zdp9AhqG+zMbag41h+05JZI61IT7jENsMu6XyNju4W97sXF0cnLXvD/VV4+lBih8jbDMYPcyEsU+2Pn1RZCsyi0Tp71t7n+60TUPt2q8u25zzUKf0uYcNkNQ6AJV2RhM2emK0La3J+sOot9sdCe0Ia84YzOGSb5dX/C6P618OVkopI8noCimlc2rN/XCms9Q2hOgSnIJzfK5aDq0dWUlNSUoVjym//dgCoqybWbW/1lY+JyfMam6Tb0CqxD81TW59FyVe4rcrJLNTvqDhE8p3x+1INMCX1QZHSTzn8ZbKuqF7HdwSLOlxyxtt3ZHWw4z2zLcwWVwlteo/Lp7TpfRt6gtWApSrwgm4GiAOeRjTWF3L1DDgkCPaZHkJHgdPVHOL7pWPgz/+67RgCyNS2mGUt91j8WN1OL9CYY9CpIhnjs5YS/OizI13P+gRD/5XuVBZamXJld6Uq1pmHu+i312utF3x6AIjV1gVYawtGwxJI8W2J5hKURhYZXLZfosySMcU9mWHiSz3AotZmIMaPWAeeB7d+WPno5gBP/lbz9x+rIcDPY2CS/EhfAJrw4L6wQWYCkAsrPvkYG6b4/dPcPjSuSjeP8mnOm5hZY+BsTT50HgECSXvHwT6E3CIi16c7lRpOn4ftUOH+bG/e5GJLrGE4GaJrKl7eGm5bkcWHPic9ZsNykBfYPJ8lJ+GgXAfKANr7Pcwwk4n+8/7x7HByeHrxmVNjeqoZufaOQHmu5LXUk/9L+v3+Lsllmi5tHqtddNTlrmvBEXkdnhR9VL5rUWIWoUKdjC1HDI0EsLCxB6PpU9wG835OGJZpwi4yjGahEufSW2uX+S2hEzVs6UyuYz40tJhOtDcyS/89TFHV2NKg3NNyAfIgtHXuDW9FVd4l+DS0ikJKfi6ID5h/tXxQWnB2+iNy/Gv+cjhgWbHoX/OfZMa48A2eBiLHpExtmOauV4VdJHlv5LRvNJy7wg8L88dyC1OE3e25qp8ksN8xxArCk0AACbiHCKjvB1ujI2fkoa9eohq8Q2vw/afpWjRcyeT3FBqopbDO74rrfYgNMWtrmHDWkrVjXCtLHbqjIedND3TORoPNZ4TGWgNskZqStdR6rdCe77o8983Ws3cnyL785ma0bVR9xC1C2+i97ke700Dd8SkMvnvyVc227+fRGWulg9tppJzepKPsiO5vpgc6LDdPV7mBUiJc6oqNSA3Q9MoGAkA2K2U0yQkKnVuyHVoTSHq8JW/I+XFbR2P2iECnnq69o+RAqc8XDQOmfqTpHdXf/Tv6y6m4Y1xqa+mqJajMhGy+4MXXtg5XHcZ0oJteKr/Sg0xDugWQRRBYLliG3bD0WhEUyhEUZEeoyycAZqdDadtNSkSiGoy7ns2eFDneXVrZCYasj8kLhj2YBWdCS3P5jc8lBzY4Df+9QAuTI/tdbVYioTMMgULWmpWz0M/qHX7xWAijBxXac0uVg1e0F6bp2s7O51dhqF2vm6LEQAPxAbSW6otFo/NtcdmCK6UpoBW+/+bfYFvzW/isJNEz1pXC34ks1Sy/1OOCG0psCqcB7J//fdvCV/U/DR53xLR0QMIBkpEAyKa43g0TIkk8Eh96D5sHkcUMhY+9eXRdwKHiPsGknfeRCqC6EbCoizldT4iJGfV+x/UymQnRM8HwymXuKxkNy+ddqMQhazQ5JwuYuptCujMiWrg79gJwcidDhMn95TgD+wgjxDKDKbfVBZaSyPuwK4SfVV5GJNz6JN+ssFWt21dZYQ5imfTOligzwIU1Gxm4SpXWZSnTBYHAZxJhsENuhisnL4NCuzsqdJx8Sn4KN9nRHutvMC8zSQTZ1vNiF79TFSfM105e/5mjKcwbYKO4ELfSSjbZEmv8daXC08BTLspjrXcsbrPf64KDb6y29bVEdtDvrm53NVmNjk3fxbwWTaAUgTPwdVMy/5E071aNadrxuUv8fLEedsLL1w3/vLUcUw5M23ZPkLPCfFC5Vqpu7u9vNVmiH8C+ohY7VYdEAA7GqM4SC/fdSfKKH0QT86LkYzNAIgiJnwCQ5BphxG7L0LqFO12yA/60h9AeZr35LQXSbz24Ej5L7VSaqEbqgJPdVi/dxUh9UpZ5DhlHxDPQfVLILSo/xzjB9kB5h5uz6l31OZOwwPpH0TAvtaUQjMsdA+KiDiH7Ax9C/fwX+Bru4oDGQuKZ28dvairyjrfkJzv/4liO51nZltLsZmY71/3PiwXzaZUdKjKcaGAzuE5dPFJH6Hi8C2V/x5DKeoUk885Ag2TG+sgVGnsnI8692HTeNmeg5g9p1rNdlxyulo4xwYp3Vf05Mx49xMi2El6lIFFHkmwQ1st82m1A0y/3NQtPz64uDoNZsd1rNumnWRn84hzdifnBwSXas11m32ZYMA/99a3WXnQnUPzJ+L1UVspnty2HSTDqNLa893QurN0KjGh7frpAlN++twOHVsVQP3wVHTDMg6/RDT4AFFVITDc8c5qMzOf2nq3tvrW8E0490RA/nNrNtfso18fAu2f0tEC2j/kzi4V6W5HKWICqYLymehm+XG/rswfvg26Aw9ppfZa44Cvz5q78drzPDgzE+0e0Z4XcCTDumhwe19d1m8JwO+jEX1Y8+DLmabAYY8dOT4FX7TbBxvIvbHo1lkiJhgzuYcLApuIjphjMgTRx6rM10PRIDc/e1mZuCM50vrq7YZuG+da5OqIQE6Fe6Djn5SoPrINRbhgIor69hZmNpfU3xGcC1RI/C2DgIGA7i6jzCsMSol0lsgPEeUO9rmh5QIcfA6xyQywXmjHbQcFIv5pUlsECyvdVq7raaQW2AqatL5Sx/SEtQ07AIbRYy5fK6qQfmwjcBYkmXBBCku38KjJC514elSK5hruJZE2EVTXE7Y6IuvK7/ngn5TbeBcMDnzLgMhCXumqE1DtYCAJuuSaQwYP23RrPFXa3vxxn/MZiRfx47kxVZhsGCMw2Xphh4lnGxYzq8clg10IoqJWCex3pbFeW14vPciNoMVeo4gU+jGqXqh8kcfoDpHAcyzRHGpx07NMbBNRmDQ+WCYijZOChMPVM9kfNDPiVXG0tVCleY0ybT9lag4yItHTm3X3DSXOIsG2P21G4xsu96/dmMIN1/xQpCav1IEDYbW+uN9SYd84dkiq+BUEUeevq3Pbs0Ck7H55WUjotWHGaDeW7bJBgLGKI+4eMFqc8zFSUVQ1C2YBqYSCfXj5vNhzzA10ef5/k5bVV2+V6lSQ7KUk3bHZ6+6vi7F6C/2RhIQyzVqoGfWdUi8MX+l5HbtsliPrnXX2q1gpqbPto7U3Ll+VtbIlZ/Qk5mu9WYjn/PyXytnMyqgxvNZFCQ7a2mntepoBZKU9QOfyhbuDad5Jnown4+GS3mqcbygQ5dVFIGFo01UycIdU99Kb2kh8L96ikSHT5PgI6wf3a2f949rmzz0uZWMrQc/ClFoH4gPFeRZm8LOhDNMk73PaDZ+AVKaitUnSiqUlL7TotKucjmpk78Pl16ewjEfikSoNMVYW7uQLQhvonw9rlOFKx8jXavWGu45/oG7V6xifgzNXIiYxbdmn3dbMm+vj9ntf4ZxmZNcDesDVbvBC8uzun0RgcpCuWV+YwuIdeFU0wLnL773V5dueMGi3w+ucmliygA4AIghkw/BV0aHF2c+EAfjNmqyPOasPCMpl/S6NwD/Se/zY/7YIkIzk38NLIfHdBaPMYWjXTWyFm75qnZbG212+1mywLZovXqkgvoGBi+l4xSPjq5hbA4y4xRMnfuUhhzxVZxroM4lg2ps4m/C60i/W4wSmYWyVz66Pa0XAEW8tnhC1Ip3IRMLuXReMBUxbRih/tn4IJnggnyQ2VtlJNBIqtBl066yc1dpATVPBy57Cx5HwU/pbCiIIJH3PI796gHeWrT7AMS0PSkPenMKxrrkVUHTNFH0x58JKXc4H82G+1g1HdobG8MtaYvKwcCnVacTsjqabd7FGw0Gxtb9HhdASvnMpWWrBNectXgX7VFg6Nu5GaBxjzqR7oI6VCBkl73DskN33PUBahvjLw6zA9ycvguwk+8LYD9bV6F22M5bqrYh3w4ueCM2Vdqvhb3oWpBJpqXmh80V7LkKI4jHXjOZcG1Rv7ohb3pi9R9WABHzgwMMBuTWyUalvnNBQKiUOfK6sB0VLDomwSV7fKWFvWc07Mlr+JA3+ePZDZw79NkkQdXkwmzZJwB1aVhq2jxynT2tfh+fIDEuj6W3cJXMh0Y8iwzXfs+9Do8nwfZXPYRd9MrofLQAAhJdQT4TLtHDgpj5i4cp+jLdEtiIW4MR42rzB8XybZ4bRuuM00KGLne0xVR4LbmZ5lp2NJWL1/gTbOXY7oxytKk68JjGEHfBi+6h92/y/zloruHEv5nlClu7JXh2HqiRviATa7bVD3vexoI1lk81ju0mdbcXmIxOTrTD1rN95xR/Fj/DEO+kKky0+DyYRzcW+doJSst8pk7ISNp0MGGB3QlbfJfJm9iltOG8+jyX1zM+PTXB3f+he86l2Rzpf/+914h1ei1Cl/OZ+6RhoNVjhTa+kr3wt6Wfx2pzHf0wHcbzXcbW6EHJyYhY5KKzeA6GYq9hnuxuLD4OltdBR/AY0CJ0+p4vo3MlPYfAm7Ow7DjLn62bD9Y6cmFKPteN6nZvsfpWS803W6vf5Wm29+bMu7JJ7nz9Md9el5rMz7f8u2vx9lc91op5VNZjTA2vaKSlTBKL1FLvsraih5taklgyKqUhzYkl1ik+dF8vKfbS49r8kEePPIwll/31KupqgxYU9bl3c242XSnYWVT7aFF0a/5MjamC7eogL07MnRE5YNQKnxvFbxPqYxWHnRLzjn1Qmqfcc7Vv1IPSnlX/Ia3hJwjj90WnarJriSFk2nuE4YZW3DAUmWDttJGTcKteLFF2TFt98UXqMH59iXk0lq5dSPtPHZ9ujluQCElTSjmeFS8VMXxENhqNZBpE3yCJHKbakH+GGhptQCGdduFbAc9+RhczTjXOFmQ2de74fm6SqYScqruQbEeryxBrVqnchoX5o3vPNaycf9pOMhn7z3gElkVC1PCxLjZFcnbF+mpKQ5KZ87wx/OY6FOIczyfxLKqpo3GGQ7Sam9v86wsyE/qsDlJb3u6kuitsUTtxaF6ksUC97rHv2/trgcH+1YS8ie12GxvPC2sY0ZpDoXEHAUsVAbZi5YN5dkG0mKukFuar66FP1xcnAXt5gZHyxjhS//dDF52T7rnRwcNrSvW8rfhZMF+CZLadONBihYjekVyPW4zoc0QQ3Gcjr5ePrGqIm2g5kmakguHhXxEtlbEHaYS4wBBCacg74lPeOHKgu0ra5Jr0IXWxLOcMC3aExrZa/4os2uSEcW1Xs6LJE/0doVQwtgRFcbCZZ6mdI9Xn0SYF70maNoG+N29iG+le3wcyygoC8B3Uifpu//DTNDvLN+hvKjRfGIbcdaynyryEusi01Xa2vK7StH3wuqJJBm0iT3QTSiAZF1o1SDRHmdfjpi3wbBDOJjEgS4oUMnYBld6iSW5z5kzdsxOcBFg47sF5quOGiOYepx5Cl0aB3b/XVwXJGSwmM0EP2MxTj7Q1QJrxH5Rimi2aW5COCWfjBSljAynBXluP3EVx2Q0uWLEKynxZZQxetEP6TjjlbHIfDLjaJtg5P2AmX9nKPNoOIZpeUMWnz6dWwn4KgUVK3zKS7KSaQSnfDhpWsKJq+PmGSHzKA0gHMRfoZOUj1xWlqdspAZzrgaykP/IS9g2gT5ZbO/doevRSgkWDM/znkNe8JiGaXbEGPgC7V8VTVGcNYe2oHPI3+RwxL9CaAQnxX8vyFptmFKrn7pHL3+4eHd6cvyzzKd87dc4fVFJZ0HxG9mkP6340AQ5B+6+yU07J5+1LhNx39YM2RcYwS3XJA3b4QKjSAdkrC9+nfQzy2TSbq6LuvFLW5WKQ9UQy00dgRPBi7RCbRhRnBYTPx7X5fcENTaKQY2NeL38wcbvUY5fIcqBMxK2nXqpK059uwlYi9QKu8rbVNHX2FDaQ9ZfjMjG0eznSsvDufM40elu922nlYP0j3458lNg0wovlBy/sUe1TOI/o6HT0WOAL85mMqxhylgGdCFPrQyeCSwE/cbrXyXr1sRqv/w0fv0TuMe+HB+Pt5OCFUZXcgfNunSn0d82vlL04vaxwi4LWvOiZFpI+WtvAsSd1cowYm6lPPb3yFcWeWNtLRX58Bd44EnRPNYes5VOXmOlNNaaO532Jm7Q3O00URrsIlfiO4q8vJS6Dxlnfc/ryvTvh8cOtdGVVqXG2dXWxnpjp/1lwDwwxfEf48IUG6ZX1iH/bcTQFATDwQA3AYNUZDckUkhmumEDWoXLP54UcHDpsx8XwDhkuiXfrjazj2kUef/4MeDSbpHKwqZ5WsihSiO8VQo58Edxt9kuMsYJmyIj9wOlWrCVc9owo+SOHcjFeJqNDfDAbSzkUHmZ3oOdKHrOQisFY4WeFSGlQykbFWByzXldDCu8Zr5oi8kM95Xr42y1lVVXFgcajzQUTNYF9+kI9PV85jn5SOXVDrxGa7iepkAzojceCwZLsdjUxQt0siIphvEnLPLx</t>
        </is>
      </c>
    </row>
    <row r="7">
      <c r="A7" t="inlineStr">
        <is>
          <t>SHK0ox1zIaoBdpDHyDP1AcizXUoV1kwckHNMkIf1hJoqus2KaodDzf4r1LgMZU9bknOTvOG7eCy1BRxqb8lNntkyus4nfomL51qbogM6DEeLYbpKTMyEasW7TGjNorKtt4ETZIXJnyIJgyqdQhk7UOxXf+joeSg+O0O9BXw/7sYkyVSAfP0eM9qRk0SfbAAQcrJKaI0+Bq32zrYg3juBhJS6Uj/pC6lz70deLVI2E9YzwQszNK+wOdxnIFb1hZXm2gA+yw/OaBp55Nw2M5t32Asg2aE//23Fy6z4XCD7RY5M3YY4YAs1r2hRxFKp4SahzltId/XeiqT9LuIp2Njcdkskyz6Co+S2N7QyP/CXrv0tb+ayd4zLezR12DvDD0zaOYx5s8SYmI7+rvNh3XhBnhR1Vk63zvae/kjUWKd8gZtJbWb3pDyohbIZnt+ZPXs9GU9QrozYNzdxZWCGmOrjmSabUzJhXegDwM2XmJokiT4UNgHAWHOvcIhlkzbrYmYEYWnbZwk0UQa9Ydt36AWeUra8+bsr+xXLllcc3mwSC1nk/Yq5wLupv5Xf8Ux6Au3KmM3BqQjIoihUW240t0yghQthnb6MbEIo0Rd9qEC2/UizprVdMGtsPeNa8Hw2eY9gdcLEpTVjEZjxkzUXHmb5gLHeEAsfzkiYNK1B6/49uEQEuMsaIKqdGb8lAXi2Mpyz6RmRQhxl71Ov/44Lj3s8S2uBkFDIYPIH2HNHDhkADKHL7RUmhcTx7qyTytvbPirJUm/E52130SFemNbLfsJArfyTM2PFoN5wYHl1h9kNk87y4XEFZVGvWiSFbM+ezmrmP+GewdQKlZb1Zd1YQ10zlGvwUbXIPUwiRtejuTernuSulYgsrVe0lTIknETwBTOJt2HI1XXKEwIkYwmsfu8cOkV5SYcZ7RZ3eeFjuhx7BD0zxZVXcEVzGi/JRzjZYrHxBMvifEhE9AGh5b+f/o2ee8CH36gRHGnAXKZCGFkYeV+Ob2nykTwSFIJP1U5fklr9p4L+CE49DpAwt4YKs+sYW4AdVho4GByAeyct9NyzkIyVLymf342kaeEW7BqB3TPiQuoWEdPp4HrGyEzSCKH41CyM4ZRxO8ZzGSrMG/hRA2ZAxVk2HGaaKdQbhpEeFpIsYOGGTrOyLHKeO9Tz4cTBPi4jtzZI6EUBVMXA68a2md233wWHKeclWe3gL7Za4cf91gZthdrrs179e0skFWK2aFzcuRcGtUECoP9sXHQO7MrJcu/ZwhyefmUV8AePpGjwQjikeXA6GPsS3viTXIH8zIjBKigG4ttvvF385+y7EzqU/ryWfff2m+8tVL4yVdL2u0mQVFZELy0gApyWXqLZQsNB82DB6i9tSB7oQPz57uhh1tC9WXtgK9YR40Gd5CBFQyQLHUPrlGTu3nLJ9U0/VaEcwZ+IumFpBXrN9uY3v2NwfNFswqXhqXAgzKzINSIiB85K88TGJstmikBWMzeQwVil081JHoTue63x+htjH/NJJJ22ek3d9GzpzmYyB18LdHw1MEsyowjceWTOonvUAKpCfwE1sEzv1RtVHWy0a5Gbb5bGCMyn5KuBSkmwe3/ct7HWxORONG7KXymcm+lHGyirtncw/gogIBytLcDfa/CbsxiQvAhFO1L+2Vit510/Y9FMNWsrVTNSvhc64xmHC8sUrtqTXOgSeUCu/wusuxZ+GCPDSCAfahBRqanV5wNA9bB73L3o2tS4vEeM98jXdjUvLm75sl1YMioB2muZ3WBS0iucb91vCVQOexueIbnyjvut822D/r5svxV9i6UGA9/hlzMYeJJA1iPDz/BmWrUzykySXIVMZOwMRu3TaH2Au8189MlshLYimN5iYXbsKq3pGukyGFFgE30qpSKtdtJvbfR3zI1s7D5tbfcvd7norBDFr4x7mI5q9SC/TZQ4yj/lMQc0Gdnlnf2oBn8z+FYLvpnUW75B9x73iTKyOK3rindQCtynBfq3Hhvo314a6JeiX64xlO6vfnqlcSZxK57B3/W4CHAa9d6QRKW0OaZaTipkhfl1mjI8+uRqltyQ+LKKZA0LUGI+UxejhLQG/dr8IxtzdTstbP3xzq8pL9wfDvVzuLrQx0ZNOys0PjhutuRl1AcV3pFnLRIFz1g9DZ/Trh0Hfwx6HBB5+w2SL8O33wStZvM/gj+0greLZjPdxf/v0D820/Xh28VWe2c7lOA17quoDYNBOoVzMjJI589CvCKw9SfL3i3SF5MVKcCW84zNNQtqM4H5Sie79PKRjMytLN493LNHmN3O8OVQUwXNorwXt6QC87LPfZCOAI+YzOXGMsPPouDbCMySwV+CWqIun6nKk6JbZAelbVtQzaG3J2PT2BlbyJP+nebH4Lpp77skxZgddIITy6FkjlBU2f044Nqv46w/S08vLzndSs9/OZnwb3ssoD4QvRbv2BbHlHeB+IqVHkZTHejtBxLs8mS//eZByXKy9RjpevtN9LoXkVLviEf4p2j/4OLoTVf0Me4k5z1LSX43nicfNRYMGFp/Z84spDTY2TUMYvZiadx8Zu+L6OQLco3p6mc//HzWPT8+Ovlb7S08qJxcKEWtJy14A1hOxJzefqPI9YeHXcv5fmtsp/RjOlgoRgGCIqKwE3BaANSdNQ25N4Cmd3aJSEgj4HSqaURFShstJ9yq0E/Rne/NCsIHtxlQnmYz4IZZRjDapWPTP3dAp12Kko2EoaDYIMkXsw80oPsP9+9M38R14rn7qOS38UHvmOf5HFa0T+i9Hn3t1aDSupt0six/VPppJJu+UxFELolwQ/D0kLSGJHAY/Ver2j/23eaTScfzQ0QqXNbK2w4Pij8Ni6T+oXGV/fxX5L8sbnxXv0ci9AVJSVc4/D6MnF6yplI4yD98n9Nfnt894+LjP/LfD4UoZjJ+tt87+KNMUP4MeBswNPdcqQxwfDb4dUUZCHB7ZBFArHVWM8DsHCu4EWwP0oyvkvHkH1KQiHmDAl+MecouM1Xqt8kYAc7EgruL0tBDUiMFpmn7z9gH3/HDhViYDXI5ybyDjFV8wDqeL/5LNQWEB5gecgkGFN7GE7ifLNisYvCO7wRjQxo88tlgbUHmMC1O/qExz+vBtWFsdnuMvuKjqFYX21M3vvEfBNlHjg98hUaAmyQKDs5Z+Ry/cDokzSv6I5YmeHGfBNpUNU1xPtyRNytQ10oEwb08r0Be//QojdhwLlqzuft7tObLRmvE/TJ1bmSU+DIqIWJstP7iSlwekXdS8BY5mWuNKkpe22NhYNlbFkxr2tKqbGuVXVNH5bu7U/zTD6TgH7o9mw1nx/sXDMEZNdVqCE1VWWoJBpGtzq29r36eIFTnXB+gBYzWFtQ+UTXJ1WxTJIpyoOU2GZXjLKp9JHop9kVxBE8Mu3CHiJdtsX0o3PJDRmH9VwjLeEE/DspohOaSeThVNUZVUaucv175sZuJqmxtlY7YsBAx1OXhAI9XCGDsv/vuE9SMjkumdGDOJtPrVLrFBCJHSEVy3IZu0m63gY62tb2zK8VUbu+YUegI9HkixsUh3CvELRViuX3FFCs+BKZTrFGR4lNKNtOWM5geaxBZnr7F+GqRcMKqo5QMZInAFaE19+8e1Gyy07yqvb1Md+SQaQ72656/F+Yw7dUgLAz5ntWLDvaj5697RyfdXi9a9UjzRNiKcdXCS6vqwUJBOaFY4mmoH4WWDasizdSwWql6mF82TOQFGWIbZAiwVn6MaLM92Orvrq9XYkTNfrvZau9slGJEL7qBGCPG8MDGsv0p4bO1b9fitb+sXew/t2RVBb+1dpMJiDHrVDpo60+L9mxX+KCb93WSPs+kto0bfxdkLeUC2pMEKIwdJbMrZKDYDYJx5sMR123hHzdoaZvlKACOiu8yJ4XORFNZ67r/2eEmcVlMBfuTLNgn1jmsCOnUvLBqlzQ/jnkhD0Tb9BaZyPzWkZA/hmfynmB0JMkMbRFEAYOZzpU3CITV/sNAGk+l20yjBv/PersZMcYV/lvfbEhNilRa9NhAlcmuRmdKL7CnFxaf/x+VvssSaLT+KDNm+9CImUSeTIU9s3WO0ysJGas5TDq1DlpIB4yHUjA+lG+Sj9nN4oZdfgkE2gU0saxVdHESk0qUF1Lw/4deP50LoJy9rjpTpUlZ09cjd6lt+tXC3uQm1WA0DAfSWVeOaZIfbxsuXCk8yjNvJrwt2P+CKzBg/vepHBIZOh2BkT0gRyxtJju72zuKBKWTgwU31Cxex6TIAzNAM7Y12xkLc7AmYGzkadQ3IXFrNVG4kntF76HIpmIR8MlRmgjGrDBQJAvBngRwXwEuWCu0lAOMa+vTQYZKvof950diOz3Zgy6vaKVT8clC8ADDT7vC8PMIeWk0qmsPsqGuY7khiXpvKT5Vo5GzqzWYAFIbO0g4AYk1MtLmpNI96fuN+9COtn+vlfxlXD8pN4plKGXXT1rX1WExXtJ9joWroDV+iBxdXVyNDNI8/9hptVtt4Ws0/AGtzU6Tz/fOxg4G+RUJkmkXcH61cKSqLanHZek44k24estuFfYrqMl0Ayjii+MkxkqB5VTsn5iDy0oTy5ptouYIX8LdBVDBsEpJAd8wwAv21KuMsU044sWasOMdZeqAKtKRQJ0YR1JPNzHbBXfAh1IH/dfVArzQwHklI2WP1fZ/SENHUXt/WUNVZ93qdbYneSI/ZEnwcjTpJyPOaACa5Afh1glqmzvD9mBj8/KJxuPO04xHlmOVlI5qicQzP3B0Sd+pOcwsWo0UC2cKItAvWKHyw5ADJmOh4X1cO9B9diJvUBdZQFZKwX5Kz66Vjhpj4+kbCNQOjv3EDHClWQk01lbTy0l65h8D3B9OAHT/8FFvu4K0A8gbjbYUyf0NtgIGUuoBqnYJPd4CZUkv252ngvGRlldcsTxonpijQBZZZyrSxn0gMhiBMXXdlVSaJyioQFVxyAaTsdMiSKivkiHm1uPMeu4ymCa2xK45AlBiIouMMSIalojXZaIBpHnSb/gIibkjbuOHSGAa395MPmhT8NGQgasYLO6Ug87mJQNxlwAroJlywUwJi35YiHdnG1G0T8KAFEh6IbSNgnA5aebJ+/RrN898WQNuneF/IcJGbsJclzWZz2dZH+TFUvRis5MqC8W+GkGZRAykNJ33mFI7v6Pl/25K/WKmVCHAVz5GpJZw+PnaC8E5BbmTAM6eNhOKvD1wzmzpIeP2zwqlZAJ7viauduhIcF76MDnst0o1PtFIknA5XR7UhutbW+nG5g6XZJWkIPhr7++B/hBg/UMOjiC+ztEp5nhajLWtwU7mPznmp3vmaQbT7tMMpnMFvhKmTgGUsFkh/bSDns/UHaeGXSdRAoSgFmYjxjIwE4/AGXOBIU3AR6qgSuDY195SBMBnd6Gat/nnFFPtgdsBNkYeCIU3MOFPx2J3bASl9+TDlZsvehwyptcAKv+L2eQGds0Lvtm+hXr0CgPkNnlEMzLjmHGLrF699U/JXcRIpndcljFIriaRmbZRFPzn0Vmw1dxqtph9YZOuk5cPXo8z1rG4kO56hiTFt61go7Uet9vt2ID5v8jGWS7BKxEOPaBsU5VKjsSRCrxSuDffY3+UTzrB0lw2/UOm034kO0teYI1udgVQLCw2r7ViR7r+an6kX3jgk7Jiu4kWeHz9lyKySd+ne/BSVisrnRJb0qIWLYxGjoXpibO5qnUrnakQdhwdM0S/YFO674aeeJs7msQeE+zkdcO2kWr6PNGRKOdGbuI3hd4sSJpczlR1AhlYL9mamGJuZkIc08RL2Sk0aFOsz7AXOZNFV4tX2Vvc3KBDHO5AaAWRRdCJH73t614YBcsKRcoRaxNPlz/3Zfs05D35ua4yCf6MhM/l6fQt2YvjOxR8+9Qn9q1qzhMeMBEXuRLrwmXmOfwwZudBW76Ql+Y0mXxd10QOY/ROU7JnhBegsL5XbNvPC4j4qN1DQkHlTEB3Eb10+u//Z+9duNNIkrThv1JvzzlT8HaBAIEuqO1eLOG2tnUbSe6e3c/v8SmgJLFGlIYC25qd/e9fXPNSVSBkq+WZPd6zu20BVZWVGRnxRGTEE8QbCWbsJv7o1EUt30O4gz6t3EG0sOyaOzONZ4oSEi9McFAp31ZVO/O0AWXSufehtN/mjSqFNoaMucbSJ5pQCTlTmYNMHAROdJpez2+4CUSi/LKwgJUw91rai7zlpqLBSlwlsBJgxtGyHx4dHZ6cHl5U60/D4P94J6GEg26dLQAegSf9wX9zNm7RLCBv/3iaNIPQtwvw+RANg27IMArcHfR30AGh3Z74azEPIe1TbIpcB5Nxe4e7h8x8u4GpHbgW8xKJNRss1EkPvyqB57uj8YTpOvkF45N52xm3FuSSZricgfSeo1JIN6yjAbz0OQYPYWYIT0Wky1NgClkq6afpc7orPhzOQbiLHDKAkTP7Igh9aGz33lKbeHhUtIkFGFMWOl5tE+Hh9RVWoVsca+TllrgrHRdu/fCK4/O/3I/Z2u60t3YbQ/BjLBQUGEuHRbARsFaLYBJZWGxGyA06DM1Uq7Hd2ewMcmkIzpzQ4C3SEg8ArTxzXmFoHTtVXcfDe56vGZ9qfsLyJnAF73kyXD8Pp+1RntJOo1CFsl2sQtmu9VnXGI+JKpg4I0Hkk1pqmaii+k7zeTy8IacPAMQYWb42z45q/d7FZSC5P9vyo2SknDdR0JbEq1vNNgEzP8G3vL4RuiKuU+NqNmpTQEe49mljk6jyCI+KC1HMG5lxAWoyo87FoVsF6mWp7eJS+1uf66EmrAt22CFVe1HcgBqGjqSmHE++m6UTWcmqoSTxSpFSGV+WI2eeH9Qzc8054IhJ9N3Mfbwxv5RrDCMRyLq5ouDI2P2iv9lzL6QsIiUOZwarKCgEtzXFiBLK9Gr+VUscI/3r/NL+tel9Z1Yo7ywVRRcsf7pKdjOJj2e6dADGbseUWSqHUeYqMCrOFGPdwK2UjnmkTmYl9I6cklqMtZOS4OCPue+2w1ScWxv3bk77X0xlzO+yoKLrUPA6eWFyzeUt6N7QpVXDYGwB4tkpM3p3A//2j1+44krqyED8KSNTlQQA9pSDWHaCqbdXgJ8j3+LnMTIEM7sZLn3hxipyAOsoI0SP/Ey5gyw53xlFoXx32lIZuSM5fxjP+K/FiBr3AWAlHzt2rqeY0hWevcJlyNHzERURYg2pOlVNkpMtbstCTcmYz1F1cczR95om3dJr0OEJTlkqPiE3iBpPb9AJYcd94r7MGskoB7Dv8dAkuX6wpCOokFpvm7nWxZIqiGRM7BrV9V0aK5KrPBr7q5/xcO1F48/Z+O/Ji1YHfRrdFWwHKCAF+8vVintr7wK43bbMKyZVYVXI3hrhhRZe2G60naMsnqFHsHTtNNbNPOE60+++zBP7MvmtwzEePh7jcAEH3/Fv2rvk4xhUwRjWavhoRShxufp9eo3rME06EIwKdgpUlKxlsUc6K7hRwc4ysa+1tY7aXFZ9sLqW4Bt7ZsQNdRNP8H2EdhxtdjrB+sg78AdYCq75lGfd1cRZcory/UXVnHSUufNtFyFVnaXY+3IRoLvkpcBaUqauovfMnaJVSuEyeWqp59tVvTRy7dnsYs6uD5MBAS2Dyc088UcFQ4INmZIayEPiuJ30ZWs5qobBKqmUoHgs3IunRB8VLYHXua3b8owHsy97Z3pUOkHCABj/ob3s7T+9xr1T4TqMZ/kUZwBJMVKsdawVrqsgflySzDyNdk1/SbTJX+5F/9bsgCVtN5OkM9wG15f+5oXLZH/ICN87JVg4mdSelTTHPA8WHufcNtd0blsNz7n9PX/2F/yGxZn3SLbw9sJ8SAlPUviLBxC/9c8PXx/u9y4PT0+Ck9PL4OLt2dnp+WX/IHh9eg7LeHgR7J++Pbk8/4+QOUKZyy6eSJ8Tp80eF1SbnmyzhE5nQfZXu7M5t889I7QvhRyAkndlJr5qTvzcV+wG2+1W0AcAyP3LLpPZLB4msBX8YEsUbLW2G2051vOO8yhDipn15GVQGIlgFvRC7+DgvH9x4QyWZ3qVY5k/MqiQEpwlwxQPBIvlKdU999F7Jqz89qLsGO0GfC2q8JUEeyEiXthFqrEPoFLAdbvDWDtFu50JBskwXmTsqbl7UFLceI3t2opbH+NkZ9b1gCFOYm6UZVr9lHMckLlyC9BrwaOEkkpqqRKaSPqlnwPmQRSGSh3W6AlCBUj892ZSzOmF5OV7MqHnMGYlzi5KrtQ2LoMEfTdxtO3yANzMbCIo5tPhtuFSLr0xeCKwDLe8YKbdkOCUywIvB/vqR+DwTHCq3tupuqLUcph3Ws/MVhTEVNhxJx4nqlMpwki9N5SWRU/Rpugp3COv6ZDMfGKbDm3oftG+zKz2u6Gk2Lmtl79ONiL0FOLuf8sD98F56qLgwhdOk+XIWRh4orsycjD0P9IGoTRlH1RYhWtWsYsQ4As+dcbchxolLd5RnZxh3qqu8LOa3zP8v237YrYPmlQApupTzjDYE6PKw8arKi6ZqpUvUpuRbW31NWqS9C1p92d0YbxjmchFNw9PHqaMuHbfsbKRrhNoEJnR/d75+WH/PNg/7x/0Ty4Pe0cXNLH7pyevD395C5+GTzOPYiLrwRu1FZRo7hhRomDE93qStiUWmXzkd373wyOkBylVEAougYHOHIBnLVbkMa1MzOg4F+84HcFzBrN4SkFptLLwhOxYHidWVnrPaOvoIgqVFNDp1fga+f3Cx8HyVgGW7xRh+U6tzx8bWK6ZBwOw9V0uZY8C5CKcaCYBlbinGIvhnBfiqtLu2aQwEbiB4NSCMB4Msbnq53/D/28yBCSOCvsAk9XSqyDsvdo/6IcczsFDydUA3B1jAYKLuBKbGIWsKSHn4gbuPdoLTnJU2lJQb/pQ70liHAx8L+jjawef/23P5ODZAvz7PS8Db8+k31BTcawO0NeFWzqzRW+6V56Vl6uU1TcpwHR+GXuiLoEaPoPivE/OzivkDc/0PQPw99ulVOFEHiPdm10acDP/8d0duIkZ+mnMdEAKZTS+HtMZjnRRF5GJg1aNE7JwuVmAWGpcEUArFmPOnJ/95uQfFhNPBBzajDeknq6ZzcUZa4q6DI8WTIokwpGwLbK42CnlJNWaqcwtlHLLeaXol/K6qACyG3hwz8xzpvAuNCLGY6uH5VlVTtIAi0/EIiNZAzTXWq2L2wskDnaXk0klkGnE75AFFRR5zSLltNHIlUiTIcqsc5J+xYOj2BhVpWH35ykmCJC5urfHHEgKJgXU5lRG60r4hGRwn18o7b7CKi9yYvIq0ui7DdAkatIjeRxKMP8t6ndlZDXUOSuRfnHpVyH7EqlgsA6wHKw9bbCuqFHC4Eg9auaeMyV4uqhIndPoIuXKpJmGGXlBu3FjnkxWoO7Wd9T9bVG3Z78iMVmRa7JcIiMjOZE1WZExWVGZySpPGreKpmCnlmSPE+CUsooLUrQrhqf9bL9eyRXPa5y9ptEFNkmyY0jsBX5kuZfFVEh6aD0wCh9j5qzxOXKh6ogYlNWympiXF1YXklrY0PgzvTLU9BHGzc/rcujoKyxJVZ7XM3eC+s4EXWjql6A0Xx4EojkScYFiME3J4HCXC4RPxHyRM5/dIOxPud6RwQEvUkUxQ3aHrNzMFBcFlSqoOmkojLDRv5SX1Lwa5sf+2yhFrmz+9VuJBLqwg16gktSv60HvCETtV/6p+3oYt0IyaIqBqNfLsAS8nQM+JRkS+TNlAngtV74ifr+7vbuVjDab1a6PaukUbzHVVGrCewqwaQVfpzNdiQ3zDS+n/fs/QcY3govL3mX//f7pQf/9Rf/yQsGd1Eyh8XqcZ7H5FJ4FAMPd3ZrJ4WZGpcpUdyJbNMkKp4rzKqzNB9A9BI1RmRoCIcZkyIXh8e7IxWJqH+lRSOjeg5EU04d/I/ipckUx8cmzhpbR+G9FBLoVN3/76PTkl+Ckd9wPevA/YNL7JwfMfbwO8nduxGzEOrIcsI9K1FUZ2OfJpvnl02KZtFwZil+rhdsiQ7RNr2xQR9DqdKqK7RQoE296RiX7ZUQ8KyhwrG7faCvXSY4+oZTJBEzSH0+I09wcbTc7sRLi6Ckqlf1RoZRW0cjbkhr0WRUkxDJPKHlBSttpF4ypzeod4vmUz4TRRFnQx08LsyXoj3iJiYxB6AMpZZQC50MsqHh7xwBrhReM9Dr/bBj7AdEwIJtKX6mwYZQQ+40F249kvtFFRiBBrBzd/6bl7IZi8mxcnFhdH8eNo3UusnmIMkrZunG7D0A+6wFVDSqah3UWChzTMcUrUv3CyovveP4JegrGwWajkbdnsEpEE2JTO/Roi+lalgh1h5PVGgC65KRLOWBSOX0zFDBBhZQ3+Zm2IKrq9NRmXalRxpWEM1/8rBU60KGRJ4Wqw+KjZK8eRVvuMKiWxpq8dz5ztorWJJpTxiy+F95ZAzl17JFVvwaI2pCLqE45mECbyzw46kC7mpqjIGM9CuVJGNxLnekDPRl3iq2md4toabfWZ1hvezJOP465w9isC6P9OBZKd2Py+Xxc4tFsAmDSWcfwteMsI1477S9H8X75jsJvTF5NhPIOcqLojVRTzwjh2CYCs+wBekKA3zOvgTS+QObgG+e9sB8vbpV3P/wtZlM069R+Gr/8zL2Q/s2hzo8oELSM65ACn9ih7+1F/1wbRVygCuK3lQpm9FhLB+LUMvOIDIm2yUKZYtnoGNwFcFPcLm7uePt/7R2fHfV5vEb4OZ5qcRQOdO/BMbp8N2fesmZOADQmm013Jr0tnUfLcKO5ep6uM+G084fLCqZ1roOKihrsjQ4NaQuwJ7c8TT6mH3wK0+AYYTsFyEco1hTJokzsxOw48u+whR42J8CNB0oFdUMJ8aMbLIyR8CDj5AAr5+x1g2aTHSCjpWhibieNbesis40KJJKUM0VFQ9Q5FjPZSEHKPpFMFtomEo3HORBkjdusxiXEs6QmQ7mNR5THIN0XXNBNfRAniQLFSaL07ilB9ukHR8jwo5yMKYVyaYj7Fa4QZ3dQUBKVb5iXs0qrGkqSZGFDzD+N8aBSu7DzSPA1sS3Wfnp3LyPUj0TXzGE6eKPpF7CmYwDhlWZjo4X/29oKNgEWdjc7wdkx/RL+bKEhPjuuevkktvY682LHdNIHayLNwMdIGS49ePm0bR3552JvuPbDVJqh3FN43EwEdp5GApD7ZM4Pw7kuatzph3rpFhX7JzPrSafWE66raMj8WYThlsIISwHf+Pm7RpDufyAtBuaEfldTqaOgeTOo8C7iT6vvputetlxtyyx7Vg/XawR3d4OKy27eEMVm1DBvl3dTN1JYYFJ4c3l8hONAeZdWFgxFqRy3wkEtzgI7f70fdDZbTU4yHnPWK+wQbiRFcoFAig6duCIbYxTc5rYr+CtivBcZJTahopx4gTCU2CIUAZ2TbsrFJ5ceDnxvUP68zsTDBusB6Cd1AEyRFLC+a9dmW2p4YkzRs+a+ovnPaNarspv2HgBCTi7Q4clvh5d9vKsqp/3T44joMR/YuO3GLvg5U/dVHxyt4ZfX166QGYG76XK0mpdIfrXVbTfqO9u7nWYHm8GwyGvVaM7ekS3H+BabdrTKsN0SsVVsp8DXyVtJ5uhD3IF2UFsXaj01d4tIPhnXhUgw5GQ9/qS2bD6G7+fwgkh7RYBHnf1mu/OQh9FZ18PoeB4GQfUunu/LGxHe/8gpnvHUQVDKGso2i0/Ry4xapOiGkZ+snUtfR4gu5Iv46xGGUMIvdioO1Z2xoVCDdddzLMpBbtXJK1FMfjgtLD7/QAQmJdjBsVImqDGnZDJMmuu5pkoh7mEJ097N+3I7nD9xCFRmp4DPOGYpGluOw5Y/ihaB70ut8h7pKWAgubOut1B50FWgkDS9PYUhLToe5ZH9+VIZpFXG0XPAQM0kmjU1t59uUmLP04WAKYxss3T3dsyHm2tUz2VTGhLk2NsU2XrOdZco4BI/JQZVkmR4WgmQl9d1bpKmeY0jZ4zzNC1D4goKBYs7mc/o6bENgd2FHafmrE8wXJvQ6Q8HXEJAyY1uZ5tAs7e91li+MKhwqkYBjFYx8qwnXUIAIOLBZ6KZeioibqTvkIXJTnVmi1+04JdOthDd5NpVcW5fbbC4bnQanoDhjPB7tIRV0fva6pilKsZW1k2FgGtsMBz11kIW5Ydyx18vprRUsHbfDiJvdDZYafsMouUYNtsg7PczRa1edBqalFKRXsIkRICAc52Ay576lI+jFkncH/kOSy1MPovbrpZ3KrupeuCKgmBpcV3PphS3dr7j1m+b1HI61Q5NojcqD6G7qtpTJ8tkDfspGPBeiC9J57QYAaJSBEMGf213W1sYSKBbiGnFx/imlYhBLm8Sz1cEX/oOc9xmZJvGt7fgPcNsTxATwi3UaLMIsI3IowWmhIaRNOtL8BMAdjQndFZIKo1kH+YnbDY2mm2Kj0Tua/l67qGpJb540X6S25kQBbz+yVhDzdUz5qv4b7BVm23LG6yAGVwTW5WAbzJSuak8Qmo8SajkIZboI9F4yxBWdUmIx9YY0+ptyertdJvN7mYz6Onqyfgc2woiwiYLxhbS79tt9/eMr50LEADyFUiI4H7DOOdJcvB7FERg1EEHQ870jjZ4VHvSx45dhR73lfo0nj02o76Hb4q4nycba7ZAO0/oBA1bK8f6/QU4UONhUucH8q/PeUI3Av9DnjXemtIFjd3W9+f9i/4JmDP792+nv/YPOGQIs4CW7T098j1HUrK0fMnxlCJjvhQ5jl07q6bQqZzbWHpeXLtZ67NzZzuVF+sG+KxsgIPHjNsxt6LWnOhj2IbjjJj8x9fTGho6eQfxdO/iLMNSuirztMPUZ4tbuNGvCSNc88FFAg9FPM/ZZlJ2yXnDwXnKud7Limov4OFE65Q6IzKuwQTuu38DKlwY3xkM87iknThnOISUL6Nf/RwShcwdd7sq0FDlO+I5HqUyuFYL9QQ9LenGypgxdRGCHUW4oeqe1Oy7C/DQpLGzl0qu2mgWf8LjMDo1pQNjIvnnGkoCPToGw8Po9EzmxsfuwEvmvkiGy7NrThDsIkxSbFhuebJ96IqsB16ZLT8eAdyyTmQK3XLkgtKWfMKZbQtqKEsBVklcpyOgISjkmeMRzVLx30wuXqGIwS6E3knqVXX5zw5Nm65hMhbpAjUf8omEbAs9ayAZz9cDwP434ngbT+NrDFDwCQ16nhNKb4wX8xQZ3LFW+sW7HwD+1vSidz/YvBN8ABZKjGixh/owTiCAgft3Sa+utEF0jAdoNV4uTTfAW35I7qvmPI1lS7qE02XuHGNe/32ZR8qXuQf5nki/EA8rLNUIsqrOEaiveHQWouBmfH0zQbJ2DniJzqrxDXgF5KQeV+++dDLUIxeJhtWjcx9edIqY/2gX6y4ezzhwoof+Os/jkbfitNaZZm3FfE4sJeWfsCVFCr80TFWS1jOekQTxkugz98xcjc36oPjSD2SYo4Q7wgVnsH+FzkWrI8D31KN/7ZLOjYHMhsevSQ9isb/85hWqJa7IoFOg3CZnlW+mxeex1jkgNh0OgOKtYddvvE5G/c8bby9AAYi0EUJw6/MJ85MWow07zj5QI990hpSUuDFYSZXaCNSuNWux5Fj1lrLchYiaIpXwPLHgCshLWBysAPLb0rJ4LUzpPNrrTI+ZW5w9feueVcv+qfw6hkGge37cO/9VEqrR03iv0Ud/Y3B095IOPW/SyUgTKdwUUd4cdkvw9pzEGgT298RekMFDOVOMBoO1bceXZxK5IuQBH6G6zo3FPkF06X2QLQA7ofk0QkfGDbMeYT/Bs3/BScAkNJr1x0qTN4NIvk9ShWCZwyacBs3c2Di/e2rZzKy7bYyt9aAID/tZNFlafoT2QiSGesBTTiN/SWGsQP198CMk+Q4D2YhC5yW8tftK6k68/pUSPsuXXmcAizCUijVHm9M1m5M3cKQXHh6YfyqmQrVLytkh35ZdOUg/c4zydDFHntQDKsOXUFvl4vXlGVzT/ywNSS/uYfi3OCK+NdMq8KeqOUt0q2usCkGxN6Cx/8BjY8Vi+bDYudc9nlghKrL2fDqB7TdIOKjWo5qDYcwqS+VQZBW89wVLEnTxE9xmL+azhVS1vZAttFcwcs7trOCvc0uy2mx4Ob2zXBOCaHKmriAsnygyRyOUbYDYzzGCU3PusUHF3ByA0/oY3jxi20yzTnGs+dWOxe6BYtx3PmaaCIssfOyGJMN2cURpRdymyabXLg/UbVGgLjLeUK2V/2Az/0E7/0HnEfx8ne9c408a8jM93fNeFssAfHFMtiT/dTfnZqF2IvDwsmxTYEhlCSTdsNo0rzFps+25eZ9FjRe4Gs/cAMFhZji77Ehq0oek5BsD6Cmwxp7POG/GrQWCicFdSh40e874XIJZwXa70dlqwv8YtwdjXakmpCEfNQOiSOMZ1NyH7ZrqyGoR8ajdMnaWY43rYpwvQzhl8N/DOkZXgh/owURvqHkQ8jjosa9eo9ZDPGOI88FVUOEW4MrAiJ1BkuCuvwz56a+YNYvIW5lS3TdWr0SMB10UCEABUGP1kRsBp7Wm4625o4ly3zkDy39lx+Z/jmPMf2Z9KMoV1dw2Iyq8zRS/4kB/kaUnHMueBJk8quLp7Gyz74fTkd3O7+rXhHDh3YuaiRAnqzWEiVtk+Aauc4xvYfbaYHEtVBifKGoxdaXN365PEo0lGeIW5LpvzLGLRmHJpfHWc45cEUQGGmeFN35UhBaffybr9BqGwaQnXN0AA9pXGBS6zw8t4uctWeOuCtJRPDVBPzpsGS1u73Rdi2FL7SJ5+7g46/aacdbmTmmc1UgHypFlAuz6fO5jYpyo8WNQ1yC7cHD32bIqUL0P89fBXAwxuK2vypXSMK9E6Mx09jT2VgflkS+V+L+6InQN3tiPsmI1bMwP/xzstLdBEIns2HjGRinRsJPPd9SM98ujp+bGEtEIJvE9Cn5ln6jw8UbntDX5cxtB1cQpkK5WkvBwJP+dcmuuTK6xVF4mpMGX8DJWygjaqsUo6IGMUoj6eVARN8AZIi/mNBsjdLhyiSJjg2ww0cFpP1ZRotEoz59YCFL2stzgdSGzsXaWdZY8Uumq6UGDDBjj0ePplLUDh1uw82EyuuaMeiGI2mBItaGMqxVV6w5LK9+4SpEp4vBgITOayxPReUlOeRHZyaAzWkFMWaQa84UZ/ZCaE17R+eb+TQjjC39LwNVC8iCacRGGwWI+p/QYjK3OQZKb2+3tWnN7u4NMF9k89+aaTKB7jmU+4hJPfg8YZrPRbvC3o4QCSvh7+gRD2cwRWA/ejEFFCc8dB/jw1Ifii1QQxB2HRXlk1lfX0xdJQucXPoOlwhthreJs3sWcA5gZ+O//2CaXNLNBBTDWR7QeoxqKao0+7eo2635s4aFjXvuQtq/ppPFEtVvbmEKIE5XC9FE+BULJYZSbCZ6BZqsRPTjYugprxFUi1C1qTNnw8rr0w1BEKvx/5mhJhpZRtTGtBvID3gdoJWXAm+3tepnaOeIaZT9Yx7qFtnCXRDwCCTfU/vhUEXgrOZs7bbALW1v8/IdEZCcvIq3Opi8itM0YYWBCN3xBW026ZCtJEZ+4f0rJLuMjVLvzs7w3vgSwNyGaDe9lWVFVMjQohEfANJuOA3O5RsEIZ33jhBmTlDEZOAnFzqa+fqNZeH1sbA+fmVkQydjeyr+4qTAkkV1T0vdknc4k8uAsUjxLHLNIc7raNj5f7+clEanrZP4K0Rj8iLfEOdbwiPohDWZ1ttFisSrTI2zJ0OhabRZUPtleBNU9kG8kHse9oZu3K7uXjypcUICehnS7YYvw6l6NGyLSm3SaIokcV8dg8QonJN7JQo3lLCjUmGC2AKfM8KO7UIOXe5QMJ/FMOeZ9q5QbwIqoz/ZjOioQcgNw1uH/dja/R3CeJYKTg7omoOOr5nrQmxuFQvKy+jZGM7FdX2YOGlsSaCFUIpk+rHvIFyNp5MAQBwVWKyBrlP5nlZmR6gIMFZE6d2wHWgxWWtbQEL6HlelsNkSxNjbLlGjBejj5WP4bLsFdvmtQ0TZYgEYWM7oLoyAa/vM1aeAJoJXvrphUTttcZaZdIej5OqXyGW0QbrBOo8rHruvPWMUx6bwwS625INRsMsYWM1yYRaE0htkomtVyc91V5wcbQf2lJ8lDrlfomODN5o4NdW4Ya2gQOgU5YTrw0/qDW4mOvpxQxVcQEnUaOzujzeYI0IUFItew4XNKvRvCfiJ3Pqf8K2qVbhOMRoyz22o9Lwnc04HXmSS228A7/TS/ebnx03z0UrygMbZViKUh+0+001+aGEXS3B5c7WLTDi9aIU9CkkeMHfADqTk62y1UFPT4ASvQLAHchmL4o/nkjireaw0bjwgza4Fl2N5w2QmigydKAFPZxf5YMB54JK4jhqAe2VthZ91gxe7KYEU3eEvFR8ICwdkvWBkmhMgSkhHH1u3hlQ9Ek4i3OtEm7Bxu4itMnvSHljOP4vsHOgKuE0wgM08b1+5kcXP5dVjiTIGLU71AjMTyahg24NHRs4pBgPw7Ss+2amCOqSlS0js5eHX6V7kVOj7MaPmn3c12c3fT61n4y6va67/WDs9ql29f9WutV1VT+WDmpkC76gz8eqxNoAkBYnGYtEjgMxIzLp32ChF5cKJsENJFVLZOTwvlCNlbdj4G5NpRU14ot1fuImnS7Hv5PfXNbTm1e2OQNMwNuexjF8eG3AIGUJhjUL1GhOB7PAPZbm/93gAQvL3b2nW+wfvtbLexsUlld0e/oFfCqyT/zD6MsTHVuuIKK5UYTMpbGGFP8qsicUoN8rWRSbMN5KCT1gQNxCwejYdzp62CmFtOuh3PsQ2dyTWxrRJGmKqIEVcV9jmS5s3HsyRHApXcwpKgF2nPURfZOGFagwe9nUd0ift6z2fVWbQcOXdlQX5JpsmMgDSv+UZAC7wRwGJuBA36PxI5Z4mmCzyPmtpIkN77fy3F0XmCJv9fr76D9AH2iTSrX9AJAHLz23+qMWgyJW2RFE8NbEcgJf72392JHPXSkE4uK0VR0x5KZMvb7H8MVl4+idvOJAaVkZ7xCFfyCJtwpHdUn+uMnPPoq/VVljTybGNX3nJGxeBLjD+xk1gDSSSsdpJ1afJLSCu39YiVk7xh7oxlVg9ft/+ZOfb4DNtEvCohKgx9hIRDyK7RO4TV+hevfUGvOI33BNYQph7gJ+Ts5l9fDbqTorYUdesR3pone4UVx+fTqGpU14D9X+d7wS2eiNXALk1BzWEclntjl6DI3QKK3CyiyM1CaYFiaJCxOXJLdGn9fmFeLuLLQQoWtsKwhHQoDdj5Q3xNKQleM2k5CaMA1TXdAbbF7RghMxdwEKEk2kKpucLuCSNKjJQbgryMp1y28/NqcJkftwsuM/muNuTvAGCAX2Av0dEgGcAYs3gLBP2HU9NpistzOU9BgAI4ojUeMsZC8biysl3VJA+eOsr9p5i5k36///bi8vQYxnJthU1n2k0JoUcWIWxfKwXktezwL/YCN//eqBw+my6cS/1SvjZXKa41e7ML6YpsCd+IIiUIl64rEusuW9ZQDjgxp9p7bVQO/MEbPBEGv3hMqgzEpBJKGj7PWs3crEawtobgtSg/oFvBpceyk4r/lnJUWRXSS4t1HXFHEBn2aBJKXmHOEQjOyMDuzEYEWCS62F6wdtbb/7X3Sx/82UXmbZqz+AMr0KN4do09JJiZB6l7b1FT6e9epZ/ld0xtrBD4cjFI6uXbkPLYE0Sf2twlHs8cKafcdnlHpden83uaVIonzFOf7Z/zT7Gp8SDBFGJM9EGRoipw4Ru5QAUN1lFC4XwJNZV0uPZAxRJ8xuX8jMQXg9BmF4YZvjpiX7g44M5SzjVXYLRCkUVMaZDU5xhDNlR7jKM4zFyNNQIJGhASnWAFIIJ+C7SvyyTi5wcQ918WIJBPBLTziikPuHuibI1k1aRVj31D0IWf/1+wREj36EtHDKNVIrhE4vjfIp2F3ywRVpZOd2/DQIOlA5UUXmekK84Pdr+Xd38D+I8+KoYPiNwZN5qzy7jodfqBKXFEWoleSJez6pJNsrqsGZPqyeM66tBRhSho8mztCFwPXi3mKxS3IRISDe4Z6oh5ISW/gAVQasR8dYFqyCiuogqWOLUaCeKaNIqHkC6b0j2j0PnF8a/iXpMBE3uGVZwc9CBWYqq4lfbQFqyxEcC2N+Vz4RC3PmNOpA8oKXVukc3T27xJJwYXV4XUVwK+l0VAh9tAEFHVey67DVkehflU8nlghz7DHjlOBb2ssOhGw/8xFWvR+Wz4y5dAJMqHhZ/z1KgxxW7n/GxsZuD0snahRizQBQzuavQSVM63DBsuF3yRuO4F5x15fdmrvnwnWdXJc7R9EUx84NKkP9zEkysDCBbXXJpX83Y9v5oe5MSuwa/ZvTqYxNMPSv4zi8cZjY3D+KiWhDir0/6KY5Ct7U57a7cxpPzH8g0zT6+vAX7cjEcjLNaZYkBP2iUtWeYfQaq4V54RCXOc8VtzqwkGJhm0wbvMnWnQd7OkJp23gt82G2GmI3pvRvRe5OEFFWoo4Nt43T/o/5VL9q4F6MmA6ngnpCtVtZRJrnygaOS9/BTnhYmORsndJL23qS3OTsIgA/MIZfeYuoSeSyEf8PL8LXVc+RRcTeAZwuy67oHIbmNNV7bZesCV5THBncZ3nBWl9EaYpZMtBphylXHnDWlfRdrjCnAA4iCkYqKTBfQe+WBTGU35l0/ooppsTCIDVj2DD2aHY84tzcikyDCxbj+exqMYHL1etVtUDIbjw7t5UWvCU4re5ik9JMs1BaJKYHroHh/N48gGMfrGaf6nS5tS9LLylQH38nKNheHDKNwGFP8HuJNM0MMsvhgn2lMWA83TPE2NCQctI+9D7nbmdIUxav6/FlhcOE4+iQRbr7H4LJcBL8yvVTc3NxUwUNqk86J//tvhfv8ieH0OZuntRYAUuc3QGD8zeOIF4GMj7OyJm9L67vgs+eF9gu1suIFvQZp8Maa6LtbfoUrN0eHJrxcBaNaQ5og9OgYOmALQaZPS4WdhIlFC+fA6FOYzyJ6dY+sh18qbBBEnpniQgr393l751ij9NbZ3nVtsR6d3FdIqetTMP89WtEDebXi1bbuN2vfubN/4oON3tWSeuKCOo/aiOQXsaN9ouWr1NENRDfCx7RIlsFdUlOwYUA7glypLaeZg3lEuoOJrV51fuLzuz+cvLDHQFJ9yX02Wq0QV83oVlsfXAWobSpS1cyVXwJUj771A1I+9c7kpNOvMpxUMLEsGvlRGVloKhPVdTdLFDKy7uVVDXLlbfZJqpAKgoeexXyNrRBMI0I8qkyZjEJ9RjZvy+UtXWoTEHw13t5Lt9uZVDh/rw+XZlO2DDzDi+yOsD4OWfcscijVJ3A+B0IreRAilOGcIf6cLiB8YiGAEkBIPzf6SjWXq093ticxE6Ks8DvA21wW8zQcAr1ZdsSnmCeDgjAATwA1DSfHVkx2ACyFT3Os3VIGloP7WK3LFlmni8RqdUgMQAMaQ+rWwZ4FxiJ+fGBy/oWw+h8OBD16Yoj8YD7EyoVFlUiUzBVy8oEkzbtSHyN7kxzpHQ1B0Xq1SzBkhqTTvyohZQe+NUaKZXhva+ZRZfPj8Zi/gHCSa74ybvXP4g0JEFwV8x6F5hqtl6UUlgghLTh4MaJTb4hilSTfowDycrgd9yyBIM836EgmrqP25JcH2b4mHUlEwvqJfkjDwXUEiYCyU8Yic2ySnfEkY2YeQXcvw8AdTDnSU1ZL0pFbTTo6YOG8dhXq24TQoStPJHJ4R9jI8ICL11g3KN4RYSBoTll9RciL3+Yuxk+WUGg/xoSCnRvomBn6TDGEE2JxVQjMitU5eUoGPRH9q/ZeZ9UVwK/ln4WbNagvMBtjw5mPDXCiNWtDw+IsSiY8gUsiege49ETZzT9N0W6eRFQqemE1T6oeGh0ULIjsbZyGXIJASJRaSYJDccIs6lEhcfb0mpCMcX6OYOOYgIXGjpE50NCKNCFk9Q7/Df5AIyFr+Mx3qrLVkQuBBbaH/v/+3t3Kd7emQd1Ede/7eaZkaGMyz3klAtuLFeiL/vbHct+sFIacsaJF4CbQHe5ktZzjCtWekukPPJvI5Kq28mn1HmxJLM1jNGswy7h4Y2Xw2Zh2GQWY8LFYtYXek3e20eblO/z4k24+VRLAlDdO3t+HroMvt00JtjYh14qRlZnoCzfHcZqNeXd0JYbe1LljazHemVe2MvTfmlJnBYeebJP5IebuAG/UoO8zcwLTb8aXS6gSTgcwQnltz3iPaw1YDvqk+Evi8tN5DnpZSvsAbcoNkp0049fSk07FLUGrBvjk3iIJmAwvB4f/aAcco+eJj+z4tbrN66UwCvFVFBq8dCq4xeGhMUGkbARXJ0B9UoBz04JwITcN4FLQ2kceXm2BJNTMOoFHvqD3EwDyWRoxKs6etTeUchEzXsUKLUaMkAnqbqun3hdlGg0TzWuySRkqvqD07hJRF7DPXJjBFGi0ynu9xVh0yoCBstFTlTFcygD3yYd20BnHUkbiEmC3yPXJdcniZ4xpPpGkgkCGVsUw/cllzl2ohOxaiP23Gftz7a/B7//CXN5cso+zWwQJc9s775huUa/TdruM5pc3Bff6ezLDXwi3WyFOxA5VvUgIIx8fJJzYY6xrTgMdD7GlpD7KEp0K7Ln4aj3Di8dCK5kMMz3Jj/eQtaB+MFa6afTa6ezS73eDg8Lh/cnF4enLh77qoMOVRca4jvNx8Ut+Ej5YHC32qrN1WrVW/m34PFn7DYKGno91GSayWrUYuiIaniEk0fEU8GXSZgpRjRZIc6Oi/Cpgsy+kU/n54+ebwJDg6PD68vMD8qrzulv7QYynodtFlXr41oRb1ddt0//7dsxuodPWTzp5VNowSCspmo0zNcA2c2zoSq+pMLqk0iQilVE7d7Fwrs2eLSRoT/bJ82Z9izYvL1jW9KWsBx+OoJfqqBr/uXQGpVINbPMPCnBlpKjb1svJaDSml8cGOOvdHp72D/gG+jxDVO2RnzPhFaFKEjHJPMVEvGRFd/i14zfjj6Xjut/bVmiQyHiLd/G62VNawMaeLOZ6nW5oqcavdHSAw198HzhGYXJJOpGnP+PYuBZcI3UrhDn2K+ChhkZfuVF4v4plD1PSRHifGTFnPRJJMSHSz09gZtJqNZfFP3AAawKzjPc8YYNlecJm7QV862xcgUbvVelxscrMAt9tFuN2u9Rt+47H9dJSA0N9lXWzapdzGk3GcCSDqn59R+3bT444PDgF5AVCYE3mS027VsKTfxjQLTlvURbYgjniYn4/jWJ4hYOiBAkUdo1eZCB/W4ClSfbaiJbHNKofn4pNwNc1rYckaggVO4GxselmcAN1Kx1stvw3lbUTCHYNHjfa+LblvCwus4/ugp9TX7EcQ5SA+oRS9l7/XHl8BM08Pr4Al2OHJ+OnVy7/+tPHqJX22W4Ul4j4sVoejPtxp6PjkZSfIgWF1g+54L/ZVBvhBcFjDcSHjCLsL96Z2bvI9fVE2kpHb0rcS0isUf8NM1zrAGkWZ+H6Y4CJ5YWhJRRESMzjehhhVB8mVUhPmBZOfLvzENQl04oi5kJSo+PBnNC6GEpl18pWv0HMGnMpRs5zFHqTmLFo7mJQKmFGiZtz4vlNTOZST2hLpyjULi82Lo/ZXzu45MgLqoyiAYBMaOWmUHjRDPhrtCa3Fs5gWScuagZaGdacUz29SFqmaYKV/IGGVjdwmsleTu4ELIeE6ZrTAXpAc5gPfzfzEAUN85EjThDLhNhtnWeCJWpFe4HPp7m5+Ty/41h6DkNdqG1bHfHRxpdvgOqywGKv2daRqAQbZqMrxltySk5FXbmqHWyxccn/AeZp57LCVw/tOkqIO8d+k5IHc30Uao6rLYcZAb2EFHnvKsbQLWMXGKAwlqD9h3ggZRyI8p+/4x+EzugsGWeRaj24VgQOt/FZv+cILzl4CGOxSwz3WXmkG23bJymULvQC+8eKOt2yNycTTRaZ6Wm2dY1ocoeC7+2so6cLa3YGDdNrYnNEfteIcjxDXVahckC4fLK6FxV+t8ZxCcVd6Gn+FdI6zWM4tEW+StaYm41Zm1Qmh82q8OzUH4fQJeiWCAShZoGPmjxM413P1ZM/vdliRRoxgDp4mM+NgcTfBzhyJSgdNoy6OOiDvftB1VOv/7gczHZThxk7FA57I4g5+OFdRgWcg5QmeQzg4HnuSMoVsKUjCaZSxOEeFQlCPmycCj/aO/zECpfN/qyROeBk2D9H7Pc6TaX+9J+OAT0pHaDcCQ4GducDT6C7s/yw+H0JJXLOwP7vje2TjvyfGQR8k809YPsshlnbD2VHsC8vpMMdRAyqA+yr/JlrXr6EDhjhobTcdwm+cCIUt7Mept5Srgn3ID9kXN6eBFB9Hpye/7J8e9HvwPwCM+icHQQWe68xy1a91JT1Y5jxw6wbmGJZUTT3tlBmsgGMs/2w3LNTXDcG6C3nH6fQfT6yy3ClBUr+uw3KqSEgNUIxJFLCmnnCwL+qDekRheEpwnXKKkmMSyYNLbzWjrI0RZ6u4RWmvigOtLWNclnU1AyWIbXbw3EsmwGngZXpV4Qmg3jpUVqD0E3VpWTCFb4MVKGd86FLNtb2S0+9JBdosA/kCdnEREkgIh7ojPeQE7DO91z8v+odVXH/zL8f17e8w/hvToYAqbKxShRVF+FYVVtfb5U+zqZ02GKbey99q1ot3grbPCJBjZZSxNooyLStidqJAIpz0vpHb/4gL87DlukROqwRkr7XJn1HH/P6uksel63hdK+ZEvcH89Mo1b1CwuZMw16st8RS7CWCgpV/ftONa05mygb4OH7cpHP2Q3A/SGLszPUWRm53r3BxRWRjO1BHN1AsY4aOQVaeArDpFZNUBZLVVymDH/H3d4ARAPsI8DmxlTjtHG+7T7hCYUSdfVsK/xah8Z51QnKU4M4CiKvQHsMSpyDkxheEj+Y58qi9ld+sx2gnDYZHPrkb3zTUYldcySEpHG4wtvSpL+V9678877y9+28ev/A1wMUzh0oPT4/7F5eE+nyeZRLAO/z1P57AZ5eih2WhY+LVPL14aA+aZoKgnakakuOOZCzac8WyYR8OEYrAUz/9Hht+TD2dGhSO9QttOdz3H3EpX5J3wlzbMkULFyG1YyH6ktsAKPkwxlFjhrFmsfmQyIpipy94x/vfgzRHG1lgAQvjJX0N8RAhXXIQuVneqgAcJV0mnM5aimNknDCahbt0oLiSGuTitOtH7EubWidww06hppfL2izvMjBrGmdKK0HP3DJ+oqd/DoSDd5EdUJcgMK40TYbXp1U1NOfL11YP8LMdY1pnUyPnAo0kH+G62qpYKcOy6yZkjfppIo8vDR3T1587b8DfZSlxGcMdcYBI++EqTw3H2lsOvHPPmj3qX+2/kw42Y51y/E6/du2I5TOt8h2nfOj9DDQo3EnN3Beng9mzL4gzcpFu4SSNHy3aMjsWsOkpmgGV/hKS1Gs0gPEfKA4FYmO3Op/hl2qJ9vrVhBqIl/yv3P+/4S6evq25YBn75ve9udqNxv02DrJw1fZlfsGFhwbZm20ohYZW3w1PVBe0+RcMwLb+4HvyKX3aDotUAa6Gm4/3+6TF//P7g8Ly/fwlqm8PV4890v0JbFzVQFbVOVYpSmJiVLj7AT4oFiZewwENm9yDPGgF8ryFIGBh0WN4LXPKEVAZWH7FAMP9BR0L3SYJbhl/AxOOFeXSg3ZkHyTDGFH35mWh1p53EE+FMf2Fpd8+S/8JyWNifxfWBiTOZxtXHIc+tp0GeYZ8mFzcY+BbjSehg0BGHVTm4aXruSas1x1Tzfstv2EcByiWo8TVvZBYdfNpDGA3+aTUX/MGqq2qoBHJvi15po1mD/4W5bgSNRreIHeWcYaYczH6TH65tTJViwGxhZD5fB3VGa2BHKUiKefKLK+Yd+6vnJet1tZgvZolznj8zKfTa3Bs9ZHgc8WRU5O3CPn+AXYtwp/CSViOngROou3SCiBDuhlnA1p/DjTael5zli7xoNgRPVG5F8ssRVJyOM+M572eb6sstA7gkAP5AXzPkwQrzC4YRxnKYQT/WqiReP833SswwRrTmTjwutVoCXvpjEk9k7gxfIOdqIYzGi78lk/FTIUTp0ZhbG1yVGi3QJa0Nd7sxGo1FWxiCZkmNg7XFi3QHIS20LtaK03y/d+7u1vfT/G+NLy/1uNqqu4d2se1v7kvW21LBwitqmmyklB3mmtdUsX7lvO5ls91t7nTbm0K7K+4LdqXey6uJ8VwLIHLqwmGTWqkcBHUqxBk9Kp3X2ytLDkdpC7arzxmUXGZaKvmFrBbO+vIXmdhfLMaHlWLI6T/p1AG70hKYlEjKhbNuchaGOMTOb6OdF2gpZ0cIPBKHx57wPH6qls/kz9UQy4yx9ibonR3CEkyIC5psFo10DktiMWIcDDCdlXSm349dqbvoSO3uTtjyOB/X5o+3G5tPgybNxNZ4YjXHldaKwJn2U+4/Djtur4sd/fNgLtE+iz+4ib6jMYwS3l4jvaLDC1iYcuY42dsjDNFiMJuvD7/bJH9TKuzQW5Qg5c+PBpUGtnG4aIP/+/6s96tizMeWqdk7mumg8vnlVe/4wV6eOy4P8k6nGG2/xv2iaodUrBIjW/5QRILEtweXTyTR3OAR6sK3QAI2JkWU9cHDbnp8tqStpfoDZnoid5F53Zjkz7x2V/JdanfjZJhY4gEqEoSLYcsXeRrspFXMowBWNjv1DjYOwkauzXonX0e0SYUTvaCNt76LZwAdDMEFQTPC1AjFiLnsM1eJOYxWslWdVyIFJoT0GB5gVmAsSAt+J7FjuiOXWxJ12gI0AMA2qhN7zlrr1fguJ/gg2bKSwT8cgf9H8Or08g38B6kf/hE04f+wG+I/YMX+QZ7SPwTn14ubgIu+zOoVVidX0bW9hSv2ZXXVXNj6vafFH5aL6QtLUTHag9OcCgD38hG7vxo5dShL9b2jEDSW77DkVv3BSDUHqYPnbmlh+1hE0qIIOygPx5klp0J5qH7JXLOn9HWzLZO9qsJNH8Y4xc58ycTn6982sSHveK5Nf0i1yiSAYqXWTzad0NOSYtWeqn1EKQihafgouCEeztIsUyCilEw62h+5bZJZOWTC8YbLzIAlqKnYrWy7iJq2C30m9rF//VUW/Dl4k+Kx0L1TGKQZ7Tf8DQ2mNOxGwQcUy0ydF0mk6DQaPplv6F3OQblQM5segE+FkXoHvfytxNKkcVka/DJJB7Cr9A3wgVrKg82ZyXfY8qrkLxG9yxOECpIrCyuhfIrz4xUFOXfiTF+bIU2Z287dTUJomCcVKA3H6bhZIcAztpeO1Zb2RyWZsKW0RCY5Ne80FarvqSDE63PmvLNTxRObEVeWDJO4LGSLsg/EAJ3acpktahwt7Pd9v6oIX8JFvPobNyoZ4KSi7HEinCnR7AbhRXqbyKExFTmB4UWO59KP5eVZluvB2SSJkcADGxfRMlPHzNv0ljKjD6+4Dozpem6wnGlKiBipqjABOlvccaedMfH+EOzFc9ydVnNn0LkCPMqNPhj4xZS34jamC9W1rAXnhavhw1Eypx0oCcPoxacAqPlo28vM5hZomKnDLgzmu5AriluY323P7ms8ELcm4+Fe2dfxXdfqDtMc23MbJMGVkhPS4YIaXyAu9Rr5YcIetucEM0Gn/5PxXVV4Vj0R4O48czMaXvvImePO1c5mp9Mc5PriCGMWmL5kciXcjYvpGGYZiVgAA4xnod/vicuIX2PaUea8JJhecHSY/J32jxMq+JDQZqBr/k/p+IV1nZKZykbfbu8Ok0Fn0+YASBBziOE5Yn8ZX3GoHDkvsDlLIcjLVPZ/bBYA78F1grsluxWjuhWpCLDarroXPGK3V5jPH4SgGpXtsAAJ5DLms4clWkxBqEd4aseLju2csvkMpH/OqX2Sg0t3vYux1cFUD/ga29u0GtwJY3NFfHjHjw/vrB8f5jbb3G67/b3d9h/kbxRhAFFF+DAABCxv/fecDhKEacgkYB62cxfH3C/JT8iLslotPsMy1AJ/lNmq152NEm+2487VFaZBenUSD1ohvfAhK+Qgmgdi0xqQlp///JxFYpiPi5F9WApTWMCNpS1iwuQwzOgqQc8uGkRRcWQiL1YVLDSSE9ycNDnXPF6I2o4QrcFNoZLNVFkGafoEAJhsgfhMOOJhOHuMD8xewiJA24/7SxFA/hXz1l3fLbzEoKIJg+lgCcQmkywhAnQY9Lo224OdaLT/Fr/n/OL8iHx73aaKUUM4vgYTyFrjLhh72yLG9agQApCvVoIBHijWs/CNmge402Ro4GCASh3FKyWleRnuYMKOPEXDSZzd4IawOzwK5t4DZLqosyMecRQ3/1ccS+xu7TSv2ldX8GqHk0lyHU96s2sSqv5nzBfBVcbEm1tKaE9JiLLU2c+qlggEfpLUAzqtMVMN6uBx5xi763rkWyUeOcWLSV4/aat5iZxzNN0sBckszMDubhVe7wN1OkGnlLD8A944L94Tet9Oj8YQpC2kgzJ4lPtOXIx2kS5mYDmOeydve0fSvoKDUZTxRaoAw79gR343E4A/692iOMYb+yB+8XWKP7gc3yZ/T6eJzY1Z4lHbO+GtkSKHmOTMDO/lKBhouPjz5rrVbXax/CxqmxhofpHxYcnUpF7J8hZOME9S57Yw8HB9f5jfwHGGXTK4VdDiizHEzlaSDLYGV3kMkXwGZL0CQuBdVqAHrYrBZt2ZrTU2B0uFTSJ8luDVDGC//Wv4Q95qVcycAihsJc3OYIddDp1hZUqcjpymTZyLNpcNgd2K0SoZT8d1cYoeTaTujHVtwH1Z7tp8bwD4LXwXauVFRqge+ArN5rhRqgDmnHWwFfw6Ikc1bpc3rHxU7jKjGozNwZ4CpCCdMui1QM+j7vxK0hg0DMlHAx78KNn6/p6PhBjNMpZJ49qax1VAJEgACa4XeLYgZ/pX3KBaMEtoRovZjM/ccQPJlsCKhpmz2JJrHQejWXpXG1HjqytnIjR5dwoobPPsqNbvXVwaRrza728aTa6+QaEpFLtR0R0eZ0tSyoPSQ2rIPPxwxMaVumUXE1Sc7JS/1v56cf66dnn6a/9E0lSK+Tsol7/1jg4PepeHpyfv++fnp+fBux/yj1MB4mZReIJsflF/94MsuUoTzp11ZUQ8LC5ylvtpIOlrhlkgfVzFhLJ8eXpwSukABMp4PfFd3/2w5i5594Nt1tFqbHc2O4McHwSDrh6u2D63S5hgVHOW1IT4ANfOmcfXvwJuQgf8UxYc9vo4RUI4z3P0GPTbbDSeBP3CQlKJhJeNn5nc1jAztg67lB3Hs2zjdHJ/e7dAqnuT1KetYqR4bKoZeHiLPwz2FmFu5GNcwFQwBrurubUi7tqqAGD3fR4FdMENo3yTP7UaCrE3qPBug6Z0AwQFkxg3vCfYZG+CCERMuPwASacdM6aRONBpq3rYO+lxbKBS7KWgDu8NrwT9NkviGfqSHIy38MUtPaRmdB8Tt2yUaaCRRl18gpPk0/v/mKUfvKRzydOk7iPaZBs7FaALziWS0n2xkBSupUDnOJUS9suxp1HOZmhnGecYn9TSPFFvCWPJJua6IJZ0ALiAxQGXATiFd6euIDpOEW+tgIZR47TsqVtH81/mDVLWs3umg31B0OmmcnbD5EgWmtnsdWJM0rjU81I9Ojbsng2p1efVYobZ/l160TE2XM2wCcSIm/kVym0kU93enxMbZ9y9UZ71LwbOTf650Ty+3rHscXwJE8aNiWmRBcBULK540karoQ9zIyTfW0F8u1YQxlGnPanKz+HIogox3txGPWLynoFroue4xu+KdR/+CrZMPqwhmuXt5X6t0QFFAmLlqRL5/iS1YihbFjObzAmC1n+gJnAS3EV3+AEK0COstMV0tPOxlip39HYVD0JuImkQEmK9ZQ10FvuioGP4HzWdhzyTrEl0lL5DmTPBlTIdHNl3ni4mE4A6oESvneq79lZ9ZbMKgMHropPOUnTCjYwowyD7YILbFoSzfcNKmtkUJFPiEpWwGXpN2NHgMZWAZIqTYyIVghjuEJ/EuTEv6xCZrrKngi/nmjf8u+NFUJlBqu+7WWtumzZc4nzZXzOMlhbTBgWtyDumm+458TDqcwyy0TU+C82ukxGAnkseiJzT2EzmiJ0mECqd26Cid3T2BgyxRhPJMUrKQnGjrSTJSNqbOQQdZGg5LNcDM286NMpF+dDca+y0h+V5onhgjkM7ZU2LJkZSf+EWXMD2SGJkcDNXdIOmgAfxCplFQETLlBELH8MwQWJt+CIERMIdZKi2jXO72MoTGRRqNUX6uEwDjPWNJUbsBEedkjNHxn63C6iVeyld/2Cz2beAHdiC/6FG/QQXGubK8Z+RXaVLmusFT15UnLDvxvaf6pz+3OggJyvVWVPQq9HSrcS5Pd4+wtHyQjs6YUmwZc0t9syRoYKm5jxdozzRJFnNzYeAnvaR3nhLX9qLLlFMKTLGR4pkmYrUxpW07qkYFNp2vXBHN0cP6EDu201udJcKpGrqaLATUgucZXWH8jXBm3gnvuoMWrGJoshEOoV6frQtqIiYO+bsNr6r7uHskvbJPqH90NMJonfCycM5xil+XHCltS582fHgyxsnDZZXitgJmIbjZgaf3oK163+E1zlIhkGrXaUQFQqO/RoJa/nrTpVBHf/hV6LQITSXF93//GiQ4lUyleTwcrvBeea21ixCjQt+PQxodXl7Ub2gbrVWrdWmf287n2/z52Vne9N0WnPeyu1Mr1RIIZbvgbYGpF4vbRw6Sg1KDhZ35DW7E7uXWwZCzDPsWnXvTGklBfMwRTmczbHEo4rDKSlop5ni5hpY0/gf4H2EvH503uo9SXM/6CucB42ew+ImJLOtjrtVbUdT2a/o4mJ+rSNSLEPBj8G/AxBuGog8XMyo4utHzpy/h2HhRNyOr2e06UPT7xtjSzKf6D2ZIIIoH7aSEkeBO9DzkL0ezwipDFFGME9FRiNKYL/36auwnJJSKelAJdOLXHHWq1PDJ0DlooNEFNqz1lqVo5ySXeIKfU4C9pw94EvCnrMj8mJTMQtW3XM2S1532F99x1D/dJXxZdqUdcTDGtIoB1n3mr/yREbvG4paqcrwmgM9icZ4XuRVNocY2XDmESeok5sMb/byXzoEUjIL+HOeBzqSqfzW7OxWsWBofH0zAEBEKRuSqJVjH5K+89SSGpOzxqCeQ5pJQDwwc28vdPBgsqgoFQOyNK/8DhQwkqRHPCiyqp9sA5+eUdOUIHT2+9dgLny9YDjYTdrJCI+v6O+MqqMEYPgThsJRIhiPA1LFLko7RSC1U4gDXSAdKEWkyJQvqOIBfOgR9bOMYT6no8wyRGDy3mxO6NlUx0dBw1IBcZ3K3Q1Fk+PBMCSjhBF7AtM+Oy1uaDoTWQ2rzmhgCKv601EtvaqRBrd2hAduDq8Kr4QyNQn2pXoFVzwyfzkjjfAEiuryKLkHdMc+GLYoOAPLhf2f/hP/h1iTYWxg2GmOKOLY3O5KVpJ8inRHu13Mp+SxcyosaB5YPYNNTLW7Q4Vkxs4jL+Eyl3M3oRZTDsVfzk/fnhzgybip0nHLq+Rt4RWb+JPfMalRQqHaBphbJeSOuUFAB6BePlgatAHuYIwy8HGITDD9ME21XiOPN4Wfi1kVKCfR8oZppo/cSSRNXkJjOUP1kygwxnNMZlApMMhCEv0BymdkMnthJajebxZg/ibGwOZ4WglXNVVmIyOvpLhH42vlNIDPeemFyJaHwtzAIbOOxZj7RSpnRbPXHKD93STpUoNfmhwz5RSWY4qNSng8zjLWiVxQo+sY8YAjdMlQYKNgOJ6zVnZHzK1UCZ9wIw/Uj+L0pxTonKCuxV1Nu9zvSiqbzp6gArhD23eHcsJJgBi2JYOHCxK5GoG6ulpmQ9YEPMuU8sx7yR0t0gEk0ljDKAi1miL0QhDGcjTmFhpT91RPebNQFjk4qJc6gpou5sZAxchNg2WW6V3y7GyjMsV5/PvK33F31KaxdG0q</t>
        </is>
      </c>
    </row>
    <row r="8">
      <c r="A8" t="inlineStr">
        <is>
          <t>shVI/9RE45DYq6lABGR0cyPy1d2dp9iqS/PjwLh8z4/7tniXdEapzfKtU0SkX6JaohIjtfFY2xTlbdIqZSHt5YLKoCjDkYm6s6UQWmC+9KAgtPQxj/8CdTqP3/8C4IC+ixiMs6J805GHmZ6MpicMMR2gkE8ngYJ8E1GnGZ8k/NadCWLafUpazXSv7aORABNjeRkw3up2qMMKo+LxodtaSLI+2NehNcJ7KM3+eDq+XdwGFdxilEiIrauez3fgpVslh+XCZUSSpVFlMSdzoNgQjRTAB4pRdZlAqnRR2bwQFWLdmZT2jMSygA2cp1Mk5KSW9QZ+0LtU2PqDmNxhY9Ao+DEKalFQgYfWyZOgou/wzDGyfr4ePgFcEoYG/FtnHizqcVg+6Ve/L8M0ouEJ1vD9hM+DcIjDAfYJ3B2TM55egfCB8cTqr3poymcyr0kux4vwtUunKCrJON0T9UKppgxfcsTdlZz/tl19muC1+AD9dHSGrWxBxmVilfbVAR9jykBKOHscFvGnzRqtq6KmQaw4yXNdXvVfn573RbGJRnucD1bs/7Rb9MF2wQfb9nyww1ssp4fJ3whezUA1Cs7dj6fxaAyaIHy1AFiDjskJL++PwfkxZhGiCDhEsppiWAvC3qt9L23QLRaXXhNywgmOTmuz3dna3tk9P240Gk0R3tUuWWHIrj82li9rA/qqmieIwLxmFBN8xNmq7rez5BqDLCdwtxtN4eB2Xdqpg+YoNhS2Zljs5Kk/V8Es4X0G7sF+jx274DJFdJGqyTw9YSXG2/q481vQutwyLRVgQnHTrloJ5zWZ0da8Z1lWo3znnDtZqoDaSxhlUOHyvMz8FIls4UXIk4FRzmYEu1CJ5pfQ6ZVQ5o/N488B4s35mDdwrikCp8InAJznqe/p4GB5yoMp+siqLsPzY84AoI4r4kLV5PCjlI7DahvpdGUJbxWyU2j/1UVPtjg1gp3gUOBur040b2NAsGtVIdHSDko8vTWZXkvaTzyJOum8T1au+wveb9J2kCy4ul3qulFkXmbZMWbg451QO8rMcdRgOvdlYbwPL2BBh3PrwaLmHhW71tTdY2DKJlGP6Sf6+CX7gcSZSTJwNeb6AVeNw0PiyeTZPaKc5viyxljly8oCCHJDa2U7M+R/vtH0shV1n1EN6XyFi/S/qGfWvyrhGp7xuGqVe2SRNmWdxSKwaiuTcHTt/mRoOZ7bUGVQUSG9jD8fjvgKwBzuh2QxXp2w4SsVWh7aUlkN1ZBtiHUteS3p2tp0dUAVa9sdc9Gqkp+zROmazqN6hUtlgASXIJwLhOFscZTRQAgN5KI9zn9gg2ftDkNEQJDEe4Q67ygF5MB9XYKK2B6qDdh/e3F5enzx/uz89PXhUb8LmAwvGiN0y5KEgWRrp/rsTHR+hVpeutx+u1bGotXyJSmmmQoaqG0snvCqU6z0TQ2HPLsyuo7hazLI3WBXbS095MegrX9XqHFkDhZUqRkjKn8fn6jyF2+rHqzQs1tLlCxtrZKdwfkNhc0RvjoJ1xJ2b5bXEflN6eBsus7C5I0oRo7+G9dFezjCNFawFTafnNx+RCAbDixZuWkc/o+K08unYGO0t8/XOEfOAZPxFF6d/AhyoPWwyRTecsiIg1kRsjMewXE6iieP82066/o27dW+jaaOm0KPqzGH2mU6JaFq7CN5z4GhWArlwV3wvVhEI9u3T6+OAgYS4WO9GRJnSiznYXWX+iieN9Kzj/bOX8wD/hxcpFPsk/yXdz8E7xaNRrIbGh/DXDrWmnV6O3hd+glxq+Dv5MZCtzJkF6jMx8g7EJWinFbz/kGoowhpZUwh6qrFyQpZhHDB7TjDrOhYV4WxqKl04mHrQ7BVXpoaPj33VrTS2hRnks8OcoaL1EYXN5wA3OA+sdauohk0f3Gs5h59FfiAm+faEdEBxZydQ7prAwf8KQE8bBY11FbSNDI29OF+Dz+Wt+XPSbi1LYaspyYW+mehFZdQNK8wfgYt8me+/IWZfFYhkbQByqom795bHnocfDK5p90W36Zia/h2xkV5COu/BgSEQg7T/ixYf+V0oHV80fgztsB80erkZ+bPGfzn1f0LXiH664AqgGH4L3oX+2bmGjRxe4Ezu7K++BPKVvie9/NPxhOgh6eOBa44QL9EAxN/2UoNHGksCGypo1BoU+OvQ0JispexgywrmSbFWaukAEdpEMIwQqMJtMLI134ENFjlmXh13rSp7gSNJGfNXaucVii5EEvVSYj5xyVaprq3TLM989FBfgULYLpkHQuL6Kybay91rciqoMXy1GHFtxj+WuqAWKEP7v3Vq7irsOTCSGcU/4s3sOxgrmWoO+tQwcP7qi8VNkbjmkLKZXLE40HYQyaB+Z+YOAuptYdzLm6CDweL60ch0GVk0WZhFLL4M7eBb7hHNbsJNQjjdaKMKMAeMDmWAcCt++9JhTVAqzf93gFs1xZs52Cf3ttHtNJkEQYyqUv5oIBD4q+FB10tuB2JXU/ZGjgODPSldpdtBOFt8nk8hNVJ5sN6cCOhn7XR8taTnQSYwxquufKdn6waGmrPj0pfsqoKQbK2mUSHLwRpW0zimY+QxUHEsmoMhlp4boCxi3vpyA0HMJ6bTh/aAw3ed+FExjl48GUR8QJULfUHRQUb1eJ/+3Po48cLuEXXtMrMe6JlQyl7aIZeKL9a1zA+0g7LX61bdGPg+7r5+/2Mp3bMH98DzHU/Hw8zzTNtKrW8w0zVrn1Kkg9yXPgQltsnNDF/HiB3aYRSWjR5AkkHVn9bpOSVDNKPyYoQ69Yj+Ga3dr/zzD4lBrvS2EPRVy4oIBHTss30QOwyp7oo1wKlxNtSco/1dhJspCjXxJAiB02TyFcPLripxLS445RXXI0lUyB0gyN8zXaAW65kVz4jmCqJXMSWipMXDQQfAHBlibaMVqjKyJ2nar1EIyHWopfIKDDA3EecbxQb07JxN1nM4PUy0FbDG5k92DT+9LWtVsP1KpviTfuTigG1Ix2WGdUZRe6Zr4avvJ7BLS+pef2LFy8Arv2M3H14VRh09Z9ZKKFDHTegqHiKDjvTqnutzDAsS00tWFWZpmYFXeyk05vhw+g/pVJhfktng7yDpiPE//yjgOhiMxY9ECVwDcBJmKuXH8/ZLcLTW9anLj8jHWG7yUSyIhPkCjKSGj5N9LEoFSIGvOyEVZEMin4FTpecqEkoZ21IVWimxpTiHqTqbBZomBwiXyK7Sa81q4UVwdnJLwhz/v2s/wsXENh0CmmVTOwHF7/9EkgMDRBLd3wLMraRfbz+8fPtBIsHp3Ky4cTuvUxWOj1Smq4Jc5OtDkpaVlsntcIw0RaTKvQrTVDvcSs3RLkvimHLA4+q+IXXmwDvcDBL77z31u6sOH9zmgiKUiJtRiIpAyYcHs/nMYWWBGHj7zGNgEL0VDDKjGwT07hhLHnhXKpLwWEO1TN3AVwM67SBiyQRO/aFpF0dXItbEIM58A5VJ52ejJJOTAF0volntxM8qqFXoOH9LeaJmnVq+Kp1WOKgEgfNBjZMa9ApTPa3BWxZirtxIRB41QBfDTv0n5rrNBs+xfGj8FFxDL4YFUoINZgJqtJUo6RGLn+UznZIRDxIjEzL6GYWUAI7MZx6DKh7mCbEgQfkaF7eMKWkCnNu8yHCI5QDYjFxiaQ+YqgYwF/yCdYxlvwiEKH6g30uWpIE6Ib9cj/bMBaWpPBVnCVbberDk9uPewP6KqrX62jdQYKpCJwXqzaM75DoSZJahIVrOMOVGokIc11kop3SqdybjkDRb2KxRmlFgI29Xqgr5Z2zgTLKQUvHQ9PKkDQ685z4ie5nB6/lFgn2pEmGdOCKYx4ySC8mubPtw/A+xxYkJZQgn7afQQZC7Or+98TJ78HSns1OK/j1FQlegZ6X1lQzCvmsGJfl11eAzHoB9UCsEV6nWUIXeuTuFxhkjdahfseE24bnzpCKg2PR9WVHhI4w3DSgy1WMSdxUtkSsbBdSmR2haXGPMSeUXowpLKyT12DluoB5f8Im0UZk877Q2zvE4KIDeXpehCy7MGcR/+u/7pLrUE4r19g2eyqmzqbgKi0paCnsjxUu1vb3LJZvHuLusdUlSytEU7pPvZKQ8IRCetKNSQQAoIi3jePAATisDKkbMCkgVoGcnUZJ5Horh7hWzIzuN3Na7u006my8Qj+0a7OtFfqh4qqESJWBbHnJZvNMuc3LiZcaA3iIawhUU+AA63y3kvI2LlTIvJM5KhYqaOFvmo0ilr1mzT2ty2w8lNo3GTprxHoglJ7SJkpgnaP/K3+oLOEKBuWCsVWbbRcFww7rUnX74H7OCeuYa58byOWMuowhJz3fJqyafmnw2RZit82G2jwLscQhXqljWwiWjdi1+caIbaZGZFhM9bxn5d0eSSVMwGNtqBNU9k+Pj/vn+4e9o/eHJ7+dHu73nbF3ZFKmvF5s8sv3S4iuG4M3nnfiz8pv8Mp5//Lt+cn7/dPf+ufOg7aq3BuDiCXENtVwIoPw0uxfnPpSClKSuPA/8DgLA0Z4E1SJ9w57cPZhfJfZGUSCUMngmTM/Komm9G+esmgRiR1NJtwNOypSRbgD26WhhwD3JzkVoVdRxQmDGA9rOJ0Mx/ZMyTfsaJTL48Pjfm0CMGXCeQ6PORE5QjnTye3TLqcyieFNmmYJjQPhzxX6SsaRohHpxrqaCyDFYfAIH+ee76zrnm+vcs/fJJ+RAwozM6hZdElpw9///ndixZV0LXGT5DYhJrvAgtMxG92mRMSEwRRdTxTFT3hctK4vvszrBvhj/e2Ct+11/mOSQjrXg0X8K/iLr5udxj7vSHi7Je6raAPLWLgPLzhzuA31LUsPVx7pnaLevYG1cBeBPO4/nf/yKtiA/5z/8surV0KLzDPNrjrHTT7xEZyJRDKkTrjwuOoUBmQ5f9R3QiNqQqnZkRMMCXK5Fj+yxEfFAYPlAXRGja04sSj4z//8T7GLNDBpQTSKZx8ccJEthtTPfG9NJ1QEjZeBxbKMUpm+EE4MbKdIVVOu6NVNMCZTV9CE8ii8IivHbul1MmcGV2r7lHhT8Zyp+kt9nMe4LMUpXOGb7HwvQn5GlmAQHNx3sCYIdFBPkf5xkpVxq5FzEnM6AkPIG6vBa8Fb2NFGVVBK8p+azVZrc7NqSvs93aFBxuRKu3KAo5yZpxHpN2xn0Zh7OQVJ6ZDsGXiC9afmFfx8yMF90mgTQPjS6nySTK9B5WwLYszpN0mlrQO2kuibwWt04FXiPtSrDzD27q5pKZvNckuJjCgSZNPgEz6bVh7sH55LuMEoqrv2jCRoI/xSgCshYYqBGdJi/Z2tV9XYoyWCwenjkNO6plNbeJHd9nrp5Q/JK2fe+OU4wU2o/WnwcpBORj9tDF4Gfw7e/YA/fPcDHvURxmMbq9kHZr7wUy77pZEHu5vt5u6mY9P1dw9Y0NJE2j256Z/krpXjX49a7a0ouOidHLw6/Ssf6DiKHXZ7IftWF9ZWZ2ZU9eXOWM05asNe1ulcrK74bBwUN8F36WnAg0upgXzGra/x5UygWZrzkbi5Uy35F8FZb//Xw5Nf3l8cHZ6FePiKYKfEAGNA045el06uDvhqkgSiG79Ou561ZYna4CncEDGu4eoulfWi2MrMh5mbT0w0/pj/FIPWq2pLnSW9uBK7ORz7KyEAW5VPiAhpUXBOk6R0D40zmzNDIA3Zb/RX/Lqy/7CpoSYV88bTWDpX4+0RkR9TCiAg9u9CbhDsVA56yYEfwWYeyLPn9y4HCEZ50fn+2gKgvZVBcOzsjsinXsVdsuu2LYY/129b/B1HPGGE09ExCBpA6WE4wbaopHqQGiXRUi6vp3CQZInpGlSRaQdJPe0gneiaPVJExljDvMe0V3LWp4LNRDIDLAp6wlRMrbKfflCU1cPvbOxcu+Hkv1R8k0YZymfn/d8O+78H+2/6+79izEz3CasP12BVYBpYx/HnVUE9a24kVb/uLrKsGaIvQdpzWpvHXA8uysECz4CFDBmnRQh1itF62i6HxveAGhZHl98djGeKkAKWSWNYfEdTkeVp6tKurM+VlqNLx7F7a7ccqBrzyR6ra9tvuFj0tuHvBFo8X3y2gvPtnPiY+Cejgj9amPS9DkdB2zjBLhLAdBUeswEqgvXVlCMYEa4bQSIY79HKPMzU+OrNHOakHLt55rSMsFBGfFbL/N5kN5qNr0iWaVzFo3bcpgAeNdJmmUAdoevOCvckjZy5BEg5tO3OfnYm+W/Iwgvqbhbf7gWv+0h+gi6YaCRK7/w8r6NxTAu+wuWbwwuLCt5NLzn34XNQaW+NtkaDnXau+9pVMh/eyF1OB0jF8HY24T4w8NTZXHEqNqOuxbNrT69UCmOqSoMWPkqnRdX5eVTEsdlYN+LYXpkQRKGauyT+QGHu8JKFS6rA6A94jzLRoZQLyrRyhQgzWhLDFsXtcYw7xILM+evyCNfVCb8qI8hrfiI59k71QKT+NoYLeTMqzSFz5mMN4mrPp9RXW6Om8NKc/6dYGisehzmN4hGzSrdTxWCumyvyxIOOSN9CZ1KazPlzmfNNLkwxpbmjWV2+6dV4RuwvfGuRA7n18AZUXej5QGy7nKhveJZTOKBa8aSBbpSZ1rbwmuMZei5VYQzheYi4aAK2e5xhVgoHD7034ifyO2eR08sFPy5mgsasOc0s1X2qerdLOgVi5+4qwc9g6s8AA8os3SbzGGUClRqbA0wP5Vli/kRip5IpqH3CcKf7/lUnD5ftD03VDeVnigLhXF++Z03jm/pgf/xnM+pHJEPn8tFucIHwAz+Vm3SDfToBofNH/IDOyXjfjaXFq7zfHKkKUNXCb496J/BKdCscJQrHfnqHy6yDo9dDc0PG5o7cLyoP1wIwpWQHm+CwqhrLBQs9ZbdemAEyeL3TxRzzQg6cOoCcyuEyWOxaPWdWni7GjkX6j3qv+kdUu1I8B+RhOXfWa0734UevL+iyi9eXZ/4sH2PLPR6CfTzN9K9jobY47p3/Chdf9E8Ofjk/PKB/XuD/P748izg39XrB5Naa0hrifLwX7lKZMD6wvsSD/zBaLw8cPFT0KlmDoKRxIw58INV1/uy/y0mKVDdDntfITZQLSN7xzIhwJwBX+J6b3ZGe+kgVXFhuftk7PruoH53+/v7125ODi/e9o/75Zei6GeYYaoQneSlKhssXHl7M49s7xChg/4ZJ8NMLOonMUEVHfOp6eXp21j94//YMJhH+/fbs/eve4VH/ANZ7Mkk/1ZCVLPgtnmFTUZadE2n8E3+E5cLctsi9KR8zDu8j6tmHvG7xLV4VcU/jY0n3C5+1ZmRpcOASUR/MNZeELHfrAY+5bj3SCz6iOqRDkAD+25H/bsl/t+W//wrVI/9SCU6AValRJ6c4UWNBg2YM67wPjypsiqW43kMBXENJVhudc9z4fK7G9J4eKz82BSqLAXKCgGh/RPszkEJH9wg8wQPI7AtsOxjDntX31JlNnpGVD0dbBJAJxl2nlkpMDtnYkdJN20ChuW/pbeEmb5UhiU5YCZ12c/a/8rSWHhwXY59fWqNcsaAqLLHL0SONMjylzGLS21eMWSSrCKq0LDemYA/VHKL9AmMIT/CsBrzBShPwtNod56SqCfJoiUGO3OE4qSvOebOba/sNctTGt2iW8UxJuF3G2Q3ueHKIu/lNXzGbnfd6tHyfu/v7gT0t15o9DZMomzm0cD2kAEOU2wi44fqfpdHlxT34YkifgjCBf10mcOZrp5KMbZb7vpfqRkglr5s8VSqeucBPVAqIRMcpLFoaRKq4t6r+jLKF3ilMOt2GAXlFdl3t5bLYCYV1NMGfwzQPhmXCcmXAp2G+u63Lyp4YnpiwUqQsCNEczr0Uk88dTK6C4ELyPVlJeFr/pHdyiZqmxp2rjAGokfqxSlDu46g+uE1vQuGON2NMX7jPu4pMgMnVKaouUX7hwoPLfcNaDF9yq2rzSvJjelbP6lFqlDuedIMPYyXc/gKw7WLtKHBgdkRolxl8EKEhXza2TsBYEnqA1hI+rHR6by/f1EGQD1//x/v+MSi0iD86611c/H56fvD+vH/Rv5QP3170z1HIDy9BBZfrU8lcL4PQqIRZP1JG2/3RePoB9sZ88iZdII8P6OxloD+vIfEFvoadeKvRTNoxt9ZzlQgzByKWefcD6zc2m+9+gKV690OJ5RSOteq7H/b89kLD2WIwSCw9QtLcHlzt4qmyF6JjAXq3aDV3W9qkXvrppMr9xYO7SMQJ0H3ExZJiV9nYRsEhV6/wBjuO57Px52hZkmHui+wIZpU/Z2Xp6sozbnExhHkYUdUYKkVtHAgre7O4jadU40KuZvVxAcFCK2SG+X5AsF1IrPAWr2syFCj+MGZmVUBZU6r2oVQIBlM15onVTXIM5gYb4W3wv6jZJOgfFDiMp1ONEXEqyLEnawv0rzUvglO2O43GQ00GneHijp4HLjYryT/kBAdhaAwuOYEXKyArH5L74G/x+1nnfRyJRnaSLHpOJZ3QOWB+JbhqMOoKvn01kulA5mSeK2Ijbjg5FZijQ/fRAXCkWIfAjx9Ulc2MrrFTaIrd0CKUtmH+S09Jdv/So0n5P5G+E41CHsBdlkpJ3HgPrhHH9BZcFndxN5LcoyDRhtCO6ODpivwk5bANRsD9gnSjlTAD4GM8WWDGteSo5KKYNIKSBgzMkFUzjWIo1MsTDj++S8do4uix1wmMoYM5eM6JLOdDojvpcIRyRjPmXIYXKTgFdEb3iXTLLGXNYksNGFBcJRhqgLnZSgZJq9kO8f1Hweao2bravRrgJbr+EfcwQBp9kqBq3Vl1fkOjqPFVIzNy5AVHU0VBV5+lskYhjcwJ1huWJUmhsOFHfudmE3tigMQWMzpEsmPeGBwIjmCSJIB0pxIvftu5Uj5vBD3QsdiJchLDjh3TOEcauEpc6XA2JkoWFnWsUa325KkanvTkIzIoct2V0vYSVwWDHrL8mVn/yCy9u7xr3E20QQkRqS4xZYO0Irdfh8HdK8JGTT9s1JSwkfPB5vcSuG8SIfLyB8zey9tiFAzDloZiJxVycdBuwB4m/QhyoEbB2AQlicPK3Ji2ZzWyRgu1ADL+tbDdDTEC2fAwVVp9scplXtxRsB1Z7dtG0ttL9GpI2eM7h5wyQS9bk/5fc+2cRtYCa5xIP4SOisbTE9Ru4b5/Bdo63ifhMj3vJl6Y/h71ouUlBUxtn5fq5PZaOhkLWapFzbxKJX9bwmeSJZQt7Facda1MAaIQ8AILu7tKjvCPFUKjwrFragqID/nAGohcnZSDF4zJWgE8KcUS9tGMgSaGSnmXCQ3YLOF5h407jgeTeyHnM+8Xzw2Wy8E2+EkGYBF/sAnvuhyvidicnvQN8KVZc+wn3QHJkE2GOXb+weIxegl+hmwwyWI1tCuGRZgVRgQYLEZeCfpx6AlaGGT3t3cInaVWJp2Nr8cY52HRrQdEyWBelJGoZqlwVwd4n4rON3zDs6AhOsk8N6/VgjeSupeRFp/c8ZoJt/zctCdNQIl+TLR7/Z0DphkXSqPUUFUGtunAKBK8Ct7VlMjMP6WSTTofc+m/dph2K1P8PBlYDoaawSucdIun3YI4P4/qS13m3a2d5lX76qpKKVKEHC1qlqH2SIET7Ry8SO6c+g4TTrB65A5mYpyCw4lXnpxeBidvj44e5y621nQXcx1Tc+4iTiq6UePrKXHFIMTHjRBm0/hD8h6rkMJght2qKiFMLVsjv4AtVCMldavS6EOQJlXUSr0Mh0UWdxMMaZhuq4NJPP3wKKfRcxgL1WpujRuy3pM44P1/hfd0XkI8fz8xf/zyBPTpTxvjl5inYcvYuORLslPwRhw9w9s6T+kG1iUFfRFx2JQnJApOZUbC3uTuBjzWnwYvXyXzGKsAokA+C1nz7jGAJFN3yswYL/kx7jGLw86ZKmkhjSPMlpfS5bxNx8mEEa90M9dMlSFxKu/KQ4J0R6GbkeAAZKSdpJ+k4g30J1aswBo7jUzph7DYM+QNylfYLZG4+Wx8eyuKY5TUjNCNIg6ymw+cgu2cs3qquo26qfHvSM05uyYzJCvuPgDJAYM5jyc8/hA3zHQ4WYyIGcclzL1BmOW0LiP+LIqJ2/1XDw5vbxdzYn2h9oRClWL91TGek5H/V9xzalEwa4m6N1RWil+1LMuFkwnoJ6Cix8OEzcCby+MjLR3i6AtLIo9hnAnLGPYVpIRcSomk4DGd4pGmTzKcKgZxmDDz7IWAK53HIou3/PBnDnIfjl6UUH3ST0TZiETsSSHMWiqgzlvezn0XA/58A4r0L714heeYcxRb/5vqCP5VO/7kDBKy8KXYz93KjelbjWV/05G1u5KBfZ/jfygEI4gAAh246kql5PhkqJFc618PeqpgGTxzDvY6guzox6IaesSGoDfYqZYjPIWI6hi7hQpOIzkaNs0mMidIa6Bv4KKh2bBumgnI8WfEdpKXCgkRSDMUQLzGwckJh0Fk1sNbIRwgGdU9R3eHLvZZor2/WhYMzUWZRKiHNUhH9wU2NX/wTM5xQw7a48So2eBYPTmjgJP0SjkNBYuSxMbYqS3EJuITAvngGsQMOgqwzDuxZpPpq20eHP7DGZ79nNkIOFGApxTnDI+X7jiTX+MjcpbuIhgQHGX/5HMY41kiEELI44IgZRb74z2mre1Oe2u3McwdMjJ4IhoxEmsQDaNwALVvNWqgI/EEnPxU1peP84421/WOtlYfprU6HRoLyCrMKu+UWxhqxm5B+QkYbyv2Lpyux1KrPRnfyjmMDf4+l/vDQB8c9DLnJ5QsHpa2VrsdHIUY+Op0AjMF2KfFPxi7uMHEbRcFYjK5c1t4Wpg7UGOnYLl7Ysf5FA4JN69OucE3AXphnKP1IIeABrWUTNK2/eFJk1pVuNstdlw9caYnXNnKs+zgwQTHAMHMxsNHnFkFZ9hJM7HBVTQIMOj0lisNHA+hvTPcbTcSbPwDMr27lZfprnf61Yx3R82OKhT0NHG/ZhTZ0h7pJm+m2c7fjIC9iQyJ1I/pUk7qo/vy9teG4IbJwA3swpJSiaUwzsJHaxwvPa+H4G+OtQ6adC3A+sJKeFfT92b+92Buva/BZK9A+JvfC4OfkWCk3DTkCA81sdYYBzpMeEhK6IClp6FSqligQDjpQiqdYHDHhgRD3I56rocWuC0/VwlqAdPLXnqGigFa6Z50Oq9bcMF9SGwXZC01pkIEGjliRCqETeGq+mpqkWahATknuPtGu1Mg4eKe3JQPxKGZkFkymAiBPgc7dngWSB4ZKnzc5zj6kCckoIIMNy51Qpllwp9PhxszhOuijDCBQm6G82aUIfZm53XjwyCCzquNu8kILLYZpy/wauqy7LJanJ2D/QMU+VkgZPnLBSG3zcG/MSp1BpY62G1yio7D0aVPKm9rQt8F+YdX2NtgYmExlyMhgiLtW5vxGagMy3HFSo20yhb2u4mxMIpWYcl7sUDGc5p8WDrYYxOstjJ0IISieZvzaaQyeZHoVh4hIN6BpbPm1VWG/k7XVHazbiAakNTGrT+EKOB2qLutenNrp96sdxpmVCe9435k5Y8EBSdFZwSldq8gr5jRTQevrnzYfT/7gI6ebmLtw4VFtrFu+Xi+bsTu7eET2WGd1JWMXbmZ3zNyRaWk7uZeYUnbyORpY2XtfJZFu/bd1n7rZtkohpZ+wleIkRH2nAK8UwUYeYqvcM5tpIhM8dfu1Lz5LNoa3sTr2ZryveuYG+eMVlp/2NwHtE96MwUnpCC1QfyzcUw4Fo7Vl2vjcuvJU7iOjaPWds7Kdles67sfvm5h3/1QtrII//zVhTv2Dg7O+xcXwel58AbG4663Y72srjZq3FvWSmFdOZ5Wurp8YEnVIp7XGNLL16u2D7SsQayhZVoNfNNGHd624XaFduOp4kujMpKMBKFdfYpgkYAiGhFn4CArLZ+zcysSXJkNmFqhaHn3Ay4TLEm2GCCTNBadp2Yy+A5seHlRevzN44JKnTXxadOnbFCE13V4anVkdFDKGdnUbIKmS4ORXLxn+LzShbT64K0lmRK6gJyBMVcqLpgayyzMzfeIKuP019AcIiM6T6e54JO7MfOgD5NZjGB0UZE6qJVuT1ei5cIRyiNRmyejcEU6tsnDdqcGU7H1YU3bSQFVOHy1k9PhHn2EP410cEK5XelkPr57HMxdI8a0j2PXFBaUS9QcNM7hhLCsYX91Vi+oaAILMU/iNzhHIJ6wYrKG9HOm2iuhqqP0JK5fkRmz09XdaZAzJhPhrYNT780TAn6i6Q3FXePzi1wL9rniP5iP8VQdtqJ2bkQZkhWrB6+cNlLymrZ/M9czjaiwLXIEl8AkxZR4EkBEhSwW5Z9W7pqypawA8z4SHquUlS213+EwmUpQRQLg8C2RmtQkKkX1C/wbJc5Gd73q6GQ9nfikLE4iS5hrmEhtJ4ansOvfYv7s7HTLsLB7YmKMndU6CSVDk4haWRFYhBsKhRQn+fQDJlllif1E6uy/TFRWQO2OD7U73+ntvjWyLihDi69L1H/tpav3v0yRVBztVOXEVbZkjvoXEbXnnF3TolUSSj3dRyquVPmZI72v0X0+x7bZaKa/U24bqcbFAwPhqyiDX9+U862w7H/wmpctjiy+dd9KlVTBc3tbXIqNNuUi07zb1SiqM+6NxZ/1qMYmmC600GZGkVzMxlohXI7xXnNRsfUcdZLVumd1PiTNPQoO+kf9y/6Sl6o+KcKWxtN1KfISwAL3nCTOxG3IfG3AHFGzOh/liOp4FJbeWhdL75Zi6eAlh62FPUralalSYE/hLr2rIdig5EjkHcqUZkLO/qlWa0gEDU6CzXCBrGdXQlQ8R7yq3zLRPvhkwc14NKJyM0Rr9+lC75N7yJqhX32ZiNzieMmBp4+fh9ilnZG8Zadk58ZiK5uleoStFxT468zAHMgsFl8T4OM8ne5JRoQ6kTrTwTwelALp8qHvBaswti4YKXapnZJcyz1z1argsVlpSpjA7jbUjNkWHVTkxemPa0zMr3Jv+cyQEURmDqJgH/kvJnYuqLchTPfHcTbGNEzLkUdBUvJ/luePcjUBuvhBeA6vmgjMHKVDLnAvnGz7RbA0SQlZxZ/5dEe6S87EP4Dnuzkig3SO6QLJ6DoxbaMw66mGCg1noB5ckLRS0McXWLjnxySeaPfGnFDwCQ+LOv/kQAgLiCGGNk7A7YQuc8ICaP2GDpA1exl0PeZ+OqdJQ8RLnnx+89jyBfodbAKxDdNOp6O2HLPIRNZRnFZA3C0/eLyVjyZvSTTZ+aD9HQR/AxD8KZ0ZrPYp5WU1+hEkmL6hoh6VetwXnGrYZSWgUQDJPyQdbY+PHB3IJsmVdaSIhpUGnYFUwZ9cO6VqB9RQzFlijgEjhdXsNIK7z2CVrm+igBLuuWMombZ4Ri1+JakCduhYiC9W6YHBjIzUEoUl72f0lPERsOu2SX7KVqhUmIY04J6Yrk6xhVPoVstVE7QDOn4yEs8IjFfba5kIGHG0fLW7/kKvOae5IDiofowts+DkzBtX4s2zh6fdsWJ7aNNVRUeeJueXuIhvswWyCdOZ+j6CytlwjG3q5KLwAZOpcgu+Vh25TOz6BRX+PXVlvwV5JcJOMAimwm+pTQD4PHcqQasSh7pKh4tsA++AXW4nUlJAxmZBrL8o+KRfW5tfgaCvBs3mZnuziQmNsNxn6R2NiZOQ8Xw9noQjznbgs/A6ZbPSAmldXFdSf2dJ7TaJs8WM789bYAPEcfx3WBxaWLz51YTasGstJBr7R8att9fF2tvLsLbyHsEaMaGZUq4UWpzJAbx+L9zs5rSmRqnNiGwC7oOSDe0Jj3+UQ0UsKCxrg2jDzkStdzgmTamSS4G0/zZ7egccdvk4o+BN6cFT/pal2NjhfysmMwLw4nakxlFE7M2fZfpilp9+FRyG0XMmZ2azDkxuP4dLuJ0RPCa5SQHD1qYgujfdfPlVFNzc3wEaz2xZkFlJp8RrMv6QuMdogSFsYh2nvdK8GcuhZUpFdnuIs9JMp0kNwwam3Ipzm9xyUCmYKluuoB44j8S/iAYHeYoxXUpddi5kcjLemS0tS90S8/H0v2iSbZbTeGQbv1Ot3ixGljZOiYHNzbTECCTmyrGCb1E2k+bJY7LOFJLG7p/PXg61DAjLRuEmJhHng95wxfQw8cNhwv+1kZNwvXUNhbkWX1PDOEtTq3vDHE4Ik4yWB6wA2Nvf0fI36ojCheDOKbSaAWMnOFZW0Krt4Hwrr/3LFauh9WN4VC3jslCJ45+UChqNg8BlTq4IGZsDfAY+XB7BSY2sIbQ0ZWnP5YGcfGGLRHzzW0NvOiVEr6o8EhUk6ls7iAQ2cjKkcOrALWwyDbeCivxICCGRs6BKiurTTUJjdron20RU2mG3z9UEuhRFm22dDxFtSdnCAxb9Zc5Ud0uEihqJOEJFz3yzNE+kVITcQZUKEmaO/NY7OjzoXR6enrzvn5+fngfvfuhdU3vxkek23axh7LtgT0Miiq2FGDwN34cIi7m+mNJNsvvbQTrJ3NQS3mLa+JUS/C2zFfVBGK3mTzEzT31HZzNpx5a6LawBNResEm/rwqxx5oyZVdtcm6vENDB8eBZUlr58hK8O/68bVuvIGchNYfSWMC6c8Hrymfq81em4llNNdGNpr1NkZQFr5IEEMktaK6ibnbp6f1LAEmmkjHfKntOH3E2swUTIDNkrrDbg8yeTcGMQLxewualAtO/xxPsjU97zmRMs2tfE74eD3aSdjDpO/B5mSmP4TH/IkjhLEK1k1EEaiTVBLIhHTMX0R5vg+ihXotgneavoSmyBK9HwXIkS4tkul4JTosPIYTJGc5MVa6pQT8tKxIhuifFVCY+r8J7cGP715Zl3NynVEV262pMoY8fNJ2U79xbIrzy/xUosn8R5BV8zfDXGfZlSVxx48Y357d0G78/N2qwTKSXbnOLMuL9gW+7JwJiZkEqxYNYAbheeA5sdJyZ38o8sP3R+02pZMtXAfWrMqRKWUhWD8nOkY9LRbizuEEPkhvKYc4GynHFaxdxYhSxktLi9vTcj2nNKhTLrLOb9IVcgLHMJHv2NKeGkQpQQvMFNyRcGGD5JnjOllVRNdvli+gG0CWwsZTFHw+8kmOdZD0nOsRXr7d08qGTYMH2KkZiqOTH2bBFB042UpLE2cqVRSogeTWhIfUMqZBZYqQZXndbVdmewwzyeSaOzudvZqSrjF1puMkiSI2oEkPkC06uryJKNY/ncayTw5cbV+LdD6OEyYXtQCqdVjrDwVFiQDXaFiVAoLomu0Hl7/kAaZPz7xekJd4TAQwkaLsCgq/ndmUjGGVojqWBjpl+KGIUnaeDNqJIOAxgKCUhN7Kmihrl8r3vMnbUo0U70kMyAaismaxRCJh/zGHBHWUl75OMpfS57fZSylC6QbflbcCmWSN3KfPsHZfXw5LJ/fgKSwkjJ0iw6UnfFvOcpSuZctr+IyR7XH+IvVODqQW+qW9AVL0U3MOm6rSh9e7+geU5Oz/oGDZNPRsVQyz3MHT9LaSd/hLPzvSDgW6ct9aaWAcKoJg9XOP0r85bZsbft2mxLNIrX35LngpoaFJyH5Zvgi7R1a3vYjjvtgZD6OOoLNEvD019ekAolWoDOM3p25FSPcpAjY9JpgNwWfNUfwlovixirW+4s2vXjeuMjGvuVNIpzVhO9G2O81l+2VqOJ2TkOjJRXCP9/9r6Eu43jSvev9HPOGQBxNwiAAEiCY2UgkpIYcxsuVpJxnqZJNMmOQABBA5LovPz3V99dqqoXcLFkeTLHc87EItDorq66+/Jdgv9ru3CoqxEqTL3UwR3eTI7CuizS7rZ7n3KSJRTlWjSH6jnDKSDDqeEZdGoqUYECxcOtFSdGm8DD0Bt1qt7ILfU/3IMHnY78XvtM+LaCQqFRwbnIYGh2Pzi4es+5PFg18ll8nWhsRB/RUIBUSoHlJtmPrKeHCRhcV0AOH2RZbkJ4/bRnlnYFUSQ9hJjem448CA1FdLe2gHiP0v2/VnFKkr/w6VCGsAiCKWVzeH6GxMsAXiLip2q4i6UbyqhBI9ZlVFTD1VkLKDkhfIauB0NHlsYwNTDGViJWl8ltSrXwEmBeGv7C4G+6cW8rqAv4CCWZ7i5Tajmmd4FXInh9E4EocUa6H7VnOuIbbhpByxVudkDfJVK7VHeEY/+Q8GnP78w7YXSEMZRyNGFIMwva0UYjB03CO0qFg1yklJ9t/kXwHavk0/5wj+iA+goFK5cPk31Wc5u7NMsYJ4bMVPisCFNk7KFHlGJHHyXlCOxYBEPrl902ihxzYxH+44+jS7KDYRTXz/4+xr+zJmzfBg1GINFYGlPQ5Ic3gzfpJZw6s8o+By7N4WuBwhn3yEhQIwt+GJ7uvBme0umdmEO9mZNy5pSHeOpgNJkU5KrhUWAEyfW3bDq5pNSI8b6Q/BFnS793nfIf4vk9AZrywAfSkYDMpGeMSkK3qVROnVXJPKOUAQoVjXktA2CjbJkueGfrm1eXm5fdy7iwmfHYaErDNTe3C8JExzQ4s9wbrALxaGMe8Pij8+lsOXPSKw4+rAcXF/u7QR3+Mf71aj69e3mPmaWa4DrbOx3akAvtEHccbRprA6pkf2R4xujMydV99D1B33xA4gbpJ3oahWpRFAAumRM6YEaLMRfXG5xf4/1hJFe72N8Ht8kYI0Yyhlr9gP0xW3dJ2ImEAmgug3jsGqkRX72/TlFNQX79IPCWZR6U8S3PknmMPW3SA890GfvZ8IwwCH/oXizTZxZ7bpWiRhvlqNFGqbH/DEuIxzpMlWUmAn3GsAraax0jfpbzTMVaFFyc7/DXPMfKoS9QcPAnTOTBnozSbDaO7xkri80euqCOeTWoZKC5O8HwZN8YFjdhsHcHlJ9ddv3u+bO3xidLqIPnj2YNxv9qPBxbolGUJD+pwNMOf6z74KOXL/Ak7mAFEyIAGXIMhtVbg3xLdJwY4h60trzV5/qfLmbsBgibGh48TW4Q64Dnqs8mx44UKqdu+VPMfuT9CWyrfUaIpNREpndeDeBDm2Xfr/r1UAKtzvsTGqz0oW7UhHdqtvmQQkd13p1NbM7JYSN0uWkZ4H0FXbhqai+lIwvRG324pJnbrbX2+hqo3QiYwfrWoNc1D6qJD2vfW2JM+XOq59Zgvmkbc6rHqr7BqaBaZ9BtD9o9ume+cUfu1m6zlQLyVD+Xq7eBPVxzXt15u8vra3a2ut3OZk1jO44dQpUbopeDBUFbEQkZXmIki2sK6Oh+58fw5lmlOKHI3COKs8j9WAq0L07OggWGONlg0J3ZFw3K/+ewvW7IhecjUfHlhtmlgTEn+EZppnE7813uPNrtQY8uHB7aSYho2JrOUV+E0V7pzSQyLrdOuBNrqd7aGHR7fHtiMXMK5gjMXZoVzM/FSfqSA43wGJmeQoATXAJWbVYCcTjodWThBBYeHF+xxbTqHQxJtAa9DTydugPxQQe+MT6o4+5DC5tkD9LYTyWJxJNusbqP9iuc5e+21rvtrfWgrmhmI4KyMtTSWS+utPHAbm8OeusDo7uxTV+7/w2H8oS4FC6LrLyDw2PVgxdXOSceBSPDfHG8VMFKQd3QNE3tqP2l1nggYrT1jHGufRnj2pcxrv2Nb36LEv0SUSKp208XmhaCTK9kcalLmY7i+1rmuJv5TzSwoYlWn9ZCrAG+xsgYZY71PguQMl+6ohfHmEaLMV92c3zZ2hx0NvEMmghoVpZVPawjMq9ZFsgLQnWvFrp2rrcVsHiQyF2zIBVWmYdt7/OEStt6ThJ5MzJghE6SjwnPUqDw1dbA3HV46GFbSNCcdaK0W/UGLWOv4nVtRpZu6Kl9F+yt2yo2WzLRGbQ6UP9NtrtEWrqJ2+hdS3CUoXaBFCymK9vTplTy9QJqnMZfzq3ZO5EmR+PEGSLnjSqpYp61GINW1XT0rEzP3KKokJqT1kxhS0SCkjkzhXde94c0QN/TVT2rmhZslNR8c8RoD2eR9M9bXZBMewNQrE2zfhgZapSwPZIre5jYUFRKZGgub1Sx60CHR1TpYcNCbc4e4l9tonFP/zIr9R3ftkmjsTFGP/D1bu5ljKkGZV3bRjETtsncTvySIInn4/sqrTwQPu/RE/jf5rmXU/ZMVbiYtfY4OWc0E2ocHloycz8veUtUcujd38gUT5pAuXdZubsNLomvDt+zDgEq8qVRki8DnfvmWNwss7C+NlnAuJkN2eVtcaa+Lj9LBYSODYhZGuTEBFWNZ+nIWOghsHm1HItUb7c38OXKnWGxjIjLOYRZfC8AIZH5n7vELxMBSdaJwoTkw4DPXgQbLsd1+5NRKo5lXZSDcVmMos+GRqpYgRmKnZ7NphMUslvvtEHPhstA83cJZmBO0MPs6GPF0RhNsGyFM/kTGkQKStFWPm4uw4xVWp/SHycZ7LQImglj+1PzLtrK1uMvEEaDFo8Xu2YvzrFT8oZ/4RfzXHV5O7MhYE8tpc0oOlmUeo8ME/VnptqpnjS5syYnWuNevIqgS2G59fx6wcYwokrrft6gz06rGA3pt0rRkH6rVENTHOzMZH5syN9o0reHZwg6TqguAz68GySsZQrj6U1KITlb6/Gdi95/52dSnRjeyc+i5j4oKouTGDNN9KDCAi5ygK36cCSkNJ/aldiQ4Of5nIaWJqMssuPqT06Pd8MAE3aPT4c7B3tk/x3r0JPKZeZGtkDBKmTRYjqj2p3p3QycbKWStwNake2mVUC+HJqlpNltOgvqh98fdEB6Opat2Ww2yuGQE/JzOJjJh5PmXyykFijinfG9q2YRe7U0wDO2o8VrZMPHlzQzhQ6WYuw6vscwvDHLjdoSrPXJ1fwe4XkOh8zssrRcQjX/Gf2O9q/hqKA4rSqboXADkhRWidIQy08jUdIPpV5YCB6ciSgbb1I1L96eHNQ7sguX95aEZTadEndx/JO8sVniCB108TiiJUhajCYXUa+DoZ3Bg6SPKHtD4NpQJ+Koybid5vOzKRUAuYqRUIjenojHi/xat1Iw5FcpxHxK+vhmsOOTXSwlIHKA9O73AooZ6KjzTKbdZhgYxnPruF6F4x3m6pqW1rOSmdwj9vnxdkqOD8M0eMKDsjh1BTdbbxqzp9dpa9UivzCrPxRdZFSrMUoYXyq9YdjpzO9Df0LliqG0JX37ZQICiUiVKGOpUgwOnEul5t+XU8oglXOSxTus2QmAjhA03jaZ+hTLJWaW5sRjKVVb5yYhKfOuDiF0Wv/CJSXdfLAAgvp/SqiAi7kiXkpVU0OlMnH9d1b78Tir7UDGLH4J0RYvF1OOV2VcfUr6278d+XzUbiS3ZWQrAuUADAXyjaibNUoDVpAVeGtW3HGgmu9ppNpbr3GgTMQaOKk/ajM0vCq5DNrCRheMOBqLPUaYGgLuhVBz4fVJqvB4LtVtErENuczEqBzpUk4ZCs9i4EseWeEAkfcnuPhfwmtfTUEbfrCJNuC0z/LBN2ZeVJOYg+r7FySjeqUdQ+GFbU7V+zl6bdqFZ0UlT6Q7FDaz9piWpmEyN0alNXPk6zZAmogTrr5PcmaT6DzeVUukuTrCxwmZuZ5y+59Pwqw/PhjBNaO2nQVVLF/N00sJ3RHysiEKOe8Itk5wsW8eNruHcba8vIRXg72XgBZV16KlUxmDW/yrFrtQhLvV3B8B7kYrB9ji1z0pmoYM2wIo2Uc581nupTF4JpDqiKukdN6ETE1lBgOyuB7cHGzf9WVvs93rX+k9nue0tZ/otLU2H3TaDPPbkJBDK0pGkRYBU7Xf9DonMAD5mwVwOTa6oYMHcsdnt5+mkeZclec5Y2G1/+XnuwH8gzQFg0sYC5zQDEZaxVzyrPx0obyj9Z5KLRPS5Pe5nlTRcToVgCFqymHD2M1t1UXNuLmiKBJwufhCsVd3jL33B8ZAcsajUcnzye+ORFP5KD34kJCFFG3YKbEQdYbJEuRyWnKmZe+QMrbiNVdjp8/C7f/AnPXd/tFw53z/hz0xYXknVhyDt65GM9iHypi+z9h1jFHNMyXpr7+2mJkQxMzkIEXxKLF9284Fp7YKHqejb1fLO3QsipjwvaOue2fdCHhiQ5aOzQ3Mi2TvCQDp0TzkrqEmII8kN1/T9TAvVKACYvK6GKp06E/yR1jbRgKXhfB9NTVtF+lXMyB85QM+R/t/j8/xr1nGnrcTndR9USQhNnFYllUQwKRaePw6uDkVSvDJ7wnXit+SRJa+n7yV2IFqfoZ5y1PqeW27FmQ2CWyzFCqWF/yKKbpqEQP+GMWYqemJHW9SuVRJqRoyj5V8m3d5zdVMI3cCu/ePGbDldvd+CK24bthy2XzVeN2HslwhBdaLUiDXsiwADQ5Hnz5kE4OFa5p5623KvF/VYvorapCpl7tn+lWtM0B84pllq9uQQxZDltC9DA6jNDPg9eXypjGwMy3txMjYyIckiajbtua3XHJkb7hzuNeoSS3rPBZ/IMahkk6fu0gm5zki78QU/o81U00DoN8KAUYF78tI6zEGwGVXMfwQzShBTJqbgPL0XGy2xXuYn2qpC8onID23c/xgI0cE+fcZiZgfUIPtYX7S3/x8dPfNsEdMTe9Um3EWry7sJSCMjccqlYluS6T6j3T0zxK1/oM/gBv3T62mptLpuLqpi3Jkr/bY7DCeWQ2xUXJOQTDyEqxI8Ho1CtLNp2IXUZnwcvY8U7/zVFN/6zFTX6hpYOiKkEPpT/JezSZcjhMbd+eSegLSkoJLHsghX+iZecMLbYAY4o/TJ3xaUiCZfqiK8/9SqZl8OsbLIgzkD2rNL68nDKhRkzgbLE+vmytl5cQNenUBYCquqreb2gJQZ7QwsuG/QCbGf4Lyo9y96Fz4l3Kb1ijN+HQZHjaz/V+pQAWEInXNeVFXvv48Jdi+xDhPRieHjMY75kLcUSC9FLGIEm6QF+9aOq/gC7rG5Y8ybXdGDSI6PTGflHFGeW1PPaJMjs+4cMRuyIRtB2YtHzQGwKKWaVMQ3/BVjkz5jYw4kTY2mkpFnTu53yXeuwtT2KpUJbGM8JMUyjS+pL4CS/aksslro+frGj1VbUMxLulCFbQsI2gLzFW7yYLaOGg3CooyGHEoyUua7CJffT+58rJktwmswRG+enf256Od4G/TS/WPJOgJNxFW4BMyJBeGiNgp+Tp+SgVTqZSqK0V/R3jmDaE+bQWyQTqccR3RR+3l/c4I6ch1nlFYjUuNI+5EoGam2xjDTbj62Iu3TSeRhJdwRNv5bIqD3LERZSY/J/74XR7wdjq/eTtfcWJmgdmh+62gdOWAeX2QirQInS6QAPlFlqhElHsupiwwfS1JtTNNKYZyorXwS6H2OHufWVD2nJr9g/6grIB//Kas1X785g/BcHLvRVqXGYslClqyUuG+McJndYEP9wurXinjbbRIivHw9mN255CuHk6yj9TXwYiaMgyQM9NUX1oFWJUHzrAA7g+O5+yUZmqzAZSzi1pb0V47P1N7aHydLBPBNZA+TKNdrubTLHPmB8F2Co6n38Y5Sq+pMXqB4LaVtbfxnKo1jYYFaAqZ+V7gnrwZK0iM7XE5jR+zfgxF5aZw7nNVF5IR21QvmgXn8aXAk/Pi2FIhfHTa9WFG+XCxX+t0xwYG0PNU7Zk5abP5xr4+u01nmGdsDm2B7TAXedO6g3pu4ncjzE1Lc426BZj7ugJnyQ/8Xrp6RUMjG22T3CT7kLv1aoeGwK6mNdAM1krMJZtNzzf/HRrX7uMu7PW1YK96fijQNhByW1XPwi1/3JjLrSd8/BRN1U7fUOZgnUPxE0pxqH29Uz0Isac4O8/3EI4S3uYhQ+Z2CfW/1lG4lfFbv0kzwrLBLahc+IVst1YLW2QX46cp9aJb+T6ATvhO1i8GGWw1ib/liZOadJGHIKSLyynrSuwh6NO8Je0hCj3TODK7RPkO9pvNpWvTGRe0mCdmZh1cwjG9uRknqPWginE8WjFrKHZq/KBxsZ3Jo+pB1fplgjc6IXgfBWp34u8md9yFdCQf4/H7jOGcbeGudOT5XCwZCsicZp5PBpBr3kpCHg3ONvc4nbzX0EWSzm3dC68NV5CH2izxWI6hcgyU+0OwlwE45gNXr1no+hKX4aVwY+5hz4MVrES0v9vO8ffqewQAyS9syHaO/WGHW0apOpZmsJOnvLrP4AHVr+Gl1xbT0CHAmo2b4ODdqMnp+1Al2cf0JyM+0UUrMG88vJ33w6aseBWoOdqzgsoJiZEFqggllGeIh2UpXY3FZgykyuMYRM7NEymKsmyzVsUTzVzhpxRHMoNQDxOOdSzuXVA7ntQE2t0CUMlPzlFOzPajIgbU6LNU6mnJHgq4h6om7GoMI3SOFaXSSjbyHpI7OsqbvjnjyAcc3uVMf8KPhRk28DaVOIy2T8HR7hgYnOtZgYpGOMguX7u8uZGAF2dmqH5uJmBn80TOV49Si/Nlxwn8yd/0R/ItZ/ZpX8iHgdgqOS47Esa1hZyq72l7Lu/JZOTQ3FggIvhMLIZGk8NFe2zJNHxLqcp9eFpbF+NMm/9uyH83+b/dlvx3nf/b68p/pQ2sJ21gvS353fo3//P9j9OEleu/ZEPYPIkkFdAMVulHn9NDJ05q3vUiMGor2d6/tsj3VcpS9AeEQkFWGVnuZMigQvD4T1e1AOlvSEfr3JxEMRZEQeg8ZkkrRG69ZAR6cl7SL/t3KFElQJSX8+l72iezSnMTG3sXdzCGYqHRWCp64Xi0NnqNXyZvtZpIpA1L3IxZmlxJba5A93M4dK7xCevTSO67vvBLerKaF2aTbmvqfzGOWzLTmCHgn+YUEHm1/6e93UGVDZnmrUciT/2zZDn6gnobZj1EINv1oVMhYU79it0f1A//1KgVxtYTuCQjmu8fIdFkrmFLt0A8bOmWaaZ+NSWaNz91ZBO9kAUgHpQF/U6r12nJXFneRVRC0auYp1XDRsE8WmNsIN+Uwi1yjhQhTHlW2JyihDPLuZlsadmiV4biADvUw1RqRcGgzMuhsi9zo/5EvRL5BYnJuTnls/P9g4Pg1XD/YP/o9cB6I76MqD8iZnyJ9FkGO1rjk3h+dcspiAqb3ey9rrDg5BaN97LkWXVDD+fZN3Drj7/Go/eTOShlF7mmpUAw5XTkCQ0Np1kntUHVvcOqncW0F/PQoiePlym5+z5VUSTKHhydm9nCWIIkxlr16S3/RFjuD29Bzgb2zF/No16C5knXQYBUGcVHVMSn+tAijw9WOE2WT0t288q85a5IukLqUj8Go0wQ/5vD5hhAuIhcsYIkW84I5+xb1RM8/CWRUMDSCAKbsdyMLzvro8teIWMpLtJZMsZoGIIKE/wxK5rWLmZrJJrWZK8rnk8HycYjBJWxqVBiuxbkJLP+LQJZkhvVISwqKTO+PcKiZRHqnAN773xdZBMqlnTLyp0RmrLbHQkKGqkWhOSiq+WC80CkniROxwFFGy4j4n1eWrVbSqu2y2nVdrTXbufCh8iznElqRSYpEd1GNxCkLOn/Nr00IoyHvSCcCdcdKLUgVaLt4ekbqsCwtWpcc+AauliaKRz/xGabfIDWh8OHuXVyFteWSOI7jtG4ReeynLp09bt4DsExlyuiddWSAs0RrxPwUUNCVp8MW7NqhiqDjfR4DWY5VvfD6vJJXZ0DLtDqHPzbbD63FS0ZZLOyNy4MtBWVLSZz+zGNKXOjFCmMYOha3raYrJQ1CMTMx6lKN9myQVADgpzg+NeCOkVsFZCuxgRQa1aVo6I47vFSSKqp4ts8UIlpHIjrqrfRhXFJuTEgkDrkVKE9vRQ4ODwsAi2+oegGGds28bePyyintiyVnUKx2sfpnYA64WgWU3m5wAKgPua2/+fS8PoX8thHi6tIM6PzclcWbwrZY+YnA8sAhcMkOSsnGizmyyR/rMZmoLxkM3io3hqD6NMxZdRzdXN1qX1s/Exf/7fs4C9TC1klNeH4KieRTeNL+SdJgF+lAjKvHF7kiwcEZtS9Gc354/da8UphQWD1i9JKGmxy+OIkh8ryD/H2q/HSNnh4aOUCp6JGYFPln5Rdhtxc6qRPWfTE/hKawQ9+jc3pkiCCZaI3H3tmDcq7GHh14naWsdEZGpl3ThBVjeysnetWrRW2zukZmppr1LvdCS5/4d2oeTCrP7/wLmn3kuv17pYxNPMnv/A0aTBbkvFNx1K0RDIuaJJak6Pds2diDPRKiIudMuJiJ9pr5Y2tneUcGNQqIDn3qiag9EDZE6p5XWUxfB78qMbmpNwIBvVsyg2T02KbikyZJEEdqMJ42Mhytx0E7Y3N4Mo9RldFoZbKpSnqk3lU9bNrtorNe6RcY0vQBKxeN0p+65tcFBjwNxJ0kcvBkFEm3qf3Wve2RctPuwT1CptFsbL578azzLljlE7l1ociAxi9Gl9EfaXdtRkPnaTAuJRBSd+73qNYZesdPp2Go4BY94upRIvSc5aebDisMto0kgwTyvoZPqCaCWhz8yd870gqv2QvObi/nCOPseC4lVSz0Zwvu2Qcon1DWVMzf0gigdstn8rqF2e7xvm+OA2D1y9PwmBnaP7cPzJ/Di/Mv85em//548mfzRdH5n+Ge7s6npRgWgxFqmPh7RF1GG1XHLysIHY1EFhN5RLo6bQO9/TDPx3pEsw//VJ2s0xEoKb0uXBF7CFLaPuN7hYMUXGa0kk5eIwX4NM3N7Yjd4wxiNelyl6+XOxZYkBOhPPryvO+plnqjrSUTfJETLkrZ55cg8O83yN6BFE0p7HsTLxVv+Squyhz9S5ZjiKNj99EGAoROczNmui0GY0QsEgWmKNWt//5mSnNRPU73/xmw37h0Yh3aTaWtCOJP47tULNKlBeQCh3wN4xSq+2fHQfdjnmmJYwrDiyiYyIeRRDozVrwUmaQMlFIvzNJiUGlFHuu2NquSNvwDQ3rXaNY74XE1jNPqK5+Fj3m6C+5x7z5XhdBkurl6YGsZOfNKxbXZiES2aZifrdreRFk7ECjD9gkzElQkU15OD+pAqoapfiVUf4KClRqIufxx4D7i2jxBa1UV1uhkZuZWHVaUsVEp1UvHhZ7RZWWhbMrrAWyT9g6i3u4LmWzpUFjxen0MWCKUBktCHC75x+cqA/6hg5w8Ai5EH0QVRC55IjUJxzQTN0GyBAfAtJ2LZK4rldQaZ7XCCLB+Yk42oc/MykxuhzHk/eSPQOCJFRnRkdEQdlSPQYtr1KfVVuueaCHJ/K7FmKoLCFbSqcNWEvmsa6q6yU1L3GigkVHwYoGs01lblXGh8fqnPLA8YTBsPI4jZnkfMkDy6af4TeNjEu72b1Cr5K3X14K0MNhsfNysPEYc0jGJLa/yvZ/DDVu5+L0dO9o58/vhgcHx28PgEJXz1EuFYUszclla3eGYu6bcI/YGmb+XKPqSWUz4btQGcky0LfBYTx/v5wxYa2ByMGzpwdBsrhqsllMzm6Rmqz1tJoS3ZzL6SSTzRDfDQy6uDW2gqKKPs+d7Jdi9+vl2P26cSfX8+6k8N4eTUM45NF6UmhlbDfozii+IgPHDt5bJMgDU6EP4V9TJspxUmRRx9FVGKPzbhmkcBho6xx9sG8R1BkMwwJX8tOyR+D6qxduQ/aEgbFuTPGj4/NgGJzuvTYEs3e6h6Okjy7O3xyf7v+l+MEZfXBx5L6ndRyoX1mzr6aC0iVczHs+L2jvDSPlylAvfhwzpCrBilmhjEcMShv+orR3xdHtp7IbItH+IRL3n25+iHfegZw3a2s9/DRDp1G8XNxO54SVxciVaWbFdxSsJgTpMCJSgFldK62Yhb1eH9TVO2zw0L+YE+sASLtNF9L9wyM8qDcYgRkaPJtKOINBc7k2gAnvToL4WocnelCHJN0kPIGE4UgJQI/eol57s7yLJ+lPiR09SbErtxUKM77aL9ohW3vxpTwj3qSIXj+680jf95LK/k3170LllQfacPq/teF8xTYclV0eZtlX51jLmM3aIz0nGyXF0y0rnm5pcgygwwdkBTJAos0rEfbS5T3/15gtLrJCaTYqXuZf7Jz9YFj2I9VmGd8AWy2g7bdTxo8K6r3mZnD4MgzWu2G/06EQQIMK8GnGe4rE1piGroR614yKt9XCCoDQBVUOAfGwRsIbhVzMS3pBJBJDh2Hr76kLQqyByfLuEiuQuGPwOxlWbH7tvV49pvp6qFnLyygRQNP7Gm9co/jDsg6iQdtuiz4yWKp5bYE4KLQdBeSPrJzXi+AkPzqUvlfpgg0FcDYBKJmmoc1O30zn9yG/dqhVTJD2YDPZf6qgEc2HUCfowlY4I0xlEwlIIcBUMjuLYhDRG0TWVCfVKI72dZtJBRRcPU2bai32eG5eA6sYQOdqORieImQjD3PkZMQV49DjJ6McmnSM5rBQmoDDgI1KHo3L/94f6b++T+7DwJ+q63ZLlYns29HUztCVLAygwaHSFqQVuTxEabkplBAKEjUV6xASK3z1FHV2cbARCZI+e59vb5MJzWHE4oey+GM+M179Hq05RP0RHm/rHTo9hiTQMT9kkC9YozLgGVOJJdzISc3zVida3zAfRJv99l+aV9kHmt/BqN1Clvh1A7WxrLbZ+qQhz2wRoF4EHiLjsBrSvpFg8dceeWJf8EFVXGBfwQMJg1642eqErda6EX500ER7fa4u2ebxhELMl+PpZdAJNzY29NqOjkzMmsEPDJXOEE68U7Xv2sazcpUTNaskeIKUgteO76V/i37FSKw27ccTnWmaKZXWoUxprtPUat89MJ23s/Gb/fArBDlv4/E1l0M3fZ0Cs+J6CrdbsQsLEniAfzr1RecrSiqQaQUpZUiNDDVSZxVl/0Gl2Xdnb/ZPDveOzv9NZNl3che/JZDb/6BaKJRedxIWDegSS93zTYXgMiFSpYI5Ti+v1NzGaCiIqfX1EOg57jVFxofBhj74YcG1Fa0b2dWO1n3BRfPZqVOanJTpdLxIZ5K+1vXYu6u4pnVJB7Q6J1xVIUgRDr2N40O8v185FOqrZI1iLKYo0jb6cyGzYF64DQ3zNCNBdyUaVzctZwptWzfkCX/PZSNXSk0iyhKB0RbmiKxP4YUKcufoaumULNamrKumxFYgLl/LbbuLmRBFx+K6vJa1OpMpURnODwqiO12BECUmyCaLfcZYGk0U6h0WkbN/7GuhdN++mh/PfIQOt7Wqnj8OYAd4h1QzTnCM8i8cGLnUGNzGwBE527sZ7K60OENrZZKF+ax45Koq5LxsqPvc3wg+ZDmrGlzUCHSrr8bxPL1Ogb2fG/qaCz8OpcfY3PvN3nBXh5IOQZiG9Gl8hdiobp6HrqZM5LwG5FlpcTSZZ/QB+AAjQCCeU/jQHnndJ7dn1plsPtE/K8yyYP/sDrjz1sdRS4AaXKkmnsqVWWJHxjKTWR4hV0DfxTP8Mx9vtZ9ISWFoS9ZDKlefGJJDtzXRcW4MiogdctwMfUm3uvPHdpdzC+FghKIa5exqMDiE2Eiq3/yugDCACR4c0prVCT5AsRT+Xi6m19dZ8G/Bm+k4HcVoBi/lc4yd7DYg19USusaHuqvkiv33bbjm9npMc5btVE6aLiorD3XkV3tjsN6KMGyy16iqiWFnFPVVY/qXTACiIgd7/SvR/C/EtlcXdcReLM2+fne+d3hyMDzfwxDs3b13h8MTOLM7F2fnx4dn705Oj1/tH+xVzhnV3d4Fee621jf51bRmzQIsUTCD22FpDNq+nZNgjrFRDUnANwllkJV/xhQOdJVj7FMCbNm4AajukKYa1z7ELo8E/wlcgsicR0loAZ7twhb8CSEQMaMzC0EAEo0wIepDQtyOmIvWt9TzU31o1FtYJgIqX5rcc1Exj2wQvsMsD2/iOTssJTzbIZm/POJp3fgVGBR1coicdn7ROgRsgMFzazzTsybjoj4trM+r9VICkk0GlI6iMkTYoTXTdM7h4XauMn80/Snh6/UF0LecLD5SfJsj24K9ztQJXER9LMARoPa4OeDi/A3yjqen+3un74Y7O8cXR+dh8HZ4uvfm+OIMtHmwr/r/+HR375R0Gd/cp23VaZwGLxL46fHF+f7R63enFwceuYdFYtenvTs5Ptjf+TN3sfEnh8PT7y9O2JQjAAjeijtr5roXpBa1BRrD4jEgCm8stoMVpCxHIyNHzTVprMQXF2Uq61efrxTC0GMkgismTC7CFESzkR0lxYNHpOM2zotdsAa6JBhunomVegUY/JCnhbFUNLceo8Fm/vWnizzP9/6Di8p8lycCI6JwmquPvkAjPiGEeSpo0DRTHLF0rZvT3/biQd8JzZqr1lsWUU0olDo0m1xItNmzA8xoJiJaKefJByM+uElmSQfR4PjWhABLCGons5xIyfybePaAi775jHGo2hfflb74rvTFd6WPvit98b1V/fMbv/XL/2I1+efC7yoPQmVUXy542rnCFgrq0hjJQzgBrv64RYSu0OWckhcqpkQsMNiRxSyhL51BpJqczByyBXnFOne8YVUGxrly23EbUyq32eXkdiNP79xJQacoFbZOU3+AIs8eDXZO98DxVouI0dWNTvvR2zetdu1X6Gl3wAdSO2AeTqC19ARzuhh4G9TbfR4Puf+MU843Wtc71gAnQJLlbI0KrMLKDu76Bhoa2Dr15hKyo8gDS8mcMVcxDoI1hYP6esOzrWECGk3WqKag7gryKVJfuZaqLqqw4dvacQ6Ry9nbpNAYR4QwHYodSfUVWNONptjVvjUdVlDggM0WFvB5O6Vow8C08cwWa3WReSSGBFm8vhnzd9TZkqG4ykYvaS5bDzSl+BJZQNDe5nauA75VGHUiuAicdqHmAnL4PqZzwUpVb7h+3e1f9q+lweW63b28um5tNtz0ehnMuE9sjkw6HEvMKxjfe2AaYvMtKOMDn58CGTI7hmYQKH7DNS8hCmY8wwQtI/F8kXsYRVtoeTE9+iMHQSK01wOy40tEHV6mNxoK4L3hZYJ5LQesOXcY/y74w/Yj4Ufzt23iXlOSxT9hlTW5DSXC6FR00AK4U+MVGf0saLvDKFRQUaziTH5pzpDsQ/M+xLHKsPK94bCxlkaBeQ3vVn3D73LCr5K/gL4iYVPxw5ecuOZCq9z30v2PipXc58LVZ2Y/9BW+JYm0Q8Pv5LNm0Ouv9frQpmQALCdodoLuDm440rabfAj4qItt1opW6oVvKIJuQfuMwrhAdZBKrrW8WlsLTozXvKRDrsLyA79wIyn7eHJencL5dcz5Cf888fx0a+Qbvxklt3QrdIcwuHYYfQ49T/Ur+liE77cqeCGl0fg1Ok2u0hmOzTsRY695L8+ClN/ae2l6kF1XGUsNsX3dNPWgWWMBGTSNVfDvTUcHiPjMm8H65tr65urzfVZobOuppQv9UmjM7K1ETwal4AlnT7VBiwsvKVJqAw+ReLQk843KPH69fxSKLH+9d7R3amQ5Sy2S1pmH9sMzcIxgTT8VhDhHxqZXxq96vFDBQ9GU97BRoerXqZzHel54ZQkpq9tBOUuZAAA1t6ZvyrpurfjGjWeXz8ncCaprpiQF7QRp+ytB2EAABYvmAAk6iyl2SKqJNSsAHiXXTCuWelobFl9MizUF3g5JKOEpqv7LhBsKXiaV4S94f41QEYrinNEdBvgtZ6xsNe/lCmGaemz6DmQPh8HFyS79l8cfhMH58evXB3vveDwR3utsZ2jWurt/Nnx54H2wd4S/ZUFK0/jPO2DooBi8cN5uj073/ri3Q58Mz8+HO2/eOaMcKDB7+c9CqWaX14zntlaA8g6vjFYA/K8GrHCeZI/hUKG2c+FGKiClIp3/OQUDryRMNfMECQ1KtgkkzjuVyZ0ie9qyWhn7COpetI3qoR6ICmz970nc/6v689VB+l9d7ABVipWY+QdJncb2LyNP8CSRJvhXQWWEHjJ5vuQu5RKuFbqGJeDXd/Ahi40oEpQ69noYiX/VUXtYA57VUPDn0E+wiClV4eljjXP/LFnsYKwT8nKnJcGqF7h9p7x2hf4MzigDre0wJJ14jYOyxEdbB93ICXW2L4t6AEEMkmAyuZPLNWz/a3qTTgi/68YOM51/4PxHMuP6xDvuCpKgKx6M59iCvwa1dFAuYz6djRgkN1HcYx4UfSdABySkoYo42X4b</t>
        </is>
      </c>
    </row>
    <row r="9">
      <c r="A9" t="inlineStr">
        <is>
          <t>z0c0z8o4iWbjDc8x4pBRLxNruCXumHP2m/fmxn6yEWPy+1Prrwct52Dnugx9k1NrA9nqMSpfXjb6wGViRshSuUUBEbEmU+otPGxDRjhYwMsv4T2TJSqb75P8t3kbmmbd7r6MqJtnAqy45Zj8B5uqv1rfSraSflLlMWl2Xo8QkyWhW3g5V4Q6x4ZgzsGy3UCxHUpDHBbU9w9Pjk/P370cnu+8Md8zI53uOdGiwuaH4/1d88WrC+4qKTHYWiC3Ohv+4P+Zu5PHtMZbemPIiqgqN6tcIx5WCuSGbLmdi4LsYzzj1rRyac0KwkjZcEwmyzvaJ2Mkk+h8hqe13ip5Wr2yp9UznlavsjtpeLIPWhmwWNBMrsyrdV3574zxjkm8Ug6GdOnxcLnQ0cJBOiKZwjMooqC/qUbxZl9nRlAUM4CxkxB+lI5+2ES89WkdSbJY60/Fwcnx2Tlu0mw216YoyF/jxzBP+u/BlhAhAEiin92ns0V8Z3zk37X73Tb6Wlrrg04ruDjfCYNXyWjvE75Z78s3rXV80yh5bHH+7fTxbHUBct8+ZaPT82680XkuesVVogAxBMpNDQ2KyOUN6GAhr8NhCFed2DFh5E87GngxnVJV+Gw5vyFoHS5CVaQte9oMkJdQI59g3zmnDa259EDcGitDh3HNEk5tUPv9739PXV0odDUKZaSYJfaa78wVuIB3hsw9vqzBPdAsRaZjxMZ5agCmItiyPWKsAc7W0Fue0DyBHwZ9b4khqJTfkAcaEFzPiMqD1jsRvKP1bmSMxbl5UwsDAkbQ08Qb0IJDVrvKpy1D/RPWq8amvjg5c4vhJ01ofPdwco/Adh6kjrEwSdG70jJShh6AH2keSmD2e9RNEF9Ol49CSHzhvLD2PBlh92h2ONckJT+gEXk8J5EP12Nfc8QDpaS+zAIzx2UssMuMkEA6QV2EKdt5s1RDdpyUT6h/4zdMs/9JeOPX03lRRDWD4+tgq1M8exRjdXLSRLOOBNUDobCadx/k082Ihb9NNJHct7zqs+cPj9LX10ZMsC9G4psKGVw2U3b1lge60Mbi4zaEUWF37cZsdlQXIXkLQdXuMJ7BVl/qo2R3vWdD9xNao8j5VbJd5G5eot83AkEdYLBXOjIRn+bmwKzl9Ct6aszfm50tBgdSQcpekJ5SUMeHKNzIqDLXqSiS+3FwmxAgrKK8UlUvbZQ3hHXgoTKogkE5oblnG+to9zZbRDkdXppnA3nHwqVoIVrzzVnevuPt5gASRLp84BlJaiRkJMrbffPyb9KbW0BbsKBuPJEIP2NE6gZPRt0wNxvF6CxzB40KsbGtx3tnpPY7OE3Etuoc/NDud4JOp7XRW+9dFjwE+u6O5oq5m5pjODsfnp5T6Vrxzqwk34FMtmlVNND0JvnEMcareImWq//+w3+v/fe//TcKKMAqWVg2GgjmxMXSKfv3PKu6/VSrev1hq5oL9SfGTSd4QjtLRcIRUPPsnLJLGfH0m49MpJnraYTo1B9Lf2PE1XHyRNoh7cMmpwI92MFyBkAIKliCb/NsM5t8Y5734hoq8Tp1x9tcWXcXj5JcdSlHBmi6dH7l9r615QzNGXRVzTByDWiMuoqyXSxND7KaOj88M5tg4bydcd+oSmlwApkWypWgsrkaVaEA9uU91/iv2HaH/qGFquJki3TBVkdGIGUpoePCtubmSEK5KbZQuv2Ut4peBLUzI1nwwBZep1Wj8U5BO9xYb7NkImvezp/kW/jUVcS03DDsbZv44TDlO9h4H9dwBWy1zEacrhg3I17YcljdfHITKC6khCzNwsD8ZceOFte0JEVHjbdriX6n88YH3XZHJnqhNn2BmhMR6LF1p+qy199dQEuRpmp44AI+RgrsNWmQvYlnAwwPuJ7H5r5Ls+lzKbuaLLa9aYNScwEwcZpRxi0tkVlxs/a18xafa1T/IdeiQ/TU2iaNzmA1ULkD7eORaXaWvsc035gpDZxkSe43O/rXt6PRCqbRbWPdTdQehrao/6690d0KPXa2p3qlpfIqN3HCXTZkJk7ROCwd0S4F0nCirySyrlO2vsyirPXkiyD27nICKLSRXGp2gR2nFNffUiHntB+HJQoP7so9+PGCFE499qwK4BZfTsli8LQS7LksQS9VQlG8iQyFo6W5OqhFzCFdFV92ikRevA8elmtfyT8Q32j1ezyoshQyKP9mLF1XqgbWIjqU+uNUeycqNpxjhW5uXJ9WQ//sqY8gUKdU4hAWD7qfN502trqbW+udXrvb67LeAAW4Jtc5QJV9y4iPiBE/tCFWzH1zRhK4yuTg6mA1Td7SHmBkbkT92ty+w+W7COWm1B/jGRVetJF5SWCYdKyh4DSw3r2XypNt3+nQGjyoUBkSLRMMfcKHkWCktzHTIrXIbRUMUgiilGuNLzWGBNNvGNM0+PEbwb+16hMb8OM3Wqp3R0V015w31NlzhlBE5axZmUJ+jBLkm/PzE9fFOJ03gxO00QA2ORlhpAvNHM4yJCYqrPVOyVrvl631vrHWuzlrfY+6MXYTDG4xr2RMXrONGN/Er5jQ12fU/KJ9JIQM4bcawbjjQQg8PYN7i8bJNacPGPjUmMLcZZAxjPKIH8kz2CZMDdRoQlZ8VQde0VRHed6AqMCNauVlRBiseUmmLL0AE5X4mgyoh1vLTCUBfyqio/O4o/p/Du1ITAxE/xQjndo0BFPZGFexndyIFo8QZV/IaOMTWXBlY5tukzn5H7/5e8ydevNe9O/pi0//vpa++PGb//CWASsBzRp2BIwKlKrutreKSWK7xLhbmLuTD45fv97bJXsdmGV06pF/eaMM+A5FgptIBwk7cjTBRpp3UOc7nRSbyIwa2WCm9bfmjKoNdHOCWlRDwfeCUBHbkfGkMw6EwDkTpa1L+x4CkMw3klDy6b58Rm5w5h6CwLO+BDCKaBD27b3gJRI56JtcJZjtw6Pp6BUJ/ltH2kfUwWD7zqljHSkHoNskCpnE6TXVOCqBQbgjJZRV8qtsfZd7nb64AT7xhkhFusSnmeIrfwqBvSH2QeafdukAtyuwk8FVkevUNffyqDJbXWG03vkNGuQrQosp5FFePbBQpmizr+E/BlorwhAv8MVYfOd/HokS+hhL7JL4am9CgW6vXUQQ/T2wMSiIZo3DNDDQPNkKQ7s7aPW9MYOuKQHMdn0fjZYzy/PXfHRiD3nWCpJwLFIeBjJbX3+qfu4/pp89d4USf4gVYoVSOCMqrxgBocls8joOn4oRKqhT2IdLScnuiCf3IiT9ikYjfPN6+Qlq9Imqkk+KDla7XjhgnpuVNaegMy/oGRJIjU6Ol5gXT8bXVG/zgBJ+sg525eWki0lP+ig2I/NtZTwOopETuVpKg3IUmXhu7ETsq9USdde6O9eieRWnod9Si6JTri7i4LNxCiICvcJ6pLIKp57ZTSnEPbkQ6ZpMW/6Cry+WKsP3mHvD87jKAJyIygNzdMZA+/N0WcOgax589YHbeqfB36aGsNzYkxi44Xun/EwuqCjM4mo2UVIM49i3OOpmR9M5dzxvBNRXMAiqFRz/Yu3fu5teSpve6wWKJ2ouHY1+ZUw0U5LDKVGdL1dcmP8dsf1OSwBkyYKbLqZ3CaEMjTM2huklJQgP8Dqgl7ikP0sTcsP0ZGk2AnNuwhV5zZPh2dnb41PU+pztcZ0Xff7D3un+qz+/2zs0YjRUHDs6X654uLQJMevsGTuAGf00QdvinLxdwZKRawW48+v3WP9SVgeJRx74arMhcnAXpweOFwx30X8eTKbzSD7h9kgtb0+xCBZNxlz+W9Dw1zNGrLlBhO0fOwllm7t9UFb8F+cEk9Ffa6L7pcTSS5K2O5JQ17ToLbwAxpLnPKfKWkbw1kZOqnQUsgG+kggVaN07rLh+khMzGd1XQKKciaKcT20mma3rkbmALBxHcgu8AtF4qW7kMeulPLtzo2y9bJRygW703h+nSzTBcp5Z3D32cWrGE/h+/+TEeEheGhBzVRyWFRe+knyK7eXv9o+4yFvSgCzT0szWv8JfV+/KN4eOv6cKioejC6WlB/XOpkTF8Es0llm/lRckabzj7y2mt6B9DW37BIF1mdOPcRmdGbVhcRCx9F5MXzwInhqznlcpl1+dN70ze5/OZlJ+oiVzdKkskIBonNKgFu/YxzfzlYiCiBNdmi0Xb5fvLb/ys1NGUdyleEC9JjcwBH/Ntd9k2k2hl65T4llndo7SbEaEMS+BsOoLSkzwb3Jeq31qDxSls7Gl26/Hy+Ha0mHUMZeDWm0Vmt3fM8wm/55GAUk2Ymt9fWNzKwzarbVNzKW0vWBM1kyDzKaopJATAV0GkTWnYtljHTBejL7oRsVUtcrkyi1pYo9mS2MwwZ5k4QUbkLkJMKh4T4KCZ1Esg++2Gl+9U8kuPpKze1zll37yBybh7zxi8LN+Axt1KJ6roYAQx9EGVIE5XS2PBj08EFno/hZZ+JVBR8+LmiQ3N/NMOKquk3mNYzm/SRZAgNT+RdYzyvcOCDTH2bkKYNJIcVk6hHkN5I0mfUAPUZJkkqgmUJnxNacQ5ffPzhw1EnkNy1oLVm6j+U4k/Vpwsne0u3/0mtEh9Rd+IQ7PRitvrYdBX3pQo5abWFfY8O2Vu8cTICKqx1PF690oL1IfGpjz2GmeOS0K22DddRUBlanhKRkbdVggocR4rVW6r7atsySomxSezCXm3iKj4alFFgYcK8FZeBgiNhdDQiGyDUZcI+KDembTpryhBtbExviMYrq432on3Tg2m1c2n/TkgQ12SzMvMiBP8xpu09GIhwXycWaPzespifF4pFET87r26fJwefZygi36NriMRzeEmKH9TbqeES8PG4XpBvOETZqY+q2QHl48r4SuNIW1v1k2mzdLSbnhOAH09RuuYx0YQqK/ecBNIiBqExDth2k6srWgMl0WGQqFw+fXQ1wz5jwlNfoTPhsLQZswX0ypuUXjoTxHF1KApwtJjZNnoT9sPudfIahvyUu4UJ48wdVTSBHv2fnw8OTs3ZlRwu/wj9Pjg4OXw53vud/Jsy63jUP0QRjB3DFjFAGqqpOB54YX5Slkt/n1bsUBCZNp81m2NUW+6JW84ToSt7IwwYijGt68ShBTrWvmSm0zyCk+McIvop0nfj6W0iRGbOGkW80/cLE4RjU7u5Nmdky51tbi9JdzbnoKbOJCSCJqVTwJl2Sz1QJumUjRhIWF2rxbSshJL0EemnrzmhsmUlJBnoI3yIw8DW/CjgAVolb2cjlPXdMln7LFHa7XQCQIqtFAWN4bkaZ4rL1Lt9dbT0bXvQghxMOKjWyqd6+4vvIk6Ceuw1v4xSM1zu7BOrU8BhWDAjtImNph5WGlmYLgs/Dm1/j6uABEApFUyT9uavP1a3I9DOst9RwdWawVSGKtQAswxEEPD1jUvd/QAH4VmxpIyyTIIJCuKVyUpWiyO+2xJNiysRcRHq74f5UIMSdysv+wdAM1GK57K1VoZHlRcZ99kvYEk3qjdurcHE/K3JO98gtYy6wpIz68YqUZFCVxcjybjVMu1ZC94eVTEoy8EUmsUdTP7u+gclvrNLmSb0Bggm3A664DXjfXcBEbAs1uK7cdDdgF/enEIywHCNeLM/Mp1yjN0uTKk71kYFxTwQxKLTldwHaCBxE0n3LUm6y+O6/NRerQEWT0zsfW93A5FZdd0/EqSO9nzIvsXfdHnc3NxsC+5tmSWk2ul+MTvFx2ZkyfAHYCWETqsTJb/Vs375klB9PJzVl8ndTtTMkjMg8aDWMsekRcHyXYF6yFL6DZ6Cenwe963fWGpgsSGbRIyil3AnzQ20XjiE9xza8AzLQN3fWM3T3P9CxNbOShzznTs9WO9hhN1Zqep9z7T6pzQF4K/iR6jgRJzug/SoSh+CbRCj2bWrFDxBFbsrjWrmXAVWjScDAU0iRc505P4mA2oysI2qTF83Jg0TRWhquyCmaoNyo3DGT1i/hSByGpZajV9NoTpy0UCl690W31+m3zf/nUc/V2YGKOeRUtfbyfSRif6uDw+73JQttTeLqDbGMmA3K0Tk3me1EjXwbR8YNWWOquhcFro1fIJZx7J1U2XWWlv5NySekUeU3FjMHZ8Gj35fGf+LehPI2g6qRUw76ZBxTPdzRMUdlWkt8Kmd3D3RkygbPw5nJ8DFJivDTYubZGl0jDMCMFoqkN2QgmQDFCJtH0LDT7Iu6fpxs6GM7o6QN8jHGz2QWjuGLtTNpEz5vtrTay4YZP06ss2DUe1V+SZExY+vtB13ilPGXG+Kn9dj/a2OhE6z1jZHCId/3kINobnp07LnDzP2TVNBGc8FcZCKAZ7Pt12qRq5pkODQvec+4b8V0pSXToNCuJilOSwqawlQhp06LrYRzlbTzi9DySz5f3hGWKcD0zYMoadxG/T8RK5vOBMjK3HOo+D4ITMLMrtS4WoQ+84vy/nBxI5OfV6fHhoIrQwiftfxScHw+CHUCqGJ3+1m71Glj9SbeA0nyf3F9O4ePPOSSi0swscewIRHet3m61gsPpZD5N6MmoO1oER28Nd84pDmjsZ/Nm3a1ey6gFTbF7x3Y1nc8TGpMNzPqpPMzWU+c30OsAmqF/Z8RW2Ww5v7pFUxttMEg3P2vPobeMiLGVB1VoB7PxMtNR9YSbA/6I7BJxxm7wiiziCWUBIrME1O/n+ytTnqpsrMKHXBS5isXcGm+Y8VAgL2fSwsHMY2yS1bSwbfaIcU9AlxSlM5vKE8owxZvgOjENzwi0AQNu6AJsQ8CaPT6qOMioCib4LngSrTzgFvF01NDq9ajzm5/0K3fxT4VpZYYpUI/Q7xx4NOsbH4rknDNBwiBngjxqa3FtpUp2oHohdswaFlFexUvFQL+gXUXrFxMqvUIsFB3Ds1v4JAXVFRqpaLkitCI2p85UQpBE01UbhRsF94Bol69rPO+Y0ibGy8PqVxpAdQeN7syMUNRXncvvutG8H83lS5gDfil+lQ1z/uZldDLc+X74ei/oBONLjhD7NhXJZeFTFhRSU8enW1stLzjTcYOxK3AtENxAlVZQOyBa/DZ4tbe79yeWoRnbuCOE2xH2Mzt1ozacFfLN2nbO8qGUiL2eCuQidOLz1BakAj6kyccaU0VJA7MlVWkpQgskVDs7wsgOvqHXJ1Yv6520Wr18ZXQ7P/N3Zh3WFcxlcWwX6ns6bnyA08hjJ24jvvLKF7Q4WCoZLiWSaeh1FlNrAbXhwXMeBAQFxE+o65MghWihDVkTGfr5NaN8YdXKoLCfbpSG1WxtXafHWLmmbDvMGeT8ltUeW87yrnDTBszpzOh9z8YTx+dx/vU4FzuFcHaOv8x+zVczWC2sYpNqFhH+oIwg8YfwBiUoYMWxIdD4IiB1vsOtfi9vXOYE0rYEb/jiV2avd9QmJQgIwkiikojHMOsyQ0M0VC+wUw3Nbp7unV+cHhH9U8WaTpkj0chuEUVx7DBMP7nr3BslJ8JdwGheJC58kv59Sa1dGsJ9b2FxbKKKslHjMVXkitC7R641zbh7ff4heSaaRWmQOJeq5eMh66UKtgMZh3i1JCNvoCY0xC/SyezHeEeoHjfBrWe0y+TiBDVX6/zWhUXansvyFuG2l8nkJh4v58salbXlWZRnIugUT69hWfaPgwG5iIgl8dgGOdgDUxFl3qBBB6BiKLiFwyjvYSv3nV6gXDKb2mJ3h9pkWzuk8ddshbMjq1BdvB81HzYuze2P9bmmFs3BfoRdruvAx6D502wMwMPp7B7fNB6PfsibV4Yu9DBdgQexHw4qYqmWeS9fp815prfaqIg66GOv2OuEwqe9OD8uO7Ph04T+xRkXYNgtfSbFhcH3w6DXb7VabbH5UJIO3WUMtetYgpjqWhUbPXi8icxo5Z0zjmdslkAhHGTRc0Eos9qRkQR4IbGBODloTz8fLCCTjLqIKzYf9uDqLTIGg9Tl22Y/n4slbkcESm5wQurNEYAh6f3JKI2ZB2nOh8TCpx5ffK08ns94z/SMB/bwHnKFsdv/99Uuu8G3VBziaKSJMQzcWmtRaE52XzU89nFJUoSAxeq8o6YbV4ZDsgG0/4Dnu9GcTTzPd+M3z/fXxwvPkV8hrMwaJSSZrMYi89jn6EFPKtW0ye8zBSVHTR8LI2nxg/JM7efGKGuC4Wy1p2ENPRgKzkKa2BOySo+PSseFMijpxPkWJYgPYAmQnZ4uvrJvVlrV73Q6tk8fRBhhzphOVideyCQpugvGgPUJsF+gr59NEgW9+Tkk+hh19YW6IFiVsspe0QNrVtVYHUF/2k2aPLjqgfWtyc5CBP9h9v7mO8zeyj7CBe611m1omWzBa4L/UCxjnQ4O4a7ZYxYGyCBkObtCLQTdCdteWzCmLxPqg7m7W3J3aAp7JJ1zRw3XbMpI+7wRpyqeHoJaA0m/iFLiHlCx1KnwKEOCF9Yy/SJkVMLu1hfx9EqugiO4H7+ppDhLYD9+sy0/jZRmaObwFInGBd8uEqcXiVLU+QNd+r1rYrMNNGYZzeCI3Enizh2LYiKLu5zHE4KU+dT0UU9GSTKLRsDFqZxgXriXN6ReV8x+JFlUmk24SRZn/O2fPn2qN9DWdGne4I5hJzjzHmnhkjVBeXBpe71PhRjW04XOmQoi8qs9fpAmO9TmK/uqxjYQbwHV/97cnqO9twVR66BWq3OZNOxSz7Qp6f0UYhVH7wCouhhMDXh1L6Rcl9OxQTpL7M8byL5eGsjebZX83G4r2msXsNA5FPUx/cmw7QA1JnNj/2A4w/LOonjHzO+sqqRtOaWCoBjvUBhbLe1uC780cn9X5hQwUOh9sgjOlnd38fxeYGfSRXBqRBOPPT5bXt5x8jgGHN1jgDD8Dv7wqW8R9JHP8dtXVERjbmCE+f5IMPjrsjaqEf3PIVT8ae9t6AesSOfz3rCObdhUvaOo6YRv3SEPKHilEbGbKcVw8VVX+6zJzN/x1ljYO5qaHdqdlGpVmqK9EQJOEoHZ/J7KX7q1FGXEnc2zaZiEbaezFfdSBfDjstW63PDu9vcYre6Yu4l6Sfma7yuF2uTGHyTwxqy5whUuc+1pEyJRJVF8X6G3SMZfMK1xSCheFDdrmyGDRHgLtenezNnNej1lk4I7xg5jHjlbp4vNxm12EOcCUi4bIzRwFOMBeXqjTvw0myX0GFIt6EKEA0fUdRVKsh6NRjIqVbaxHJLYpXe0ne1CZTmj0iewWlC3UVrriTYYoFgPTneAyYJPgqelurNcswRxJ1tS3guXCMgwj0+Qlvl1NAmwIsnsajb4DD9S1BIjX71pUpeoFgVt24ngzWIgZscDLSY5LVvBVWcEshFfzacZx52JshQnLDPW1mRBmFGZlBhgpAxX1skOwV4Yc4iqTgXJnDtCcDLinOwqGVVryCnzia/peWO6o90Q84h0zBBWWBXdUWdoFKuwbe+GxyBPYcpKNhT+cVelLnVhVl0rXC3zVtjQoW9sd8st9cdLtmSeMC6eFmzrAV4h4ibdknzedXIbzsxug81k3sHeKDUfEMEPyPs2m+iGFeiZ8NAI/uPIl2+kN/hO++Ydap50O+NVm8/quCFHa/BRBsQvLE2XmsmSUEqTGn9jO9DGBzUFCK1EaiLI2mtYrMOMU3upzn009hRqIZQIuJG2tpMX2SgLaYjyioi75MjkrfRk62LzohHNCZCa1IYzSc2JkcwTiPwzJjmjLAfBDxBKmjWobQdTKtSVTEzMqM/IbFSLJbrEpv/OHelYxAgZ+MzV/Oad8B56Yllij03i9lUcA8Aejk8jei0/FSD1CU+Uh25aEKQdo2lB7PjFp67BSTsqpGWCwQSbvwImFi+kshyFJXtuzAo4m8bJKEs8Ua1uBzl+EqOAHpD9V+uvsjGeVh84RjFS8MYcTSvM84r7uIrXmkoo3A4XkD2o70IKEOzC9DV4AkG6nBlX6Hlg9A37LBChNJsxObHBTfmrKiVTqLiRo5DdGXllBbzVMuhYzLodsuphy4WkSMkss6q1IlzANv+Z+cEwO9MfLObLBGjeeduDTU1RrFxnOJvSAOoSBet8Gvab03lOsVIJ5KWX1aqOh27m46GbEg/1Plj/rSn5lwmPrmwH4AaKhQ7+pjS0f+ykCm0NJcp2EBwaLeeshqTSs77jKU6ME2susk+Ddq/dC6hAnRGdQsIsg9+HrgAs8itP3yhY3oTcb8FzCfTR6kjz0srtKbpgF8XZFM0g53KGOU1jhFP/dONltUnrqRpeUOj7Hi8C8ktC31UNc07H4Ik+xwrLLPKWEhXtsbr5kFVjlDN9+WkM4PKIaYM52mqGCKD+QqpZjhBNAppYmnGFAsUwWfyoPxM6Z8Y3XMleFdEaBcbZGCcLbx/goyrYxjTY8W0G1C0hWmGeMbDgrjCkMmdGATuTKodohdqfx43O2HhbvU1JuLzdVHN90jITBYrNKyPmWRAUfBnH6V1WNGshl+cxde/qHJFe+3O6mDfj695lB13MstTszNDGjgzS1IY+hcgVpuB9FDxfmswS+TaSOW5DP7mzbv44OU+o4+dTUO/2R/3R5Wa3UK6RyllGlxgKgD7cTwThT7DlFMMrP+jbHEFJoLbyTW6WcLLGsHWFWYUInhdy2npiyKnTyYWccoEAGZ6g/MhBWrM5y8m1Ib0MaLLCdrzRNhZgmPYjeyysSwE7HFokSnNTQlBOM8qzp1zSTu0JEje+ssGhRwNLYUVUKaQ6FY0pSbiHelSpjXVBroj5jusGCjKm8XAYBaNpyUjQxn5AOzWeHl35EkEIbvimuMD2Uzz7yhILuafAS8QIKGMGplb9eGfMhxsFOSf9z9OlHfhRpgf7GjBCEa2Ek1464Bq3kRCkfrAr5MBPuzK2i7GFCo56jjodUSI3wT/LjOEIz7JCd/Bp2gAjyWEbEmRhTt6X+tm6oFAWTm3tZrXG3L5K0Fl9LyQ+8YIjLvTikcwYxJRZnSsTEnGhc8Bp+ez98ZukGXeWyO31UBGzZyhkqtF9qqdPKi3WGSgaOCakUk8lU5PgPEFuir4fpQSvMbHUaXULtclPaU/YQ2Cxy4h+zAugygoDpWCeQ7tcchv6I6UaF0a9sqf4izuPT9tVDs+Qyeq5NY700TtFZZMQ7+Y2Qoc1CWImI3xuzAmlyDXnCq1Z1bDtMnpS9SFOIVrpGTJPSgcryBX17hnCjDuEeGeJl6yH6QcNurxP7nEGt3wwoyQosZmb6qMy1UbRqr2ird98nt98nl/G5+HDhky1+UPWZHXYX4SsW2P1nXv1P9R8JU22eY7MfSPHWjOVKiQOajldVVOWFPNnMZ1xeFOjsry+KuFupTkKNJ8kdL6MCZ17c07Pr3inj7cCrjvP2AHgF+DIybZfmJxbP0TKt7LXmcy2GeWUBJnHzzJpu6WJ0q0yWnerH+21893Tu+YCipjptEhVyHB+D4ZHQQamwlSUiZFEPEfmMrkF9L1kwhIyzEfGQ1YQ5tw0eKv07wve92Vipy6kOdv1ZE44K4U+6YoLULnJq8sGufaEAgxzyIsf23cx1mOAC+BV/vvli+zq39cuX9SEAwAVQNOfMS5ziq3gEq7aqWDn1tuNGgmesr3NEVSzS0vz2S7vjKGT0noo1SnfG+q5iyecEIo8AGdsoOGRj7aCk7qTLnXHR4UVVG7KVOugBXaB59lxgzgH8/yiH65eyNYKy12b8a0jbF9kCBjXKJCwyFEeOie6+I6qZq557AQHTVflGHcqDwwZB3pHlRqJgxylIYUa69dV6MFi+GjRnC9TOG0k22BSDVCi8TDXwW1xSO/U4jQW+HVqzo2b/KkIgEj/qphhoaJwDdWKweIexxPlMylUCrqtrmybNSmBn2VZRkOyUt+N9H8ETDB3o9G0ql3cX6yEKooL1Rh8NP04Sfwl598AnSSGZ1kO0FyawOUHRRSU6E3dKCnXp8FQb162Wi1blKU7UpIQGXJZVOjDfpxs/8V+aIHieLQKN5ToLICB0ZotVkg0XSq5mkIHgjxyGEAlxhTEwGtDIhRYZ/LyzKr21qBn1g2TmZyMGmPw4e//Y5QoHZgrM4GkN5bpbTN4mVzF2L/TRMHuYIzE8zvOD+fIGJk1aqsxJoC5Q+jJZnLPNeNlPXCqHKNiEIabIVm4nLHlYokaQIVS52XdYW85gCkgzU/xO+QpHoVV3TVcTAOgbr4gqvrME/++38F0trt3sHe+V8ysFEXW4OfKNZQZgHT+669Eps1m82Hp98IRWlvILD8N5koDMWsFlnIzIFVUwKtHM4pGLEFfI49Et1cxvR3RTWSgiG4qUX4morsxF3q9b37zQL5gUXq17GfZJef1uPQffL7K9oiWk7/8uTGGdHXkLfhpEBVkWl/a5sbWhp+Sj0T+U3+pVKrm4K+s90UIXsYGs2VshVR+veCXGZ30NZ2oCpPXnUK2nH9IOXiTzm3C4aXLpXta0L0i8EpYE+UNlvrqw+w/6SQJvLuxLTxWYVI6wRB7KlIHX2pAjtIr1wsK47kydmeQEezLhBAAg7qdtJifxZ73BJis2XKSQeCfb3FEtjqzfEbbDrDpYR6zxG/jNmRrl1nPOjPEeX4vEAy1Ou3qTTyzOZwuko5SAXw1RfOnb5hxaIHaHSyojsCfMmc3vtBQeD4H2BCz23gSCAG9w668IwJi2F+8r5rZQnnP8zhL09Z75WnrvZ7xODdyHqd4J7zpZLwRqgHlYp0BpALHeOaz9Pvk/g0Jn343uE0+BXYWTtZQNE4JAVdBGEtCgBz56Vz6ktPFz3Av8+Qhw27Zt8RZzIvsXZyqYOTObDrJeJpXFef/g+//z0rT5CkGSV1D4ZNk8XE6fw/4gMpuUzsGxnedgnq1Z6w2c1EslFInNGvmo1I3Qzin2WyMRNnNlGEH/YB9nekxHTmL2g7bU262+7vG+TVyCdbsVtOAgMa2jdUS0SB3nNmGHVSpzCvnQLFfYGcXeJQWG1rzZi6B6mgECSeNs9t4lshUjOUkMzQHmJI3w6jT6zdC7qFAPu2G0pv+y+nbvLy3L0hvsIjvZhlrU2ewM3PVMp1AYc7nbaKixA2JAbw7Xt1mXQAJlSYfkHE3Pgnl8EPXngxFFgDJx/gAmN7OeNLYtjRj2GiG6zB0n7CbxRXtCIFzjwiHqtgelAGvFklhcq9QXEZVT3gYjNd4AwacAglqhg4Njh68T9m959gX8ZbhVjIciHUpIlU8ygfcki885mmVQ/IF7DDwI6rkcAwDO3bQko1PkEo4w4VPRD5pgYvAIWeGZnCVPAf/xOMl4sMfOB+YaY6Onwk8zR4aKPXbfKhfbz7U5xKcP027RGtfkr5YGLgwC/VGOWJ+ZHRTt/NU4It8dcYOjKP5lTE/MTwK+XrBvuDh3zym0QjTHaKdhR3pINVSBykm2bQx1H45Me5LAwn42XiJYksMFIIoYxsR0HPjhHGrqL9RP8HvKuoyXP+eReXguQ4MaYtmUjo0xgyNx4IoILAWfvvouvan7ueuNxbLFAJP1evF94YCGSkx5BIl4BzQemFmNVzxBQ1SdPu2z/uGrcqhiBa3zKy+dsLbmtm58YorVyvbGwwUa9vvFdwCNCTwtb5p8fpl9OpP0f5JdH7xci/qvCxNiTK7vRzHXC4mJ3Q9Rb+VREioHYkO1J1ng2GfsRv24PAHvgvt6UedoL5uzx8/wGCzgu3wEsAObhR0FeVQLwN/3vE+Z2Er1Mn9m9yUl1nSsLApzMlcMCCql9wz67fP4vlVMrYVupZIcRSwkS6tzyUNZvKk6fW1efo8kxFPHGyi+Y9iMOn6FA55ujTbqR/SMMe3L6XByzx9d3hieH1+Z/756vzU+DLwqWARHB0He3v7wXqrub5Rj4GO9knK/A6/P1iBf3FlzOP0xpjoME2p1uzUjQ3t0MkR73RaTePFXZzthsENNdn0g4OXjFudLMxRHLwMeaiJcdXkysesBqHxLwZ1sf5UqIv1tSvLgZFuszEO7FRSspzaNNI3fIjvmCa5pquzuv6g28lVZXc70W8zp7+mGl8tc3HEKiS9QUMlQWalixMuNHtolaxeSTIsj9B8puk1Tza5Vl+uQKR6VvBntqBsQif4VM2H4WomJHERFkVD4zGLYP2J0OCdfIvwEYEk8av6QGJeealxRRaZDs8we8AyykIDaFVntESxrniAtTMq85OaCdvNN5prL7dAw9mCME6CVlgGAv7tt//6aw7qHj6nm+FYAOErr56x91LKTOpi2XEVx9tYQYW3CvMlCnfZABfwndleIFooPwv9p/E4sb3K8aRgzFAvqLmK60nbqLKKR3Fw9vdlPDePPZgaR3QS7BkW6w1fBq9fNljD6fkA+59S3XR6duqzuSFbQoYv5V96ZvhFI9f9Wlx02UBRhFNdbA7eUzE267JWSmBOIbum3NZsgbsb2zZ7QwWoRctlqIWkuVpBKivTqhc7e0A3gJkw285FUSOM68UEYds7BNc4vaIuAjA7ZfLY6ISCa1CrzzyJpJUv8YoxbVvh1GuopL7QYsyE3H5dF7MTALgf4B+lvgERCbQafwBTg6Y6mE8E0J4saVTO0UhOOlH0/JqL0O2rU565RB9Tilg2udfg6EGGbEV8hxDHFC19mYZyJfxqoWnQwzdOKOOM+uflAoDKxqjkmnx8q+tkm7LoWxCUuzXe6KecYJcyKFceOlrCMkdq4y4/QVt2UMoRaCMP7IkRSBV2gPCdbxHRHzNVn+gBB3UfcdJcyhCL6vAolAkVm1CTWuYAKaca+x6lZlWI4GSNr9iluBoq+8wI9auFzvslA1ua+4hAyHbgWDHt3kCF7dnwgPbgbHh4Yv5VB+FELwjV1piexW/p8+gFiYpmobosJ/tq0gIjP6TCEw6QLGdsrViGtaI+I2InKqNuoknmDVS0LPiAgbaeN9DWI7bYflED7XkWjm9Ofa5N9oul8opCiVpQOH2Xw31TRiTAPpDvwCJeS/mSnCddZv7MSScrwoqSaBHfc4aGRB/RLEK9QR1GIPE7K0+SM0wd+F5zqkVBT3DCWgRFsTilRHpzI4+cYFB0Xx/lqJaXDs1mU8CYWQ7o0K/ggNpv196mI/O/bxJuGDBv5okmCuXrfQnp0goold2uoUUFd2TYjPAMFLEI04i0+6kF5frxczJg673Rxlarc0VjMHHw0fQ6koPnyUfLxTQSVGKwLL/2j8uO0fMOxpX5Vyo6FcEhTyfPy5J1n2i68vibStM1eBHsL5I7TAROjM9vTdg3Z1z0AzNnOYO/jxCAhyhVGycLymQp8oSA0lBk4w6I5ChYlvpGR7luRIcUIVL1lgDoPt+KfRhGnm0uEJKaVMdHwWHvh2D9YEtsRTxyf8J7EDIF7kypAPcc4FJz6gPZdQO77VDFhfta9qps+ZkvZP94c4Oa/KrGCKBirurLPGLgvXVbxzelYIwemjkhb6546G25TTULZ8f5E+I8Cf/bcOEUiUrq12KM4SvqGHcd3KSJpI7XPQNVQnOZ/aWTH4pYH2a1U65o9EmHn+LuxCFkoy7hERCf15QWI0uVksK5TAIwh7EzbmCa1ZPmTTPot1vdZr/T7LSMtNs1ym8tM2JJBt8cf78dFAi3aUHqRqmMIcE2fAzShb/ZQqnm7lvmiaBH/HOrla+QknuzmJ0xyueHdEEQqsxATAjk3F2R9k9d+x7uADHdDOCLcV2poJTA+vNqvum4mkH9bGaMI0X7gFBobbRDASEHg0UfIWoZ0YNF+keBjW98na6fh4yxZCIbz6ob7yuvgB1pd1vtT5vdDXCFj74PG3n8wZYHqwpItZU4yswzlAixbbCPoCCRCFugcfQB6+grzDH/32cMqex1lgpsl1DFG33wvbq/Ax0J5mShBJeUuZGzAJ1yfU+Z4VT5P6RnmAGVNmoPyw0AkBSEQk3H8Yl+t+KPhVTKnbUuXq4/Z+MoBTY8lVKr/P4c4+O62+u0rjDVz+kTKag10mE2o/CAr1kRLEJdGykIo7BxoWjY59kXpYHNra2yfbEV7bXz9sU+iTzSFByRrLEQVBTcZIJcQo1HmsVjhZx0SfhaRnUHtnghqNfMRlKXua630z5HK1R/0G01Nze2eu1erZEfbA73juAxieIf7GgGrqNvY3gvwPYB/elNXuH3+Q9v6AqpAbFFtAAd8sGwwt6pNmVMJ15vsvcQiU0wlIMWmnnjIiS+lQJGdJYuYiRmXBQp2j/6Yf987z/2/kR+ZHPn+LCiLOc/h6KKHnmPumZ0y+0RuF9lR7Me5I31fui47gVk8t7VaLD9aFQWckJcUBIF9nDbrbVOew1HbKQPH25wckgC4oSJxqrTyHeXbxMSnRRbIanK6rHcrbCYxjQ/jkLfO1Ivl8hAEjRZ43e4+XCiu4WPH94xixomhG3skEeJlQoctRuIKuYLL0hNIlzUzyQxNXtK+QxILN5e42ThpfbPjiV6TOLoLoVjQUO6MkX0smwFqUBTeXYNU5wTLqrtjmYP8ickLiOJLxDWpKQAL853ojiLWEEYc8Cw1p1aHe32ljlnhkcyK72F8DQ7eC33SKT08w6zQkaaGGCakWJeRSYL6mQCbHYJpY7rgL9Gcs1W5IAfS+U4OcQlngON6yJLjS+Cbmsr+IeUl9X2Tk+PT41daRVQnp6gcH4m1cC1DplOqfzhh+HB/u7wfP/46B099J9e37LIVV0Ej1BJ0gdhlbq9fHyo9zUSeL+gSfQosvwvjQauaEEiEcUGt8qJ0P2kRpCkJaEYW05ssppgpEqu3D7dqBD4jGGIuXwcBjLUqEMIni3n+tF843lyDvOZO+u8OWGwOYC9dgeB0QC5SlRaRZCtBJNfDxdBzZL8+nkLPx90WjVr52EfQmnLw+9k+oR5z4GmFdMFD360eH2LgO4Dognq8qn/oHbfPSikSmGtn/VKJiV6viQXAuTHIfKCJpJd9nXY+prbCfOEYHhYw9QNzpkQ5KJ5E7M9nCA0/+4FRu0Ftxj8Sn1YXAw0uYcsNs6caKyU5jDid3WaxIl/mf1odYyEAJ6cQFdW6UIvXm9I7qbmLNOAaZjflTBVGDof/veXCZmJofPjNznq+fEbZQlbi2DW/OM3REttpSVYAcYEwKv++M3zjNfSyOfuRhmHZyPaa+WN153lwrj65tTHGI3lK0WZuTRh9A6Fc5Yoru16A8iK57NTlAuc42dyZ9Z7xWPoawR8KsZGu6dTXv4Ul9PkvmbtEZAeeo0s+LfgzRSe8L0xIj0IDv62IdEvstEnmKCHFmMqRz8ztHiVBIfDo4vhAT1cs6O7bw5sEGx4lwDSe23HEFd8M8XmwKgQG8JG+dg5S224r1b8HWyLVm/QatXEsPOhhdRAoc80Pum2OFdMRrMXBHPZG9QKsB7jzonDdmj8urXj8f3dzOjqeu1oSttMixY3qVZtQF95tBH8rtOOftfhplrZpjVsjtdgvBoHaCjUxISFLKLOEIt5y4DESNoCYwIoaEY/CG1tWe5HNm5IkO9u21AHaEPkPr15QEblpKJH8mjyIKCfCSN6EztVlayR1Awq7CQhtTXeNApZKm6q3fWJYahQIByoDJ+g0naZinyaz6GgiRmvbRM/1QoNGogj6FTmAr3VYw4Q0Vs2YGr7NNEMqNdgBb1xcTxra1p9nTYVpFB4TAOzUIVmLP97mFG6GtpvKQixnE+3zm7T64VCq1nAGVuUxYM+3hn7bw9p4pSK5S/v3dL0TK8UuhizRSDo79LsMrmlIC7HNohmBuBRRBgsbjKk3BQTG6+WpH8u5yRf7MCoKYYmoyOBMjZOfsUAW2P/Tt7KfD2mSkNbU0idDD8Jyp0KV9mGu3Q0GifqeKJ4gHa65o6psNdLwPv4cqXwPf6/1viKA5uLsrboUihIwuV0lELT8AaUCNWpmAa8jH9kvly26Q5yBYzsCV1v2/5I2IqfD7FsdKoRsQOEJgqsJ63pwHWFA0FLyUlJDJGO75JtVXfFdZrv7S2L0t1Wps6WpArhI3xnDIfLKchRrTySesY/nKeG5gy5vqIhSlXx4Xar9YD/kh8Q3e3/5r98vv/iT5sdepLT51rb8EgyZjLyjaN6UTCqGwTzMUVMgIZIj5dzATe2tFT4YUiC/3edvgj/wtfN4CUHMlboVlWTdZ+2Q1YUpHIqTQHn+IjtVlwk81CVvtL1bpSV1WoD0FfFD2nhvET3Ee3YwiS5DC8lSy+N4qkXZbvL5c7G8VWCWhSaKZWXzd4RS0AIsR2QtS+Nl9ne0jw2WeMytppEPFdfkb+8IWVTTFq578ivs6+EFmE1vzaJzH7X2cpZz/6hGAVsrDa9vh/hWhoxVrbQHOAriarIvGUO2+TLuEJqHO+o9GMGyJRmv+UN2B8eDXn3hS2e5/mUhrv2OyXPp98pDXflkZUDCp3fJajAt927rik1S9FQcYncnW6iZY9lZv0aAWcR3zjSFle5W1SzCCuayEAbUFZqDSesSAIEnZOvTUT4sOMjgzepfSPXV5tKMQH5tpNkjIsFSqY4xlQAWwSj7bRHcntXe+/jhXfLMk6TnRFbsSgb5rdQTIUlAQjMpQjo1UvrFt6iL3WalJ0tiiWVJo5WOTMFUCQHJ0C/PO2F9nwNDbbXEeMx7ES2fsaomtizyiEoNJzPzVLH2S3Ea8j7QCvorAhLQSDPKnrFvBxx4KWStsSk4BWwDg5lu6h31wJG86QSlFrOfbBNNMgIxrRt+6foFQetEfOxQ7ioaUseTSnGiu7+gr9UOPLVPKKbSrzE46Hw931C7UjKOaJZzlF7L781jDqpWe1LI+jyzzS3agYX9Pb30yXvjQWipeqHUJwOJB3mKLVGjIzU3rfB28OzYIYYSBWagzYBdlvrwfne0fDo/N3Om+HR0d7Bu6Pj83fmk5cHe7tUdEHFHaComtnQMUejLMfbuRx8cNTHf3LxeJOitbvlBpF96X/IJzv6wX+97LwMg93Ozl//2aya01t3hyKUERlrgM5WM3SDFWz4M9Yr94jsPbxhEJx1Jr2NIeDSHo3IIPMiyS9zbmlCHp1HyKTDbpbzXIJYnmnb5h9GhXmC0/SLgDVlJDQfhoi900GB7/jqd3ra73i/a8F3RQpFsXuQw4vWKFH2pC7Y1QRW77Ra6NAfZU0dzvdudgs1vpb/0EiG9Pr+HYDkx/KdnPq7j1QU+W58KZ9PJ++Mr44eUPkKsf2udIcUKYYW4IfbnSB6CBykuvv36PjsYucNs/DWA28tkD//8Hpycz8NgxLf/TX06ZIA0f6JeZSJHeQuy+dBPA6NQNWNYazMzgpJPqF6PoOs8J3G7KPMRBLlC2FFucV++wH3ceM3b/FLeosFXac5XQWT9dGI2NAXm6OeG3iP+E9RzyikEArwS4bWSp0aMgy+tTm5xo6/FhtBrYPQCyJbMwVQGI/JHC5FS9DuUalWuGhhQHpZ7GTR4WV1Q3byCktPzW5hL1s+8pDe6T+mdGjjzdrHCPXjPkCFebLOaqxQWtuKRz4WLMH8pDXDPN6m8j3f6T3f6ekQSra9zLznOxWoducVHZEdRRmzNVe499zxrpCTbOHJzK7B8xRCaTPVFrKoUIaDuHbRXqLAOyWx6v/Wk61V0vSfT4B2+0zT/UtUrzFvyrrPkiu/ptWxWCRHSTyTU/aue43fs9JOebKTXJ4MW65t624ZJzmPMGXHyawFL3kIyQsqSDfWzrXROopWhmglV58SYoCMyVOgKB3RdZ3OgQBLtYPUS4IyVeKPeu0CJnJth/73EO2gVBHbCmafMHOHbpoSKOwE5YzUXxfPYm1IAKo8pKOI59Xucvl9iuk3ebOg/jGdjIzfgbrc4FOw2d1wXaNKe+KastC8oUZ9c/dbjdPlUnW5jXHlm/I7RsGu9FztikD1XGtHDWpDm+lnkCFqn+SAcRef8D/7zrFdfEQiZLJEZIHQT0tpuj0+EF6oMIpmdG0JR+TAfGmqE53fBepfh2FwiA6xGUFRxIjCkRjAZYTwGmkuhKoAcZaiAHwK0vynHihDNYh7hpVVFLrpImPEtZIkkn5tY54zxtwG6Ej2OGCRb97Ujlu+Wi50eHmORi203XiczrLUWI4FOhUCILAAAHkM6fOX3jXk+tVea1kI5dIpUmlI/sz4pCnBXRkJk1BGx5wqlxHT/f8UHBpev5pyUFYndNBrOHVNO5sv380IRvcD9fbSNCZjbdIwrelPgJ43K83R6QSgE3PgQ4LFaD4OScQcJi5vCbdxWUB8qt7xD4/T2Qhuzmbje71OBxnhyQIUJokvvoP2fuoygN6Nipk4u0dy8oq8dSVLF63ADbjHEY+exRM7A94SpnmWNDnUzd4+KSN2sf+FHLrC+KaqpoAdeSklzTvzyuQkMMV+NFduM7mUqUUDwJjZWMt/xb+JQAHXiJ0o/Rr7DJFM6TZgqfZw6qn7gO+wmU89bf6Lt1b+j3AmPKAIOaTZp+bDCuxFXnGFBaMa/Jjj9oGni910NTHJ8+LNyRiQIEm5x0UcCV3KdkmdX3Y3wGcQylnUCcY33p/rjKUA24lfvOHQyDWonnKcN2bbliRce2NL+YNTKUiDyXYForjrl+ad3hNmqHlmg+MA0A6C5sHND/z2hg3affPbkP5FvIdXt3/gQaw3SA0VFQchIbHKmI2Xma8ytp2M9qwhX0KDgXXSsi4480GY5H2otSm0qK3c6SQVA7QzdU4k1XiGniS/XOQOJ2TOab+ph9b4MnbuKVkwIslO+MyIBrBpE7ZO2mudtXXsO5riePsynkqoZsXzrNmtJ3aCdvMTOmRUMj1fQuukeahQU5sPOAMoYAUkZqSKx1EmJ+A4yKwswt1ATBkUqpd0j0Lvyt1jLmIJXp0eHz6l/xPGNvtGOQSTUMc+EyhpaKc/CJCJHR9vu5RktuZGt9Xrt83/NUJFmthNIJjTDwmbq3RX8kYiuzuD4BXsFqJicazl+bAIhvJqY8bWaRv79HA6mU8TGrBrtuhsERy9DYMTig322/1er9dqdzshq6vgcN/YjoBcew0kzeDU+J8A2TyZwoFmNd7d6rXWw2CPIoi2bFdWkO/noJ5W5iyu2qFGZQhUXqaMGyGED9mc13PohtBr+vbAIMLgLQcijeS6DAVAk3BtbRTfZbAsJoRr2CUD8bVhhDkPKnAUaDNnAnX1Dzref+pPyhBXcgFfzsj3/MufZuMqYFr2qBkFqcfZY/p338LG5TZA+DJ0zcVy/KUzb2zbO33UARpmYyYoHh4UGMkbjc06R/eoqrOGXrDGoEocRlL2orWZb8A37MvLrM0VXGwLVHlu2kqi9GnOUKJSmqHSyJBpBDrl6PP5cb5wXTm7whvh1h8KTVWvTtN6swUZe7kyQjnru3hi7hjxUVMmmsqGg+e+yKzAdBIGQohZJZgeJT1FJsMd0UCO4rlzfE6vAd+3g1oJes6ol78kyZjG02Id3X5X1/Ftm3Z2Y6MTrffa624o96lGimRcSF6qAhdBujtw/oMKIVQBgFdchBzjoGrutyH5J91Dq1CWkAgq7I2id/TmRL66OO4pOo5V+YqHrFHfU7pA6u+OSiCEY0OvolDJmqr+1ULU6Yo5tip5OG+M9PqZySsAkwEhsOE5PQ+0OD9Kx0LD3+WJtW4ZwYvNNbaDVSB/fRGA0Qsm4OYTCFIvIT0jh+o+PXkOcT66MIhjLO7/vtplajX/KBIsPiutkxqlzBcl+nzQR1vnMUD8740H/LWtvL+29fRSQYsba/7b/YxBJn3fK9uo9sr6ea8MCrLgkT0Eb9drPdEyLADePgXeztY0O+ChzLMZ8sAuLMLyODE+joTFiHGgUZw7+Fxou4chQmTSmbdslrAn8fsiMg0ws+qzcZwyaF0ZNI673hkSSwBs7DMo7Hni4NP8jeF/Z+lPiRXzDJRjfFqCyjH/FbAcwt19HGKuAu6knsMWaTyOHldEjuOh0jZxQ5Vq2/JFXECU0zG1jEQUSyroURw51yYMWcsdS9r7gqHqkeSGqdHNxywqNjNpW2p3vWCNuGOm2gdSUu7A6xxQVku38Xxoo1AODCvmI1vbNft3q4DJVWBH3P7riGsF+hE91COV2jl/A9vFXN/91K8BzI4PeTopbGY23XZ5hxtY3+kV3YLtQVWhkRQKUKVaTdCMOZTaLCPxSRUvUUhdNrzxZcYJP1PTViC7VcC5udOvOFXlQ2psquX2vkYYJNybwqXNRjPT3iBUZeyUIgqL2QdFYSltGiVpNBH+1SHvv4LGKc1u4fmh+cxaK9prt/ONdyyleWbrgAGSgB5LhjkPPz2iimavgI9LyBDssykYyIvCOKCa6wuSbhMeVBjm2olsCtjwC8fLzYMxIdrYOBQZkzqcR/ruuAi0lEXjz7d19OuVHVjdP90wzsok517kps6H9NqkcTAUt+OGp8vkGA1tbPNIzsLoXOeL80IKezMILqC0NBzCyNtYmVnXy1CXu7/L2pv/Okuu0N5THy3v7u6F5xoU9oDUwt7mQeDdRPZQ5yTxnGBDt9UTg0NvYrAVZMU3kdVE3uRgnSVcniCcSz3mB6PbhkGOP9pQiaUyIjvOSJRVL80IdsNh5URXnKWLQzmP3uycOYLgbHi0+/L4T3ZRcgRM4rzTV7nDyOgUtr23/0gd/txgRj/LTRb2i92lP8Pm+SVvWo3tISyoC4PoGseEtjed8KRUBJeprZzjThhnG7Ev7qXrc8sWfOPyNpvHQwkKtCrjb4a5LOn7CaLGPAhoarh2W40C0KTCSBhFB1YmzaRpQoYnrghPeM2EOImm3ftmsLv3anhxYLwbez5N732a+tjbdGRERY2HUbjvBX9nokrDLRJlL1zRWyvcQhoNMxFVzbLQY027vlkjHdKQKTqZpjallWVniqOggnWy2RLCwcMcyHSyTAbBY0KzWZCa3vGr9PSKRRYJsA/tGdk6Q/2V2IOX2k/CY+wlyM/zmphI6ysHcMuwIdne/VFQq6mUNX+LTKoZG2g4zqaCO1QpXOwUOdonvoQRnbOE6ep+uqyhBHmEHCKkkca580PE6enTO8WrFJuLUkO+hPoFDSLXZCizSitMI096SXLUdtmxoeQFGQaP0030BMrZJpaSNG2Oo/6f5aj/9ySO2mbyt7SPDsXtfFkQn4msgQgm+6/WX5uPkcnKsECv/cuXgH4FK6w06GajbIVttEp+/wlNtQPwKxYkbPQaxm+wG2e3l1OjP3RGPSG9S+JvFM/fEysTWAb9NYk/3Ad1UM6cDOdLGMjtQbth5fkdtcNwtQILYBl7x42E8Txva5FlXl1jAGKNYMFFZu2RzlSUgKPGCi91rAv9tQcFVZyih5IgrT2Q0ez5HamxIeHABKxTYp4bR8DliMBJa5/uf+KMhPLop7Xr6bRsP5xTBnY5gVpD4QyqkQZB1QuFDz0rLD6ooMqp+s8W/MwTm2fU7DelhGbz9C625RdueJ0R+S6+6x2pSoFus2fOFcdaphWpUMPzVqUGGPOpbzUaO5Xaz2gzhbAeSGZjRGb+WIxYUtd3TCBkZmlVeygp+cJ7UqGUo1nQSR0i/YbTQNP346vbeqvZaW0GrWar2wk6/V5zo9drNDwEQOYEc4Q3l/V1AJiY/293GqgAYso3vxy0A7t5EetPFpOySZit4/np5mfwMo0MexnDepTl6gjANFeHxm9mrn+vmFoY0gjsuHlyHayN9ES+mIO+Dn20ntNHFTteVEc3yQIqxpD56Gxx73r8y4SDVxkgR47hl/lNDQN3PBFfsfqQwqCwA9vBT9PpHY3SVPkvtQhW9rA4i+cPqImvUNzzFdREafpJtxwe7rZLEI8a9RzqgPEXASw2TMZiPriTiYx38YJnXcEOUGjQgJroqC/NyDydLcXm1AhhsuVknL7nWKSFnRFQy4wqRDMUiakHwVk7zmsS73BED44NOUONR1z20hNeSCiI12/dJV5Q7kVgu1Y1fBb3hxvBzZYuub6H625GU5TM89ap+Ui3z/mAGIGHmXlgj/xsNht01wX7226Xlbv7mXf7zY0uZvrm+lG5tFH4tvTzFbUTagnPjGIpazhLI3g1fiX0m7p2BHjAWJesp87R7IaWarjH6DcFoGwpmZrHH5EVoOL2K0LCrQSr5K3Xd2CngGF2ZO52eStliLNmNGmPHBVmFRREmt+FK4O6efdB8Hr/VVCncK15OS/ia/44eu3+yMUew2APf+6NF/PpZG2c3MRXSNhdzmOzDdi2Qf5OhR/nbvzHE/MHlE8ybzQKyhiHw5uByigsVKgLiUf8Kb/b5sd9MHsKWLHsNp7P8OHRa+8SWoQucuX6FQOB9hPPWHzUKXAOAcEfj2iezG+ES8wzmkw3dtl6DrLy4qoqF55/N3+HsDx8KyCjqatrt9InH6E3F0qMkHUxk68dNJ/kitjsfeo1Wpfbbe84t/3z284/bpsGfRnG7OwqUW0L7YLzyIqoSZeLLyHJ1uoZqcLomsbLB/PfiwGeWxq1lUDwcJWghNKs+S6j33nPYbORl28s6A9Gl11iiiKMR4gO85ko0S8B5llpejhX2Iv4+YbHMU8OhLklGQLL0HJEXL6U5YYK1yk8ypk9Os/GttsfN6fR3Li0gkhxmDFfybzwOL73LQ6xezwKJjHzgMWx/r/CMS0NreiWJ7B2143FkXdMEfWmds4dQ9wI37ywo+cG8AHYwpjpNLr6QTxHQxOXs3Nb+R1oee8Tu38vp5/C4Hx5mTQC4GDRNJHYGA2UtHMkjt+Y16JBqhRtp2FLxCd3EP2wVO7SReUENr8vcfXqgfSb3pgzypWso4OkoclpP8fME8solH04/FPwdm//9Ztz33igF8+/Jj6WjSh9XtoVNm7MN9gchloo6/Q9mPZ4nyt+H/cSZy7BbpxKxIDNvZzClkRjqdEmN/5LywOc/+mOhpW9E2jACgeGTs0/LoLF4fyb98vrVFDG+dfw+jC3hbsnasatSghks0HYy7aKmFxOhKXTq3RBjhm113FidJwKpnpekbZb37+mvexwkSQ+6/Tks17PfqbbjuTzuvnU7v0BF0+36TN46zFFXBGHrDzjoN7eDD4Bp+OTuREp++pDNxf2cGE7f2GZCup0L7qug+vyZFFfx+P69P/4cl6gx1qUU+7/v7t34W7jSq6F/0rH90sAJA0SjTdA2xmapGyORZFDUtYky2tpNYmmiAgEMGhAEp2V//5V7ao653QDBB+W5+bOXbkeigT6cU6detfeV5OUwtLzLv3rs8mqvAN6yeQpec8k5yIQ0AMGm5Jv8iYyvIXBu+aCGHbHiHQSKrudVCSh24wjeYW9kOA6zUH/KlTyIiq8r5Iamn3ZMejpAYkU8ABAPY/Ynd9be0JZalDDQrVcQnDpX6sj9mA7WJfk6djMKee5WPitZQFySHboURKO39uaVhxNpZ/qel7/fZlefWfKcm0Ih8UeaYmimdQM8WYBbB6gWyuQAZ62xu6zG8FIG819bHejtbdR+OOy5P8jFsfXKBWEZKFo/TprY6dmAV6zzOdDh3VqrobMdqF1wzBqKheX+ydnFxVvy0i/sX3Br/X0LDCWgqbLK2vjx5y1Q0xjcLCl9IhYiw8GHOUy70E28KTwWh69gEKrD49HyUXD3Iwd4g6elh9Qn3jXO8k87HN6+RMT1DpCwl4DMvT/JY1GQELuo9fUF3q1SUltUhFvaUs0n8MTx2LUilHzgYzW8RTNuq28WHsT9x4xXiOGfnOuSxKHRktfi9MPvKfvLo5PogPoQcbBvibFOaTDMh9nFDnNoewmEwkM5av6J7qirE0EouT6eOqAuSWaFTT+z6kSfGPYOgV8Gj03Hczdv+y/P++9v/jlYCPALb4pBTPUi3TT5YV9XxKunxoCfTk03yDNDoBJ+0BYIaYf6PjIGbgQoO5FMF2lgHYqs3wlL6ro8IJll4tfX2dzkkn5gIHQBZKnlkPm4OLgfKD+t0JpjHuMlWE0OFSpKGWP6msrAkEMBtaL6XArTQKnCu0c0uLyVusDhTNoJ3wn+pn/qK0coJ+0kAWYoP795dfvD4/Pjw4uFU63yK6UOxpRt4Yu3BFCHpndHoFPILzyRi3DSzH2Q1fRx7HQiYz45MBvU5q+xqCj/GVXgP/QpXRNCtxyiMWsxcqMPNVmRfs2hbPgbqUt88gAV1bFxUQcXaMu2fXDDJCnPIFSPdu/PPhJDrRivLHHxfgiO1/PPD8DL7agFcu2Gfrse4GyMBpoNyLpF51JIEfRFUMtLP4o6UFT3DRbcpnBiVA1JOHCKavtPKZKkfQdhhd3z1G+uT4TPeqWOLnz1Mw829rm/+727Sej2PcL/oKCvuPIOkwKIwfkydi7MXwE4x8GZTI3WAAqvqK4z4h2kKhOhcLuPuMS6iJba6Cj1+0phqNMIaXKHFqpolrFX6xV/JjX7wWuVwI9S4v/OJld0e7cBm9daPiSUfhwCZxdIa2BJP4Ws50H/F8UPTFDAcRiKJLQSOj/0ID+H/SWFDwcpvcmJM16sx0d3C7oge5I01GYG/ylE/zFvtPbeLkoWEX92IZLP/Cp0m3CT6GnV0aINxrkcMW0JztVM5EBVVHNKfLjXI+e3GuXDkSOvxEMDORGlc2UGtWT7G62YNJrvHo7+vNqco8eXLomfnVJWu1j/mH8CX3i7h1itzZcB4DI6WVvAYLCbYMp4Ky1tVwfWZAVSC7p25+z7KNifmwywsFba1+Ye0kZbvJA52tnh7sLdPjemCENXhLW1ta+Iu1f6E/GsbJ1c+dtyPq1uErk8mVA32Xjh9+49eKtKK6YODM2E+GoUSDKikrP2eMOOWefAL4DyWR47glnbXmMILgexZdd/iTbX95ZNRcFyr9wf0nlTUfIn0jTvzgV8nqBtgCj1bSoJoysRNYe+0ZyhTA0if7M81OkYPgaOyX5d8MJop4kTzCts4HipPzflUfqAdj3DZpKtRMCbnFtvqjW4TzEbLmNrqnT/YfICa8hFgs8U9HK9cnKdYo5YWbMhhOJ3OxqzuDFdBbdcKAdU5mrBmWj1PfnaZ5rrIAwmh2V3CjlwFBhfAyiurbbrDPcnG3W0XTE3NBQs14W5OEc3craY6PZRVweimx/PD99++YwZpROvTL0AW0IKJLAi/NOIBAagyFFdIwn0AOsP4sw6TI3Dqr/tmnTFpkDGeLlD9uYesJR3jtWJhgGdFDrOm/ebXQZDNmQWTjBexaEqpcz/tDnZYS+AemmlOWWlfaN8O615aXXLa5lCtT3U8Xh1oMhivX9KqUXJJURvIVyEuiD5/5hdiLJMwNNupjXQmRqkGhX90CjmH3UHlfbJnxmxuyIa9ZSXhntODoQJJhsJI2A1DvYr9lVwn4mN5CtQzo2HZ5O7yXwcVALriFiBpBMTFQB6g7IIiK/VWwz7bZHCog1PhXMjNin1nk7yzXgN55R3fCTwHgVjrGqLBeZXGSNK5WougFVTmuQskKc5L2V/K1bqbt08ZEMseBBseEOjmTxlfj5SWGGryQ53vKLIda7oav7XkOpzOpjwDrlGNnReX0k9G1WHuNqPmbXjZMCgettxr5RvOiw4x8zMF+dWkT3Ygu1yL0fqr8KaDhZtkkR//pNwB/y6zfDX7/B0fv1m/jXb+TaTBOJPziGtkbwV9FCF4yPhQ9BHa39nXQi/godhb/qMcaUMf4UKib5BK0I/qKHGb+ElOG3cg+IhHt0HHe9PFSV+8vbC/m8SAgUGf0+iXd2dpQuUUa7Khezu0zzDRBteIz1UC2QjuG1q1hSQ5SEQdAImOQWa937h7DWa9CJEqUWrHWnu2atT1dLZoA59Oho5OJygsiyLvnHwGTrWECFkfLgzSsbA2uQQoOYkjVI5iwXEgLya3XA7xX0ZCwZ2pN0ngeDTPl2q77hedfGugKotwB0Rqe7fIdTHB3OrmXkEx0acXhV/T328gYkHPRnUNEz8Ns85Sbj5d1817MzGurKvtL2KPybPJgkh31SW1fXTSeAIG0jruIofNOAz7iA0lt9fXqw//r9q4vyQ0kKlFbw1eWZaFPyCQbNncZOc6fJuNhX3IK8njreFHciV7iBhQPNVuHGRtWKvp/U4ER164TuQUoKkQG25SO1UAqqlXNMSpGhGKd5MI5kA3zWrzcEHwuysuMpslpOiyq+rHTuci8r7QG3K2mOeDTO2ejQv5ys8jAVpz9PDMb2oY5ozuLnauF2dAWGpXPBGT02p7YCbmNC/EEP0S/79+8V8UfsS9itR75gcSw+S7evOe8Ay3z6My2xrPVOdLwM60m6KFCgChNzy6TYy1RK3bZ4mM/lc0sxqdop/54VZhoTYFvGOkRbHrtuiGjRODoaja0jUrRAJZohfI813JV4Ul/ZUzHOPCeQgo3MmaF4MXVZ6V7HglH2/SSlxctRFELjgsRfyp2xxoXEg/Jc0QYsKdsNG3G7FpFZBoT1cpS0ykzrqzR2h0evjy6PSgR7M6ipenh4d5uGyo4+xET/9XUav5/unmx4srKrUpTwaJGOczfW+1yxDj2d1Ps5e/QPNSF8WrSbT1iRMIIamOoaV6qKFiVSswYBkELQFgPf/4cw8IOnGvj+4wa+iGVbYrqydnsxe7B1nF6q7Ozsuv/Llte7QF2Qv4IYV1QRixwknGcOp4LJ6iJ83AAD9wP+f8839d//wSZeTHjJ0Cs1FxPTkOkW+75u2MP5o9IFyisX2Oeq1ChdehSf99hxEx5VyR0DkFk5NTRW33H+GZ0Q+tNf63+9OH9Vvzz9+egNP1lpwbhSRTs11Jf9yTbsrW2Yvu+Z26dYlirVkWfO07BJ3b4ka87M8VQZDZ/s1TDuUqveIx8BGVlzU/IlqSQuw4sdGS/Dcem9wgw1mft5KmbMfIlLRGEytGNsFeyfll2e0h6GWQRpV8jYwRs6IBUzE/mKHjVlqtQHL7AjlAcVPkB59oHPL3nDpICRqxfszat8NuFpUP6ujb2lIUOHKHIy/bMlIy8t5PhJ/FM+gjJbFjw9BEnRQpJ6t9NpdXSRle2u8E5xKS2DnhDXeO/jK+8zSUrnU7oYK/cCFMzQJfroHmT+NjDTbjBPpGUTNjwBfLtstdbKU7iF+tzSmnaAZaKtuOOJsr113eVPYEXsMKQtatXos8HpK/yxXdvDSQ3OHF6kUvhUhz6FncAHsBUV2m63FTr56pWggrG6U2UX28Cq+6chvrG7mnMxQ1tFIC4Bk8wNNhmekQmFgZUHN6E/MW1GldHrK2V/00mqUi6UvpjyqB7K9HQJtgI14T+S0x1qGvOxeYYbrDF3PNERwtPqkMods8WkPKr3CYBH4t16UjcGIuZbA+YOdG10JLjIP5WajmhvWzKMu3MygGtPmyXn/wLn7BM8r2ccCChNEfP/5jTK8laTMOw4BL94WPLXPhoIPv1N2rNZMugz/Dphkge5JbENv35jsm0PsBexVEEuHT0ELuSEKBzKCEHjIMaGaDblXqur2WqRW1s+HKGkj66Sqnk70W06Eu5DSwkJg5yYIcxbZjZfudE9LCLOdQZ/D3LaP95f7K5hzHXb64STbVrBIvrwa4rUhiGRgQySs93tMEIyqTTeEU0l36zYu4+qcpiBTiblD4dIEVW4NJ905eXpv8NWIzpj8ox6sKcDcITWQa+JnqFcG7lHMmBHbn8djNw5esuKjuMbmwLEJ1hWPs90gj2XZ1rORun9UDueBFM2xLj1iLOKmZnaZDxeJo7ecW0CeBJ/prfnmFZGU/Gq+yc+UUGujYfWNGfm3U9sG1yt1127P2z0a5taG3kPSJS4Zko/xZwfYpMDCM1Sk+M7PmBKJKGnxFGS2xzkgQwBBgVyINOGEzW3dD3SmdWkMWz2JbqTG+E7IZRkuqK4vk7PtaE5Y8PSbkb25Z8fXipbKTwgu02r6caZQTC0A88Euv0WJLjoAC/JnG6TJE3CZ+AdoD+4ZIp/oDq7cOwR836cZ9doFcARN8Gq9oe8Wo3w+/ROzO2LtNa6zFRNXAwjmoLpMQ4abbhcryBMuimyW+ivLHlZkBNpALS3er3/w9Hr9z8evTk63788OmRpe+AAxn5n6DNN3nf81lVY6jaOuZqj1ImTlEJukza+lAzbbf6SpG/Pj5jy/t3++dFPp28vjvQTLVyW1lNUivYeZl9S8F10otuIHofXdYK+v/FOthOl/Oa1gJMe4p8puw6L8sgLiFNCnkqxsHDiO4lg75/sbBZmx+yksrfPS+IU8SXUAJnznUa71e+1ffZNQdrJmf8N</t>
        </is>
      </c>
    </row>
    <row r="10">
      <c r="A10" t="inlineStr">
        <is>
          <t>FTG4J3B4obMgo9q5KdAIn21WKcU36hMubUGpQeAuD2SUxrQikBfg5I7oJQIFvEM34NkNiIBmouAtIjDi2+65eQd2Wj9wDY0pk0OCrbvxF1pP/xx8e1GwURUC+hY7z022tPj7yw1CrWAL/hpruppCXF7lCANJcjp4woPMas5XpP+Z03GS4yzfqFmFlx2EiUEFSfci2lMNvUIGiGgrOIv9BNKUV6vpteQkv5JL55VhuaNkk5D9O0NEftdmB9+L2cNSFvNJ69Bh68Vy5oYMlQ2rMWz3oqpb8zgQNoo+QGsg9knPOh96HO840iPLP+Bk7jmoJzktfE4GguUT7UaN9rAzgFgYFItZWGvXftiv6jb+IdyoNeDE7vpsSLezVldzGeezYz6jw0iSacvZR7LX2RdpDmYjUk+aoHHWJilHynC6v6JzJaL/XvCX+LDc0Hm5fS+XgV64viYJ0F+MlbotdK1IAOjpV1ekvvOPmTKT6GXHo6dNiehLbBoTIRln0cZWAQro7Zuf35y+e2O6+aA4dliVZZAJAVAhsPSJikNnPfpWO8zKB2BCSRGQC8gHMaeTyNNi4+mOYkvviMLIMHSR8vV2Zymt266sh1gJmL8kJmPfHpDEc7f5QmtFM2OyZPsStM2dXehOmQsVoBRi5KFQzQdKuKkx/EZfntRcOtV+1XV36Zdx9lk3hPHRJnT2+g7zPngLtJ0BQEG9PvQ1FO0YQsXSnuz+93j0P5YXyck7ymQYTvooo6qkeHjcC70sJh88NU7/BIJkNBHIY53PWZDRhqZAoxYQH/RzSMDN5mMYZSwr0l0cKPIuhhPWajiz0QfNGpUQjx3ApzsmrlvUibBVTPPib4MNovsj9bacKexc8TBc8+x3rj6JopspHvK2IxcXzpufSeU8g3QH0i7NV4sPzDK6P3WXxgvkgp0o/HTGWzf7UJqhZEDaXLN0i9kytU5D7/W5w2tQv34BuMFm0JVHMaLNxT0Kv1VbAMUhMrDbgMqo21/TT7qa2gAlqoptRLsp2dmEyysNU17o9fXtUCFWq6mmYVGlFRaETM3Cnyt29aqdxOCDeWW7bS+FOaZJ6FTjLy2GHypqx8KVKf5qd4Iv14o7Wfhwt+OdEnuOfg8dfQoaFbfIjy9dbDEj5yfQa1VD6MxNJdbioooRV6zdkO1CPpX2lNZzwFsJQ1D513/9V3E2RVJ5I8X63jnvmEMIHizRKEjwpeoer6p0IJDy5qvJSbhiSfV0ILciOdndEOpYEICiUGkLLO84n0+4OS6lPamHmiHcW+09oLULPlI2WGU9iXPD7wnF5YyRfA2en8W+d3jweyHI0tAzEDmRa8cwFj6TSYqKOyieAJ2uqSM9d1EVv+T+SzQTZchn1F3FoPYoi8VFdr36A6aQVMFvdToftAjDyB9cC9VXU9UhxQ3cLR2p3bXd0/P6g5lBOzj8iz25EclzPek3B3YvyDRzMAcGKUXygu2fN3lD76WYhiPVRh/jPA1poreK9KQ6jof/ySIVX0C8oc7AWbdWb6/0TvqRxH8k2Su+pnyi2/GfaMHysYM2W4x/k8yyxpxj05k7US/hlpk5Q/hxw3tgzKtymt+ev44YLm0uKKqAqXXyW0fuHDYJ9e/AhKbLZSqdGVM2NmwvZOpdmdnNhZRFyP8BJ7a7zad65e3tXvkg6UDy4n4rKexNoMm57adoAWuyxtaJWlEF76e6MXehLi8PTyuhHj23BU9J3Oj1TKWisegPcMX5KTb74Q48rXJBb8JqvtPAQnSbBqY5Sa9BLgE9bF79Q9+jdWSAWfOSWbLDpCRL6OaBrtJzyTihDBjG7q7VT95Vrm1GKaEX52FL7NVYIVAdGH3Ij8JvJKMEe8GwsttoTRgHfGD2RckUY0iYzfpCINQVo1OSh/cbPE1pTxIQMzVFII7LhZCxICS+F0utdcnzY2kVITUV3huwB8SzBkkgmA/EYLIje+u+hCSJsHaA4QjWBAVM5ghJ2aow4kkeOwo2bc3O8t1PyuvEGJAT7jojAzSq39Cpp499mo3Fnw2iGp5y2+j20CL6+VJrP58IaSVJ5K34IujMt9mMt8AhENFxU088VK4j5OERxNmjY8g5xQUWc8/FgAuoAxgj0HVnCmPKzW/3AArSheWOsUUGoVyAwdKw0CbcscxzbJVcMaQWCwayyzNyIgNulLv/q0PML3UfKJDiuZIjUbIkgKw0v9NtaFFI8G/YinbCPwXz/bze/+aEktZ4zw7Vd4LXqLlX+lzs/xJ+HHEN7Y39kvSLRAQc88zHD6cDOEB7LGWwJYX1/2YlkP/BjMrKDCx285VQTHGdVvQu83dHv64ajauexCXDEpDl0fVsOrsTv+5sMZ6xJOILo56qEMcYRL9uJoNmOEpsD8uV+6JpOz6i1xfuHWZ/+SiIXzGT/MTWw/lBqSjJB+cqBRcq5X97jF04/ZRNKDxBVwBXGAtjJhy9YiYEs/oVu4AA0x2fPf/evUTu3WsH947JW/0o8KjNDv3AwYc+jt6wr98S4BP3zNXjI3zr+Ky26Ropj37xD2tP0dHrSclQsbnQ9jGVoejKm9Po6Og4ajV2Wt2KYvojG3MkJDej7HpCYZiO0N4w+1T06vKcFozbctDBiRSIdMyyfNQg+0b9LLL8wR8Q5VuTHzv+R2VfU6FOvgnct1cCbb5ZDIHH+W62mIxAZcx4CouYn97gImilDKDoKwgirq9iUECmix+CpSsKSlUlSdKXipFUxfbV1vavr1LU75MUAYpM9l3xx+Cn6PWKgsQmXr6pkmTLMeSHCQnc1m5p3xy4bwqvZy5d1bpm+doXByJrSaP5zGcdJHZHgbxa/+66fA9ln6UayRUO+aG955ZfrtiyS7cfF8ot4tfaIn4C3Gqq7oQrYKQSJwW5wy9U+EJheI7gHQrSkDFNVk5+fl2hG58cY0fDFU0aHZGus5OjTX8d1BwH9GoyQYMZV8gEo9Bd3CEdVnTggwHMkZPjnUiGbk6v6VTqiU7myQSH0CbnFbtttxbcAR5uLNs6LMtS0uht+Cw3aMgz5HPhBZP8GbL/Tj3LesT4QVY5duugP22W/KTRVzEi6yn/23xUlSVefzW3CVA7FCCFh/yZlmoEIfijzSm3UBWFKUFMSf8tL0LSkndvPma3GBnAziVfu2gT3pyaUelV01pAlgfCu7OU8a3aX7qYjCZP+ZY+ICPV4cu7F9YJ0qBiDbrSqDIay0QGhut5lC8HqYiRsHN62b0gdgqBV10BuQSJi9ah26dQoNOk/wDlkU+HKG7jjjTdDUgE9akllSLu1KNy0nZykgy2yUnncTn5Q+3duqQ0BYxwXVKaqu+B4s06Ow4UtjdtJiMWQYr3UeHSlW4rJvhHlQeXcMtydZ+wXP+r9PMmvavr2V7XeUJm9IDKU4XX5u1pr+1OWzzJpJOUPT/GfeQAasqA6BNM6QTcHHsao1oyw+AmdypPV4VJf5uI98I9O8m+jK9n/7tUYKcpS9dtPaICQ/Unw+i7gFhDW9nIWLJobY8vTmXM5ODkr38PNXc6zRxptgbK1umTfrYR6Z8uL88k1fBPkazTMOo0mpU9nW/kLk7pg7V1aT1DzclAkYhDd5s49B8Wh/8tmk7jyKTf+Uqajm4Lqss36g67qVJOBVVk9okFrOma8D2V8l60P59zoomdMGTe6PoYlR5P6V3S0WN7tHU3Blt24/8VRdrvfk1F2u/J5nM49HU0YNIIFxkM2MjQi7zQQ/COJs2+4GHkUXUDKTvX5GqPa7i+qLh+dJNhnonBBMHGwNTN8lWKPZNO5Ho/Y0aePjo/Pz2vlZA44nBIIw4mMZaLFP33kkeFRlEIJEN6VI5Hri5Jxkx1HKK9ln5Fx4YUadODOdATSgW8mLARIWsL1LACzOyGB9/+jKqKiUnx13eb4hX9jNhNM3+H2ZLkLt9RzzH72yqdCLEjSU8lN4hX66bocbACpHnbw7+tSCXgkuJm92UBX5Ewn6WY+eHx41SL/aPZ9QqjqkICJQfbqkBnh68ekcSk5/Vwb5skFrJ750AHlYkx5Vmcworx/1Rtmv77gA+RywgQt0dFcQOv7vcFakXHiptExyhmLu+H4WhmU0czsYsyRsV9mSuVRgbmnig4UuzZdA72D8kmk6reJdPL/9mn/+zfMWV2uqvU6pv5eH1Tt/G8usqFgMlrDcdNtLkvuOu1onOY3iHGLvXLHtTo+LXgGrnPe4rbISRrE5es8d3m9o7u2x1GQ2BRHcJn+zRmyN9+g/tGA8xz+b77Upe+tADa1hQ8FjcYU5d+hoDwVUBu3bd60fEd5wY5D5Z/pAMSXLEfXcj83ND3SSEiPD/aP/yPmP56dTde+vHbuMw5qaDVwrHAh8ka+6+k+iQX2PNTCFeZMHcCT/XaCZO8GCm/nc4/G9yvp80tMgAJs28wE+ywLT6A11B0VzZ1R5CP01PClWbxuBWymO+chE3GN9n1/TUbMHnZWKv17iTGERd9bu5ZtA3uNgYebqzPWns0b+lPoLuzP4TuV0N33niqgvZrvqBvSYr3+PXr4zenxxdRt9lrtOtJswV/T2amOEFjc1tCjlOnXa/sy4ssjUw3rwgTaSA358anRapFPq0fRa6ywbBogEWRNhxtY4j1s1y+hdhA0pPS9YTJDDrDkHWFe/CT3NqA037B6iKnMWNARux7vtyIjFgPiHQcssOb08v3F2/Pzk7PyYZaPLDiYcIPHyYKh4Fi5lSuXXpOAUgYGlABP/CoNFuCuZrUOfJ6MqV54yoDjM70I08yq+yioC/LB38yzXXmORb1Cc42MH14+rFAiW03MMIDLz96r6fd9D8W06mlc1BIp14Ia6/TrmWqz9ns4zNkez/42tAjmkrzGg/AlvypRXY9notBIvnpNBp+kiZobqtwL43oEKteM+YnPHk5QPr7YYAaJ4giqbn/kNQFT3dPUJvd1+4xpq/yF7aZ58JQZ/Ehmw2s/qVzp7RnNn8A9sp6XDG+UXGvJx3/rn9cfGEZtQY8l/jQ6ULGwmx2xR7Tyq8UMRrYItO2ISe4abXg1FXsue0qYlis5YDbO65SbqBcFbBnMu6h1ZiP+bdUOTsdjqG/a5m6fURufYDa7myT0EK+9ljmT1IZEZbBmrvxVJylgBv7GWKK6MnEAiN6mAfSaej5YsYldgp2Kfa7guGGg2MNK9xpoIxCdkGbOtNn5ScdKiREsy4DNH9SUncuX8emQERFMKnhhHt/js4lP0GfL8w+W1um4OyLWyqE6Kwv+TuHZJyHCuP1CVs1pydiBmHF5lGoIdtsrCXOJkCMNk3LVRQ9H0KJIwPeF3v0mfWBKoGRvHMqXiMamd2tlUY4V0oNsVVe/eEbLLG5186gkwdpvRZF3QnAYJKCzzjMn3R6/5lxgUSxT8zexNzjny39ELNg0zvI+mvobxX07AsPtOfaLirwQo7dUE6KI8rkXhNpmNbhuBSozbrolfyRg9DxCrzjtXYnKZ+JcuuV6ww41HCXIzsXxpJutRIw/WkMP/6GMVeHEvY0ui2rrJRb8eRqoni46YFNFiP63NPxwTiWvQu3juFew6g18HFrVLVuXkmLcZ08kUB2zwe9uXo3Sf08adUP9uv/+s1DwdFhQ4rO5RcsZpkfeFFXRukkL35Rejv3ov1CgC6v5dPGD77gjz9sf8HWpheUrM9DL2bJ0UHjj36xfvfhFzv56/YXa4cv5gPM4vuEgeXay3QLLxP4VPYW6vW6yRo+lf06fFsJJ8TNskDO9ZoXo50YH7CAzcKe6nrkBrBuCWbuJLKRqVHD9EGXtMvhu/hlLXKx6BtNQDvfPGQBD7U1w9bwXRjdbl5GjhfWlrH32DKeGTeJcz0fjTn2fC+zCytcpMAhiN7G8N7MNabV2tHPVfJ1lzcYctBYYevydMPlCb1OAUB4cJ0ESujcPLq1Fes/tmIXBX8xjpqDRvTDIrtjfpAfJp9Gscd9thRDLGR+fkL+vBkMPpszptD/Wi0gV1hp1NrtOFKXSVDVlJFFh8A4WRElbQz5VM87tegB99o8xkbgFcpgRQ4vM0CCa2rzpYIyoe9VAZsWwHoEkJFBOOaIx7cLc+8pCkE4iR9RBQz8yK364ZacCoSADaaM0AANHWCHFE4gWp33vP0Wv0LH1XSEDLFfzWCoONNk/cgA5N5xqRcmzlrMPjJHruKlCl0y0BsnmfT/yxkqUjU9tET9pyyRHJ9HjvmmJdoPjixSu4BDKkE5iBIRFCo7tJKCUUiYtHxe9XzsUOiTKQA0s/jh6Tcd8kpwyiWrsHVNBuGavAVAkHON1xfnYXd7bcEGj53yY3WiWeTNNQ8xz8xvd63qK4HY/DCrAwjB8DIVjxF42aXwQ8G7SzFHVC3FHNwY78MOhQD3y7Dm35snbMfh7bExFTdqdpJ9cLfIPs0+PhDMkRtM68cBoUzTjJdrkeKYKRg5uOSRuh2G6rTwZBhtbmyWzdnt9/vJdXrTSfq9drPb71/3W6ObNBnxj9n1qNEada977X6/22s0+zdZRhq79KA8TXrGHcGM7Y6L5sZOs1oASWVFirYNZg7ryW0pSIFDhJdSX0b/3CqIUjIKBXFd+u7S6ey/eptO5+DR0xlCIWIqV5NldFjfnF68Pfjp4PXx0ZvLqKrxk0G7Sk4BuHTylZpmATX8l/RpXkw2yfCvCDA39E98LQogZxYqQZ9hhm62YtWxdYGSxxcIseULFscT60THHIIh/mM0wUmIJBqdOYBDHNhUsu38VvIioWexF8aAqsfGV6g7TmRuEKiIXITUwKy29e2bz/fVmuxlirE9Rw+TzwHXiov0VE9YxV67B/iKS6YGqEtdU5OFWBdNEQ4j8/7q5MSyw0ZnEcQOH5DWuswWi/R6zSEMXEFSi+bSBZnhUWY/0d2dr1jVAdZsaRK5Zh1Ier158Zn2UcGtDHxIdr1tUMKTtxV2qlXaqdaLLIqsZ2hRnL+wlsB55u5doN6xtnUULqjSFhNzwtqFXnmeLVA1ZVCYBwyKsySpInwab4NiXRYNiktpmBs6zi2zw/7lgvVI+N4UdJNSWbNC6xaFbKU5i05n83DM4oZn1IzwV0ceZ3xaGYOTFfIMOg2v/bBJDzjn08WEQzra8p2/s5koS1d7LaB/IIwfJFuk5OHQ/VLpNawsKU0A2jLB2wAxYRu+4IWPpTGFozSFhdZGiR0ppaw3k8SROOGYTtN5gujib6uU+T9e0y7RPY4o2Ojs/xD9+IMby2BxFeJhbRrxGMIaAl9bYU+OPJpKRIgsIjfTNl4akpC8nVDFCMKbZd+MdTxAQFZdjwzGDjnrsoQyEMkIDToztXX7Ok9PW7QU7Vb/ZTpcvvRCBS7q+nM6+VgoMUkkwxEZH/a4mNcwSdhUxbXUBnIamtvY0VrXaHNVdU+52AKiAF8MSzbeJQmLZFD26Jxwk81LRg/Vkldh9dul1e8+y4i2FKGvtAG/14gGe6CVNv6VGkxd+4IEmH17ZGG3vnnvZbmMVimXwYiOS5wk2TNFkdF81Ty95/rb11qXduBJdNTrXGQ4wZapVxRUOnYzqF9sUF10A7sBdE17kW8F3+b7dJItltWk9u2u/iL69Zvvv736/su3u1ffxww6S7qbAWKi75J/S+i26Qedfv3Laxm+z5cLiPm52h7fdLC3VtcEqJ1wa7GnvHWPCuG5Emo+sjFGHVoVw5LUm71nrj7JgqHK6OsstS4hkNFyfXqlXfmyIrtL3o1ejueKxY3oK7gwxZU6nztbLaRk4fgWtzr85fXYFprnz4nN8XoPO1rPWzBATPKciroR+UY3IY+dlxKmjx92FQAByNkP88kMiGfbEjUba95AVH3Q7hZM+kPZ/wHPSJj6Oe9wgeHtRf3s5LhO9vTFBYEfXcslpyY7DzmcogMgfepGeBWQ9IbkC3yJOjy+QS5x/Wz/4Of9H49Cf6LoPhRdBfgD4Vp2SmuZbFhLaQzZ3Mz91AVtrS3oq7/Wj8/ql29/OKo3f/i7r2nPYHk9EtHZ4atauNJRVbsdu9F3WHT2vGrbFq/5HL+GVmFTRUZaTradvTfYSNbLwYpGp5UfyGWYRv8SXTAA66/fCBHnr99ESaPxz9H/SdDvmQ3w3z79o501R7+uup1+rxJVDy5+ATvcapKW8Mww9iPdp+aN/GU/adEdbeMlNcdL6yAcdg0gjN2iupZ8NvTpxRv6D4MAt1juCd9WOg5znlZo6D+KVIpjpYFE+PyIz6C0FKrZSWZIF4Fup2r0NdqotVvau5ojWcjLLtte2IU3nYXPbq1u/tU53Vny+DxEtKXWOWlV52Wkh5/PxkLUw21ZUbvRlpSNKdvX+2+AG8SlEmktkJiKXqjR6kmVI2k3irmWsjC3ni/MzecL88l4Or7j1gQRnbVMSqsZVX8CSC25VhpZ1/bWxbHrxBGSKLhoe17+SPaSoux5odBkqwrA0hEYbJIIZGWle0335zneOj05qkab5QkcSLSZceRAYSNNSIogbt2v9jPderrny0qZT0he8ekLk1fxWgYsLG2WTtXWjfF4uVHlXams4t7JUlhMstoZtlqo3LWAAQMGFL4w9uGz7xD1x3XrKhdD19LGV9FHqYJY27T0UJy7RUKXh01B8thWnGsEQotYNgiq1DNBN8CJ4rKE8ZY5vhkWVsbq0dbbMdJVQWsoShtBYb/qWovYWasc4KjKsApTXWxXtF6hFlG0892ElKmO4kHZYYGAJKZVWNuy8je37lYh1FUOYKnnbtVlmHj6dszR0Ph7EJc0W7W13Wk9I6ZzsUQ+z65JK2UUllWXDNLS7ETfk3X8EjUb2nUG2ElpA4wLGdmCE/32eOubF0Jdm3B3BMWazF1fA7jNr7hPr37AQKZGnCwDT1iJwWMrsam2cOH48qZO4tAszIqWayeMcs6MPoW1sqfFlwND6LMmW9egWOnlmg+bT9AnZvmjjlk4X8CZym9/+P6v3+7+8P1egcRFmVujHxngPfrh/Phy//gNfWNtjdrPlRbyeuJotJIqIWeX06klgX2gKug/LmgtysemwYiqi9MKaa+aJBHXJiLGvvS8baUHm7QiIGaA7rtJETZUFf5l//155/3FLwfMenl6cnRxeXwAQUs2HLnOcxfxk+Opiaqr6ccpVzJUgygzcwagItKEdbx8cPSCwkj8giPYajwpk+FzFqGPWMhrFDRRd31Vek9Lb3C6SJMUe16w6hieJWErtMTsbXzh5SLNb598/lqFWPJgteTzbgAcpRiRlN/J/pu3+69ZCn7i/3L6aZfHdvLd08n93XyVP/+91xTw+C4Di0ooFoHSDdrJYAPDd3/yWxeCQOti2b2SHpb5YnYznmSPKh8+tQf7UdUm9vR7AINbF4DBUxcCbu0Pb6LK/g8HlcKra8v+C0W9ECsIAAbF6fOJtteXNjspOz600ZzHOH7z4/uL18dna1yOrWe9H5Mt/vIju4gzZdCacA6u8ttvvzHdO0O8BC8+V6y6h1882rfK2WoqhZDRgrxFS/u+Tu95cvliSY7pTAZCwbVU7G3aunzFNs6AFpjrOBQgPZDr+8s+2Fz/KY7+lr5fdN7PZ7n9uMj+Zj+m9sOVq6WWw9i1BX+2sfqY3euorNAhxkpnSw9ETzWW4UVMrvGOnMByFWgLwzVfgAiEVY0HqNS6WkAxuxNdXDNmmJ9cCQmVc1k6lyXnIhY+fp8td7ZlwFoFD/9sgVLq1vN6dq7sds3Y0UcnDZJp9w86zm7UVRHG0ESytu5PtW8xVr0+x9ORUWfFhl7B2FVT9W+b7ZmwPW8U9z34WMsUjXbT5caKUnnJuuvHny4pTMegpBPeOmDg5w+YgA0K8C/7+haLqArqHore1jWHAV229PrPX9QfWCWgUBKsBI8N5YWSACIicrgwnCEgj2glhS9LB0H7M7jYH4fvmm/6xNb1LDjvYTInmy5mk7uNmZgKrZYU6DrRt1ff59dcyVEuHooS1089qf8Pkq3bYFJKi/Zw/vWIn2hSCnKYewVkKFAL09Xog0aVrn6FPJXvItD3YxjQT1waUdn0rXWxl1hr4KD3tWK3wobIRkU8ColQUd57LWu3q0JV57vWsQj5rqXOZFDMenhJX1UtWRYHrcSXsqJz7l1aBEEqJovzkJzRvaO2BOZglnS9hAw8sgeMQm35HZcH2SJu/90qLYUwB5UO60zZaHsrgZtJgsK9jyIq1bNZvuQiJjMRSXZgz9U4w2+hXVK0SmVdch71yi58M0GQq5MmGQlPpErVqi86xVkuYdgViFzr++SOSRMJZeup68w6eQB8YKUfyum+vZc4OIUAR/PNs7A6ouHV04ohbfZsUa+JbfbqMNMwJFYzli3W892yoy+qk1hHC1bc8uo8vRwGBt0ek8oH40WoadMnLiksE/Y0smSHpzwGHF38dHy2F00KDSCoDFsFzXPatQIfiltY7+bS5E7vOZ/7PJ+OuTtw6flqcX3L3a8KpO+Yr+RKAeb01ixQu7GeybZuD/HkqkbzxIkLfgiHpb05bH1XOA56KaTYKrFBF6xlqHuFiX8KzV+QLX8blv2xZf1u4f7SujNDF4tibTPmm/w02IneSG+gzN4urcsJUAPSAKQsoRt2ZAw+EsnZemZj1LjVHw7GFlyWQVe2kgtt1oUusHqi7BHOFof89SHaVmtB4nCvAJyB/tPcE7DnAqKx3lBQ3v3kWXnxdv28+8K8uL/AWpNM/IIOUGkWznR6ojKeVHj275PUKvHPuohAb0C2qdQreuD5NJkarVmuf/YGvtLZTwI1H2SRN75JpSh+vW4hw6z+klyLvZ7CiFbSGXKbj2pdzeq7FDyXsIKphbBA4OEhrrLrlBP+qKiZ/b82cACb/HEKrd8oiEa3JBrNl/UDhQsTNAWB3/r3zjmFrXZAeYkq6dV1RZFfosqXP1VMMGxkLI7+8/gsooj+8Ki8zf2melw6Va4ha6sRks6gMcAvWct3v+Pj7Uaj5vy2Yp5Ren/s0bcu9Uv6gdv1RVcbWaJq4AjUtk91P28A5cKVHYNla5NzbGZGH4A5mtI5PfEkV01XWKNB0DrQ7/ASCnFY6O/Wdp44m1Joi+WbYfMznanSB5KHKHbXlLpqVDtnAu23yCvo5J4XPqSIK/XRal5cZNxAWkvJu8227m77+XUWHCKusyBybr+kvCLhPgDiGtGXqE//v01vFVs5hftkrcYyuSJ1KWertNnkqYSJsKcWXMpL0HlJCrxNayAp8O7GFHj7d6TALRdWSnvL8IvCHBxZ8lsz/4yiFv05RYt2Y22hOl7EhQ66mEl76cp1H0gT55vyxEn9/zTbxVxx1QvUi3PjEtrJ2/LZkJcc7MJx4qGLqesM1u6J7pYEliSvrlbL5czXPJuNRm3bMvReVi7AOSq2QZLk9F6wEuvO5aDv6wRi4AN77url216q/4xkGlwvl0xr/d2Sac72JUnbfOWkwxYAgCU+YuEDVcEEIJhf/qmyyRDAWD43OYcxAPeCw35DJwrSXLOfYAsK9yZJutF8Nq/PZNqKfa+qm4nFoJpl4KD0Hjqe1uIiO7P1mA5eVNfQlBfKGbGFTZBZN+DrOtb+8us32qRW2Vj5aP6Oyoe4n0mnVAIpqrik0bYu9KTRBQXEBi+TOZCGBdg4RDEuDcXN0/TExXoS37y3vux4NzfaxWi601lUfnUJwNacAt76z4sxSed028Z1Gr+vuiD6JCYd82VZ0ybi94vu+zyThoA+RS30OtfcJWj+mOWPXl5YGLv+FFm7QZ3+20zKG5YkbsOSljdPvc62zavt0QludjqBD6won0FuonysdyKkiR+qV+iOytM2m5u31EoTsqFbNy15VkWtZbcrFtJiI94Lz93Z+dEvx0fvooOfjg5+rry81qav2l47Q4Ooeqbg2jJCgzyZJILWDkWzWz4Uk8LLlhfSfv+UNWw+3P/xoKIKej7YOavi08iRN2ov7+nQd+2vuVQIturpaOQdNkE7WjLlytJGDBbCOMf9L1FOKoF7EWvF4gTu0GqsxWb8/OVFtJfUVhhbS0QLrFXqnM4WR9HFhYN24VhU2dJtXf1n9I92X9gJfVg6jBvRVzd0cRab0857On3cb5j5bzeM8GCInP16jyc5nUn3vFfj0bxNnZ5WOirUNx6uqPVKi9feHC5nD4XK3fqi91XwGGgxNC70MCVdxaSVmFbbA4O309XrWGNxp7bt1Z6Ht/PSZNwW0SjAgprevjGMu+sQGRUHBiWGTHrPgsG7qoP6KB2E8gt3N9QORMkZlteDhYJOqbwgifvYFQ9KpYKuqxPEDq062tnZSZrtfu3FpQMSiQLmmE2JlvR+q+vsb8JMsgXn2YMKSzpT1ts8bMPw39NivojRYNui9l6+qN2vtKjtTvuPX9TeHuRvyu2z5UUMSiVb1zHcl21r2t/o4f9Q8PDX1IJB4ZHTZw69rVvJw4+d271haza4+62Xe/vlbHeXB0Xa/J8O/4f/2e7vPRwN6TNMPXRyebS0vHaDR0v2USVQ1fk1hTgcRCL5Sn/gj++Y5obl2aCAM1dsD7KK62u5Xt8W8ESKoJ4fJNt8pwPTFQU5LMBfFSvt3cfL7K7XEMTCBUbZgv5lyW2otqhuHFspbUS3sSHjYP6vphdszpW2wKcYhoPEcNVKkfh/nr1mDqfagwvNK9t+efqhHNKwnCYsp0l3T+q1uI8hShVzH04jWJIBQ/jKALy51D2m3ZjPS6G/DrVsXdpkzZ8+Sed50Ztkx7m7X+o0E4HYi8TPXX7mZqBCv4hGsg47Y8Nae0e8+Xw//HxDg7QuQyV0lCvFkfwwdSfescGd6av2m65ZA9jb8tIycvXUXuryKjc3JZJfcyI5x1kRQl/OGffWcsYdI4/QyTidVyw7VvrV399eLTViZtkpZZIrvC5c3d0qghWVweswXV7egwrjh9vCVbYf/kLM8eNkduXHrqMgc2rqoJA3rayvlH11s9Q9MbUcrlWp61qlfS9EZ+FObJ2YgUyNUlfrKSYk9qwLyp4ywIlzi20rrJ/598rW5Ws/lInXhPsu0u3GK6GjljV2+1//zH+Lmd+Ff9gNnXco8XcnF/i2AaW4JUGf2G/KMLK+BXL7JlnsZo/+f59xIF+wE5OJDOI/RRj9e29TB9vWsfNw8iZfM+vDQsomqnKz29kb6V+mtT04PTk5Oj843n/9/vjNL6fHB0e0A2f0GdfjTO7KVSbZgPOjy7fnb94fnP5ydK4f44bkeprX7ZL68fWV9k9IBojMT/f5qaF9RxjwhHUu5nnWTv2lJXqeePS7T8hyRlVOYsZowftb+h5/XvezHnJO65q9I20w+P0d06wcd7kRWv0aHoAz3B1+PiF6kj8x0+yTJNe/deUpBr33pDWT7K5btZx7vLW7m1m/5rfk+5NL9UO2TAU9RH9XedHSJo3fv7bydPQSdVO4eBFbTNeDHq3muyOujbotKNW3pLJi7YWSyASK7wQo5XhR8We2rnMhsDoFWkthiOz16QEd71dk15d3810fJkRVKI+nrKNiwARXldVcW8zuS93Sh+OlKt/wk2vS1zRQp7/9wA4eWZSLV5dnkV+LP5lX3mwMm81d2tdZynRNs7s7RpMnQ69t5r9jtZpfcbWs10Z6Vg3s0a9hzsiKANvyg8fij6AHaraEqdy2gr3G9hXMAyRkLaYwQhlqhYxfg2PAMWhhHIoei/FcGGIfGDeLbCK7K/+U5rvwZ+wTX6b21HXOubirRiaOes9f9KOw8F5cSHlnf9w7A2A5+6rZaJzP02UA0Xu3dY2TB5urN/VLW4uytDTXvKN53kPXdGUTnOl4UrdrPiCFTx50E7jlGQCYpfViPsIfggqyyOdgu0U5UzxaOdHOmBRWEslgliHjcJAWNfFV0bD7iPwWIp2jL4CXmWiujG89VUqtIHFCIfs53+rPOQ8UHR794te+ZieOC9/ZqO643Xg893GVkOn963L/fGMGqtt4rikqPkxw0IzxEhhQvKTTUV432D6R3WbyNLufFZfO71Z4SQ/hisXg8pzMGig05dR3Bpc3zSg2ciHGIHuIHUS05hr42M8EOs0sujjnCPXV+aGIyYqRjnna40jTEoxGkn4asz8ulGZ+JtlhFOZz0hUcxipWsqKQOvJE6XOeTZbjeR7rmN80Z0SO6fU93WD5mftqJ+lUP6tXzvccwJ+Iy+cs/QijPpNxpUVmoJ0c4DOZIaOzXKzoV/na6CfESMTXYVo2LxvNIdsoBT3cvlpkvq7M4CHDi/aSaUQbyzme+tV9XX+ECTGyOVunL25G/ktABqtLZtMo2IRb0JCxWFq6FurhZ/GFhAC1GpBxhjCdCanQgxmdo9lELBPPq7heIcYqN0Azz+wCWGCGRaObv2GoM6gDCqFWyzHgvsYMrsy8qQvmvaCfzsbXDJ8n04P7RxfR8eUbinJ+fhtHl+mX6Pgwjo5OzymiCUz+sU6WLdMrY+pkfw78V0G2HnDLnOeqfeXtO08quXF93s606Dcl4ZstPnJkCzljGRcRT00BZHWcOwPLxN4WlrwpC+tJWg2mU6VZtQz9VvZrL6gCiJs6Xd1dcYnFFbYgXgqKGuv4Bc863YDgbSk3BLCQcrDlkcAchkDY4uNAHHLuuRUD71yW63S+XC34rAuGVohc1hUxYZYrKSGGYLwrATWw8S+/pF95w0BSXCzl5jj0XKTReszdjPt7pES0QOdbOmESVFrJqdHyVsEq3UHHRafBOLYgiVJSMJI1er+dnR2xxaxrKxJ1mIxKCldubffNkfzP0eczzxZ1Xxsi1bb0XSyK/2twLS9eodkVK491mVZg5II0MluvTV6otigxgSubd6q028J44fjh9tw2w5Cgruo4pRyF92gGQ6g+xqdxPr6aGK4yC2e6CAipUFsiSduf5DORKr+Htn3Gas77CAxiKztg+9pM/eEZp6MVcPISuk5NOX7Zz5QtEJK8jNk6OBG7K79VPyfXnHaV55/oXJ/zpC0tEInB8oTz5Abnn32KrlbjyejleigX1tFww4rAfA6IlnVQHlLbsrr2lI5mEA3pgB+SjjLb6/FS3lw/YkaHc3SameROye026NobNhT1RqtrSIesGz/Kg3YodnkQzxkNWr0sL3Ar2/t4q7UTvYM5mvGT5eQs0FnOFf7aiJlpeWBOLQ4CP4v9Ni94IVpl+y9yWvRULmYkkHc6q5ivBGI7VTRkx/YEEJ1xYVdYbajHIWXmgLQjxGeE5uXbuvED1gI6JVCkb64K+4Two98xPOmE3X52fjDDgqZPmGHaj0lWn48zetiA5JMe0u1Xbox34X2l5LEN/dGmfvgIUhQGHC161wmFDpVxnq8ymUX7gnKASNHxmd+D+2wZkQebKyc88oHi5lrj0xITZzlYP0CZOf4wdZVCvvdO9Gr8xZgFFS5TaXyUsVF+bmkDrPwrANVtdL62T9Ak4QckatBzcrr4kE7Hv4mjx9IzdB1KVUcOGFBr7Y9Gu0eeX4d20netxAXyz1gpEZH+ncF+zCcrWVK2dg63n5+JLZG2eaHLrJX4h7RjxSaJpxT9FGBIVcIddExbyTqYt2+5HuY1Ny8hd6cNO82nLOEDPKcPsAhKixaOJPOlwFwHvJ0NFTwUGozpqebQ+oWUKQ4LdTfjyRLdHsYeapvD5TflbMQyeVZEPzlJlgb9e7dkL/+QxTmdRmt8mKjDkcvADyisjOKuP0bLuO64q3QgKgz9IywVHT6KZRmuS+grFfu8QMjoGd9s1eBOBBQGyBtYL/t8tZjPcqMNCQwFeDP5fRypzk745Fp2lQfhj21lF1Hlr9xBarUdN4L5EryN5LOMc6aiV6ik5Cvvnsfky4eeH9QmsaW+7wIYJ3c2/8yCTl4QWYqlnXklkEC4rNRYRrdKSww7Dq54PrTh5eGZTcSk3uXZhElBC+fLkgUSmzN+SgYoXTs544X5pSIhq+lGj/Q5S/aAR+pgFlUXhFkUTjYZm/U88ziqKh++NVMApss0UrQVJCIkBsYntRP5IpY55v4gbKTBxkJ/ZjwI8o4mSITTZzi3RIbQZtbt2fmBSYhXtOP3bqcMazH1scl0jRfbCIlREFU91qjRg9PKZ1N6Bj433t372ptQnlx0XMxv1phQ6GAVubXyMK/CuqWi0R7cGg4gmGKYqXQtD1oYdhCFwXLoHgKWiVHlSa0sZlPx6LhLDgKfcizgHBhWUWX1U4o9WWVLCxI6dKcz+FZfewnPkLmyR3fBgDA3wO0hmaArt9UHg8ODJArsGj27BPgcGC0D9Hl+i1/QPUPac5KB/rtoh9gXODseOk4xDWmDo6+QEExBl9EBkFDInMEdjKrfGw033L07euhc9cuNIiDjmhwJBQ+3KRbSidQ74KO8ycZ40jVFPAIkxos3YUOk9JBDhlApDgjRF0sDcUmnKKksZupcmC0MPsO/4o1krcleqEOpsbF1uPa5auprUGdJ/ZBz31HG3vKHmeYp6cBP9boF/rgVY7oz3KPHbbTRijz4WDBcQbvB8BzpJxP04rQSvm+AZvw7un/+MRcR4/uMZisKduowoSx7ihIhqadcDb+8DbgMPs/2NOq/DljWtvNTa6wDRCVZMdbL2mqVpR+nSp+pLHufZ4Izku8IRmlcpGqHZuTPppJxZsX4KYOznXquxBKouKpOgMXXC41IOeugHILLVRVstXLZv73gmft/awcrLy25opeb/QJa0LoSrzvsDZsSdPGRhEF1fQdRkPJi2FJVnBTicwQqVN6KB0DHsGKYABV5XoCQ0Bckhvss0Ea88t6A8Ew6n3FZy/0SawfG+6aszhdcY9voakts6w/PBwCCfBaB5z+uFgiSXQKJhR8KPjX+PE+JVVQBCoGULRYssVhQc9lgQEkPLmWUvUiXuInQdV+6vZe3M8bjYIFYgdieli2/o6txFYDjcc4GsBDx7gjYRL3EqeXEeSSM7KtxfquiS/J1R79khe6KGlqVyZm8c0aemxTQcIbJdH2oYEgrBwRunkuW6m+rsUud8bNerXKO+fM6ukKwhelET9uHbLqiP1Kk0+S+xI9QElep0VqqI+SHOu7Aok5iu5peK5jIJdw7i8oFjYob96esHSt7uv5I7HlS0Ttkf/fcxosjG5AGinZw7LZOgCdc+NJKlloUvv1sIujAfAUwy7xxCaexQAVBIuwpPyBXiKladm1FLKBQxTKlFqXoLW6yjM3agkKElPTaE81KMmz0HzUr545KLsiYVs9btQ2Zs07TF6AgIeeSI2em4pTdw0mI52C810KrKzST42lJHH2KnxFXMkw0kAguyLZSfM+iDAqVOEr6lvKn7YkBmBf4+5Lax8Ay6Vkt8Vg6l1NtU5MDXuQA8+z6esUOG7+kO7F27EX9O3w2+qQmpfjTzAMjRt6T5myg6NMAsKUtuOKb37Jh47/yu/kQtZgZESeEccoRUDm1sMsaQRTeHZ34MVLtfgIhq99MWNuFFzD5Y7tfl/Sa5PmcQAY97KLDx45Prar5qFr84GkJ72UHR4RHpFjZk10XvsKG6do0aW1Ob0T8/RbnsSOQUS8RCGC8c6Td06WlzdJNGUv3DoaId1PgnHLmlMVzQybTv2kp42qX0+jhHCnLpcwkVgKsKbZxWYnturXxnCatYauzdk4fSM6JSIl9HwZgYvuHJ8dv3HSfgIq5HNGEjkB9wfqUvZQ6dmTMfSdLMHfkmfFraM7ggUQVx0Vo0EDaaXJTd4ic7IR+WKWLUeA4syQYsBrt7hobIR8ZXx98iPemKtVAV/fDTuskwdufaxs4CwG6L+nBMjEgHUBSDasSCVUxolIAjeqLiahqUhSDmJTtulTyPQPmQ7SX1qxPTrNkhpLWoPml3+45+ZX7xi70TtrtLn2g4UnVjMbXBQ0ooOZKUtfssOzf3NTVvHAKiqR8pe0vdQvtr+7pOJDa/GxKTR8qDM/oM6hv+D5DvfXn8Yh2ldaGPdAnn4TmUwN6Ui9cmoAChT9ys1oUg8ar1QeOCjjHGvRw1VP2aEUyb8lscwjC0mrE2NeLWS76hokHUAJgt6N6cPJXLK+VeV4fvnHL/fbnOKpkO2T2GwmTzkp1Rz5KDzOfkUWbIKRQxS1t1fn4N3ZqOH2WB7+WJoIxc6tnrGPUn6oDsVPSA9czkpW7ChAOeeE5GXGF6Ja79mNuqlmkyrrJb8su7VS8UoY3xZXVF1C2GIeUwlLKyXuvA2VUVJVmbgQyLHrASRtZR0saHYLTV7PMXt0DwCdEII/2HT9HynEQnUvebzCE0pMKDrU/SFKeXsrhJcVXOFG5zBdJZTZE/qM9BzsgTrkaTwG6imG8LZWBNEYc1s7ocNys6L5/vjh9o24DPe14lG0yCQgCoZgsaz/VGvqLZX6z9r+E6+D8L37W+2K7gQOYw3y4tWdozTl33nvgumLSUktPSYCQRLomBR22NIP4lqdqyh0DcHWjn472D31216RFWzd4J62+DIpRVCqkCF2LffHBqT/La6OgxMJBtnXPdV+w16/enDajPOqrrTtjO46Vyb1oq/+AH2lHW+YnxV+RUEqeglUGRVBsqTJU1ckkBg4AH3vG9NOWEr88Cjhob1u6uSshYGz2yWqzN2w3nqg2aWHGS2npjcXluuWW+dUcqbOh9cQ4Ok4QzQu8vrh0UrhVxE0KrKGZUmOiQx2YY/lncXZWaKHuJALABGBO68aBBKsBK+OJbwzvFXWt2P7CxitfXS3HSyV0D86qDmKGykfpWX/LFjP65H9JT588EwcKV9a9FqTUfqIfJtlVulAsO4PdZ7DIEVK/TlKUP9Ugyr4d332I8sX1d1/4ELAm+S75nl9R20PkFUNzandHZmORaXkC6afr2xnbsnB0tcwn5HSQKOvjkWGZ0LldkhxJHbQWNBVKbR6fvlDaO6u30QLMxz9n6CEEbLGOV0go7JcHPdQwknRGtJP7MGyaFooqd906Gzhp2FA0SHKlj6bXi/u5Zv8WOKwC9yqvrbKBYJHTLjuVIOFYeaftqHSP8ZStEk97YP8XY4FP5vaAHLQc6Bl32Wht1I2qJ8eXJ/VPqwm7pLQxNbrBETT/FZ2DjLEE048uGSCKgKuztoipHJKJNkNSXLjIDGmiwlT3nGXieF60FhnQvKKSyCp8CYx1RVH9y+sIFkf7YrldfSf6a/0VV87qp2rQDo/e/EdMvz2QKlb9ktbU/XE6y6fjmxu1ytNZHaczOuB2hLo2Q0quUWrsvB7cqOI6V0uMpet6p3XZaA2b/WHSelpJfF3tFDQfeg5YuCVedIHbslTOdQOryEpZeWrKXp2kS6TKpyGQrj6y0wDYFKjND9nSIsJK8TFU92uuxyqsqymI0qeFc8pvgkRPSD4p+kSIWVhioEG/4938U4SSs6p/VvCkbQOUSl9/dEZclRYyhEtyz1PaWKt/Wl8olzkl9czlUBeGIwdm8ZQVB/fW2iGwMiIa+Yr9Nmn95+a8K/rEnQshYav4G2PNn5IR0KXIsACYf16o4mZzyOrLtmI+XtwHLgR6uWGejK3tCvuLjnYrdiMFZGknng+tu8Zg7r4bLWbWEWy1fa7sw++ru2rx3XhUV19UnwKTI9bvSYEOb6yB+YtB5i4ps3vckVSXfhdSurmvv5Z7CUzsQto5IEajTqZnXqgVSFyxWHmhJ54Pnw4jGIwXvdrVPVpr0xU3/yx11158NDfl/lbT6Lxt1NP83Rp8KHbIoel8rYIPRKfl+JF9Hzp7A6XEn9TXy6k/PbrsesPlHkatgRq3zy7J1woyQEpFudE/kxhZKpDXk1ku7XmzpcrJ51tg6qK95AM91Fy4LwspK2k7wWvUi0TO2GfgBY0CqKB4e+rDt+PQpl8hPx2Hyeug7q9zAM6AOozbR6IYDR61hVXqJnwSWCvE67RolUKzQSpNlOQEcUIg3lCkx4vkQLJGkdSxKkl2H3UBerS7e2xtkC2WfNjQcgs4O4q9j31F81qsFHgWj9RZpeWrRRgDHJ6exObT2ckVINKcqyWsHL5ESaffqyddCldAvZe0u41o/kVTE8WCEFfH1bRYqwmUisuKmJcvzgCXBYZRc+C7ySQZcGDdpv9C30S3KBmxQk9hLKE7f+LQ2qPj6AjO4r9E++z76lc+LFKlFrqQUSFelX2WJraP/xK9Js9Am+AMYCg36wkWEYp96wGbHmsIPgycEEUKOkmC1LQlUTsOGrLRbWsmms+4Dlsp2tFCkVM7wA91kLsSytxMZAgDmwVKBWbrPv7lyAKyK0k0mDjiEGFs3TXrWo/nQi0jvi2FMc0We/5g4yH1oVpnEFUrB3zWOUipyLG3PDMbwqA9t9iLMgIFoeZ5FZR9Yqy9uXfDwjChRgI61eI+QKwtD+ph3AEhnM+lZkG6/o5c/PunqedWMkx6z+1cecd2A37wn2lZpV2aM0fNXh+DYmPNw8iKWIShPW7kEFz8fHx2dnT4/vjN/sElL72Zq2BaLRi6ijFLQJbvzdH5/uVRjIXVmj0nZHsDXkikZhsFtYuWpqCclPjJO9pY1uz0455Gw4W5NXuSGRoq8vHdnMukjn3z5sY8HOuoDlbHjeDJueJ2alJKt6EbJY0JOVzr6ajU7pgGN5e5IIfmn005JAh23s1T51KRFZPOW8NpOOAP0tKwJbUct86/PFE6uhTSP8Wvfp2NuIgF9f0xy+ZaqCw4UOed4cY+WDkgI9cEw58h1bfWUUtnDeF0oedEJwYuGklSv2iQHXcq/LyJTHJ9wjZNICuZWabR5g929YPnbS2HSUmdvuOwRdSjcMiQLiM1IHNWgV1KgdaSV4Iwi1b7otHsURhH0iVuNYaBxJnnIVT4spr10lhZHqUTGRGqLIV+hh3Tp+wW+VmDYftJ5ZtXtkYyLMbG4mhKDuZN/TC1ZnRa0na/RncX7vWAhARDj8gdoSQwaAI1vtPZcz6Z5UPo+Gl6Jmm3m/ypdm/HmP6c46b8HEjqj8SvvZe1d3Y5LROnbVqBpDVMumsFrAe02bsw4UTPy8K5KeOEfg3fVqJ7YtmmNQ56hy0XGyJUbBBmcXQXzj3HBZyJ2KBlYrMXdQG9h3NkGB5K8cTFAn6+bxkl4tsx/8dSWfxxpHo0yfN9MZ9VSPbQW4OdTeBteStibU6ICwYo18E/5G80GaX+peT1lzase8teBA9WLFES4buQGyT5uFyTSIzqRCvB1RDfXXrPaz/0ht43fpKl5RrXryva6Gb43zHTklcOgk+KiuRWrSws41esRF2YOpc0UrWys7PDH1AX6GN2z3f8V/p/lz+e7FdifdJfEI2CzkhnEz+bL4aIiXwl9hQtu9/tqLvJhoo/y39TRVNwjCPWlblxHdnr21LxKSF9WGJVkvZl+QzGVpCRprvUXXs6Mlp+WMcu4BpumNjL+91uTsfmPMkqflSeIA1AJvQ1NDJzYABlt+D+Ms6tLVZKuqHMPK6zX5zAMeI6DqysPnqjYZyDjLSJTKnZo8aEmbc01y7pc00l7pNRvafoMze9CYHTJe/VHlURbTZp7fawNXjSjOPSJS4sR45YyBiIPrMtMtsEdTWRfgYuJMnsg5oNx43qRj6kDWGEyrn2FyHkGt+YYXRnHmlvwyVYGNB9VTx6Q/ehU/km+HauHRIhzLm0iDGcWMk9iaPDy4Pogh2bFXdv8Zw2/gJ5HSsUBI8o8r3pfzSVzRkM368WxHdaxBdtgI52iZRN4thNseTyg/MfLsMhcvC191ZlFHcR6mrvX7hhC/TmYWfXJiK4j++DJAoPYC53BXRENZpUT7Aap3SqSOO+O7kIvNs4OscM52e3fqRnkFEWjnZmsgs3hQdQluiAwofX/W+7jIjFYcb98/R50kuxxHQ67JGWjdClB0bUiyOCuEjv8pVjWKDPXfzHmwNGqOdtPOH425pV0HWF6Rh2NOWXubNiqBSvDFugNEWzK1lQOQy53d+NwkhvjwRiLItcdCz0buix0+4gGPGHGziUTs9mt1uhAlI6QdHt6LEP6fj2/DSfNb2+nHzvKwvypaYiJQ9o1T82HNW8kPYEI1x6xX9p9IbthFc7aUen3DSGuLesFhzSxV5BjVxljgwjlnV299asox+nWU2dbz+bFmBgkS6DfllkPsfu24hw/CwGr/vku/TTSOdMLkYiGJmqs7FgkapzTX5kDZ6g0+MHs/S5tc5pD5FNEPqZIpmC8hM+VeERc9JU2yujJOCKgEn1w2AAHopOpzJ/S0eAxHOR1V2KsoCEhaexJBD3iyBhCfNXxnpwoA4FqIdj9l8ufn7rlt/hCAvsA502xn0Q/2vqoSS0e/LJclmu7z6UzO1E1aRVVxHjq5QTul7faNe/yESQ5e32fkeWdxh1usWkblTtNH02ComtNhcUXLoid/AkGu8gqXub+omlGuOBhonhateuiCu469W2pYzVZUm6sXbBMFAi9x1vaPO0mZGfKA5x1EnjXFPNElCj52PTGDS/+gdUbg3UW5vT1D+QvBFMjg5aqNZeT61ph2RHXswlv+z3g5pYs/yjKT92A7VAyZ/lfcfeOcup9RtYYImt2HHfwJypI8eOlmcnOpnlriTDaBLLYsOmb9aNpEfAzpRF4uaGBW0EHnyWU010EPIhN/qPmHbeoh0S2HB82A8M88txIdXmFpoacuiUuOixuvajhJNnzYF+cktLu1IZn6QLPuxIq0lMCl24liWRC7e6zO7Ht13ce8SMuqTddWxGO5G6lpntgVWkWADggRWfHZYb36FMV7hd1ySKu89pNdAJHE7zh1sk/UIKVVrhIz323b1JT+OkUCujxWXBncO349EIeRPG4cplIxH2aSmLS8o8KEWKVLQu7/FUWqOQV0Av160DK2y0+qTMg+ZO19zNQTYfHNlDgxqR2EhCwMzSIuSI3ViN2LMEcvbJI6g1Gr2ab/LHia1MeTcmaGkNGksqkTTFuYazPBx81FXqBwMncnq8IKyudIANra3oVVZFaRhIV/fux3rU6m4YXqfnbHU6Nv9Mwj7o/LOeuLsSPNHSjcEng6KjDC9K0cSQ5Bn5/iVpyUOc6kOHuJyCiV0sfMudL1ZsluoZ8lQQUU6XkdTMPkgt2MUOfObZVuTSX+d6mnodROWaqlb57/YdB1K7OYzon6bZqwnUb8xkiCcUBK3u4qjdI+f6MzPGFkxIEhgRLuVaSWPoaIarfCnO6R/QpjCi0VhHCDVCO+FOeu7ss1pyHIyJy+CyNcWQMpsVInifN9HMDHdTjEbOkxJwA6TbwhSLtCrptYrgfKww4ISA4JgV9GdYNKnV+9FxPxmfB2aETiHCDdnEPSVPaKlHtx6raDrEe+Y6/MQtkFez0T1GJKWIKQOxsQwKK+gGn03OqV9PVqNMW/aSppUE1gOx2SKAD8HcmuRmQHiOfoucXWLapO/8C34XzuXZPfpcRGSj5E6SBTWSjuIDDJkFjN6eI/2tu04HZMmh/kGP911FZhndtgQD7zyPJ31pO6zkxlPunZWjJEpD4HVci0+n0YAk5NapTHtKQi1qY1OXlAT8sQcsVUzbV4IuizQASLhnn9ynkr2A8iiA2MLMZgwAT+vrdZnOgFUzTKBGt6sPGcq2q7maxw2iwn+3mpuVsS+O3lz6wajprJTzG+c2WS3AgC2bJEkLmagw9bU2oxEMISrKjdGcmIZGxkfwcBy8io2ZckM6SVCIz6qP0n1q+mowbA6eBkDVHbotV1UpSXUKacL0iqS2NoSxMeZJsky6pFxwK+hNhrsIORe9fA//ZeiyFmiCQ4Qi79hg2jLoEJfc4oBHObX0Mz0VqAbPfh6BqMNxgKx9mpwF3/snborMckrqE9xfBgehE72ecF5pV0Ths9fBsyEW2a9TtDs0N23YGkr/uwrUbB14d/1p+zGfRU9fqWm9Mv/Xxp0fUMw+7LQfj726QYzJQRSZHBc8wSCjQC39i1Jy8j1CEvAwey3CtmGUdANfupp0CsFOAst3zzawXYiJOm0fZlG4ZPaR1iOIsGTnuuUIyR49LHBu5YfUoj8yG8zR3oiOJWwJqMk0GyGOpZ90Y409uS+CYQZ5TOutbEpVJA5UmHbpxOsNwZNs+oGOFvbZlJvD5tcv3GZf2IPljgQy03GgRgTAW9UQrgE3hpYWA1NqxvWBtaA0Mq3ILtYqt5KFGUoYRW0K0nPEPam3TK2rc+aSmM9GBkSttYW6ZoZMicDJk5VD6HabTm4iHqePqtwrouYp9klpAOXHQbbSEIEco5GhBoW1FB7pWKYfWKnUNiORDQtVDZU850atOVBiRNmvqeTeGBRqTOqcxfDzWEuVzbjcZJMxN5BZ1lebjKnFPDZtde25DPl4mmoIZhpV38gXJfOQR0INVHcwVMhX6H668QZWOYF3kpdnTAU3wAiAjGeOdd/F+Atc4mKeRaFG9Ast7x/z46KjxkICcYufoMiSxjBJhkn7SVOG3U38sNVdW4Rd7ZvZ5SfnBVn/y3/zOvxPzfAmMab3XLURVSUWPcL9GX1kZ5l/GSadhHliFlzNQH+2GkkN1DkVBb/HRdTwm9hXXsw+sMKo6RRIc6ARSK9nP/R1b1r9gHRsoLrSo6yUtWYZe4PeQbMBNsFvP/Q6sef0kh/sKfomGE0/hsNMjiJLmRpFrV+iw8nzwwroGfrtfGuranTxLMaaWfgDRMWap/zjzGe5Yl86Tyz375F5kI16fj2bZ4alKVCtFHovlnXWrew1uGliMgxGz4suDXZwRwGJeLwOFx9kmAz5BYN26kaba8LPz3EeZFLGsym0WtFiAXijxOxWXWdarskA2/UD3MSOniHg+nXiwPoHOIZsaPIJzxuak6Z3GtScvRhldUcBq8pzgLnykB7VDevnjmU22n+yyxRS9Vzdh3ox0JglJmdd+D9ICwWZHSjHTAAWlFl8tAbEKyPDSLkpohC/kVYUmGe2xVTWpHXiDUqurJ3kZUlrAFlDWnGvsiBLnUKcaONnDqZNsCVuFIRUUB7PNlavqxc6xfBIbbgmbw7rv0Ajv4i2AJBg37lZPHNd9XEhxnigXMZNeSUWx9nCIjI/NR1VG647zJDeakMPFFAfZdwBKciDasU0uErMoQBKiZuaZKAlU7Rd+6FXK8K/2QzHuBjXShDNK4HHLwaaQCeT+dfcjhp3jSG3ohwCQe8/L+WLhfah6K9nPenSzUWe/Cmzz7gSYAeypwtoiBe3GtSSZeOyzd3YmoQ5XwVCJ+4VU6Yv6diQPOnB7WLMLA55dOg4wpp1tSD0z57+s/pL0hlYiNfkNJhZLJJ4NEPKMc9dh37J+I+d42/tsmlUORznyNOPFhTXVCxrWeMEnBwYboX8HB4bm7bFlD6jjKLlVBL0AHFhv93jdpag/Nd3pwts096w+YTqWM92o1YqB/aCUA2IKwy5LFFId2B29RViMXpaDL12bpJRI+s03TL2yPtEew4FqO1BCFtCqx8Gac6r58OMDN5CeembobfqYgPXVxm2b6rvax5Dq6PJe4of3ZsIW2HVSFTN9nRp98WfbvVcWMmxqfr8Iler+UYgMG4nYjphQZF+mDh6jT003+yk25CsGJDYJUKtc37CfRSbuy7KbWCsdbWtRcBPJFNWpIdxISea3nne9aFIB7gAm3vNfIVA8pv7q+Wt407UCUoyoWQ0brXdDfb7+hpEl/gFI6LwOur2dBONgPbKKTEPwuLkwK+6es3+Fzo0zdrWc1JYnswkwd9KRVf1JFawDiq7G45KBLeP1kSCTG0v70TJbpP7jRduSuVmxRPO9ipGNWnRFLJWvwFzgN//Ldk1vrH/zTHJa1qH0aRI+o7b8thGXt3L/6rbMWDOW2YV7ZLQN3pqmNGzspo4PFW9qeTKASaJzUVT+vUELAU3XJ3Y0+kwAazyUeVYCe7W4lAXbHpPvIRWZEcV6gHTtSE65lMUWYf8kmH7SW3f570hXE6PBVCcpdymPHZcfr4q7pXk4TVNLzl4kv1xAZokiG5rOLVQX1feXKss+A56uGYG1Jd6xAZfXdk4++SMhZYgSBLJuL09puvN79Xuq86j50dwLgVQlBKZbecuna5IR3yajUeVCEPnnPNSODpjGJLfc43I3pLlfTa1/r1pBpt8o7gbaXRxuX9ydvH+4uh8//0JQz3MJhPoJK+zbZQwAnfbnVR3tMIEJ2tPnQLuzdbCKInTl6XOXvIjKQhJ/kfIS8GXrmBpHaFSsx9VtbonbBG+ExJdySOAaudxORzKi+3Uvv06d/3XueTLYmWmzD0NOBJ32Lx18i++6R1QDG/a3avujfJw3iTtq+ubBp3DgsT/12qkbZ0eqsyOLvLu3HUF2y9vNl0vvYaZZ7APHY3dgCttBIZs7ci7hl72eFJs8gzzuvLEhjGFlRwhVpI6+V40F2Iq1RkFPVLUHiFTAIAPw3zDHyAdSFGnE6zf1GCtY4Q3aCqqo2Mx1q5LTHSwD/HEvsuoGowV1cqdr2FPJq9foScztP9ApgHjGCcr0ZoZRzaICUflpNhlKduwBFzNIhOOZhsnxDtkmSeWYM6HWS7Wq9ivHgvCQQGGPHg5HQ8QCE34uByHSgNrwKcWC1ow6SbPNJZnBjWeolvgM4MT3a83BYZL6enEZM6lwEmrzFthgoM7Fn5HOcqi1Oh72XLhYlq4nlOvRNr0QKXUAC85Hbc/QGDFS/+sgVPowjv+gCk3uFzBVbFwnJSezh1tZqhCMdWqm9LNIR1qV3X9p+vup0glgD4fC94no5svoTD2ogtGrsNcUqMl7X/s63OTQNX4R+XULTVB57t4kWkqNjlCryq/DLbcH85aOAtt8a3kxzSFQ17h3TCYwL9TCsFiLMMFKASgO87xtfSA6LKqZxVSP9+IR1ymF8r/Dpu+tDYzJRtqCf6aXbIwhGDtwRK4ys9du9+PgD6NlXok9i6toycUXpxF7PBo0UP3ev+Ho9ekuQ5PGfE8uvjp+IyBbYPeZSe6nIdIKCBCfY3jt1JDsoeceLoo95+YMBgGhSqHBMm2BMoVkUqAz1dwhfGc5A0XXW7uEZGy3wbnW31szMkZv2IQbkEj7S83RF0uwboPI1rIvOjYaZHIL6+Jd0NHYJu3L34HNLq7QWxVNH9LucGcHLJ8X5GTEfLxRfycWIhhwujq8HYkvL5g2fig7QSZIbsgBqd1IXsfzP4hHzOLPqwyQStRTMPPt/eFiIldKD8jj8JM2MkF9GGd5xZmnHspXksnjQBSuKxHKvsDz1CG5LFWeEtW4dKCenxxWu93SbGIX81ztjfc3F+l1/nPWthZqQ1D5OdMBOaFn+8PkV5ukykFyhIvvB8DWGl1hc7ZGUMkcl6bTjapGvovxrOCiWUJjhnOCc5Q0oTHljSG7Saqq4Zq9L4UZr8vh9nv1WwbACbnvcmTV0ABRIxjnTHc8w3p6ETjC2VffP0RQ3RusIB0dZUZYBMmCKZItF+Xh9TkpbJQ8itfBRBiM/UkBb4NzTwW+JPu7iWaVwCG5MgwB2RJAFYEvqPz1zz6wycMORqMq7taap2Rkw2dSWBEOC0xW9i8Lne0ao4Nr2QaQ7r8CplXshlyofw2nWeeYtNgqMjwjjPtXGM8JQF/2HOdKNpzChSndMSD06JB06UomFsIJqcDrSQrNWxrbFygU270R4jqeiqp6pwEq9olrXZtqHM/bkQCXJQS2vFRavZb0cVHgUPA3hVQoaVdhxO1FbkMr5LaR/p0RdEamPTqKpxx4pwje4h1Djs9sZn004QuoG+o8lA3ghVigQndnYTfxRuaEdjR13J8h8Iv86yVZjbVlZiNDZ8ZDDuDb/7n/wcBdYvJ</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(Cowork) for Manoj</dc:creator>
  <dc:title xmlns:dc="http://purl.org/dc/elements/1.1/">Multiship - QA bug list</dc:title>
  <dcterms:created xmlns:dcterms="http://purl.org/dc/terms/" xmlns:xsi="http://www.w3.org/2001/XMLSchema-instance" xsi:type="dcterms:W3CDTF">2026-10-16T05:20:46Z</dcterms:created>
  <dcterms:modified xmlns:dcterms="http://purl.org/dc/terms/" xmlns:xsi="http://www.w3.org/2001/XMLSchema-instance" xsi:type="dcterms:W3CDTF">2026-10-17T03:18:42Z</dcterms:modified>
  <cp:lastModifiedBy>Claude (Cowork) for Manoj</cp:lastModifiedBy>
</cp:coreProperties>
</file>