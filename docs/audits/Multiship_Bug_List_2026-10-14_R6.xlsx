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ummary" sheetId="1" state="visible" r:id="rId1"/>
    <sheet xmlns:r="http://schemas.openxmlformats.org/officeDocument/2006/relationships" name="Bugs" sheetId="2" state="visible" r:id="rId2"/>
    <sheet xmlns:r="http://schemas.openxmlformats.org/officeDocument/2006/relationships" name="Coverage" sheetId="3" state="visible" r:id="rId3"/>
    <sheet xmlns:r="http://schemas.openxmlformats.org/officeDocument/2006/relationships" name="Screens" sheetId="4" state="visible" r:id="rId4"/>
    <sheet xmlns:r="http://schemas.openxmlformats.org/officeDocument/2006/relationships" name="Flows" sheetId="5" state="visible" r:id="rId5"/>
    <sheet xmlns:r="http://schemas.openxmlformats.org/officeDocument/2006/relationships" name="Test data" sheetId="6" state="visible" r:id="rId6"/>
    <sheet xmlns:r="http://schemas.openxmlformats.org/officeDocument/2006/relationships" name="_ledger" sheetId="7" state="hidden" r:id="rId7"/>
  </sheets>
  <definedNames>
    <definedName name="_xlnm._FilterDatabase" localSheetId="1" hidden="1">'Bugs'!$A$1:$AC$149</definedName>
    <definedName name="_xlnm.Print_Titles" localSheetId="1">'Bugs'!$1:$1</definedName>
    <definedName name="_xlnm._FilterDatabase" localSheetId="2" hidden="1">'Coverage'!$A$1:$N$436</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Relationships>
</file>

<file path=xl/worksheets/sheet1.xml><?xml version="1.0" encoding="utf-8"?>
<worksheet xmlns="http://schemas.openxmlformats.org/spreadsheetml/2006/main">
  <sheetPr>
    <outlinePr summaryBelow="1" summaryRight="1"/>
    <pageSetUpPr fitToPage="1"/>
  </sheetPr>
  <dimension ref="A1:G102"/>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2026-10-14. Counts on this sheet are formulas over the Bugs, Coverage and Screens sheets.</t>
        </is>
      </c>
    </row>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2026-10-14</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9">
      <c r="A19" s="3" t="inlineStr">
        <is>
          <t>Coverage</t>
        </is>
      </c>
    </row>
    <row r="20">
      <c r="A20" s="4" t="inlineStr">
        <is>
          <t>Screens mapped</t>
        </is>
      </c>
      <c r="B20" s="6">
        <f>COUNTA(Screens!$A:$A)-1</f>
        <v/>
      </c>
    </row>
    <row r="21">
      <c r="A21" s="4" t="inlineStr">
        <is>
          <t xml:space="preserve">   Screens: done</t>
        </is>
      </c>
      <c r="B21" s="6">
        <f>COUNTIF(Screens!$F:$F,"Done")</f>
        <v/>
      </c>
    </row>
    <row r="22">
      <c r="A22" s="4" t="inlineStr">
        <is>
          <t xml:space="preserve">   Screens: partial</t>
        </is>
      </c>
      <c r="B22" s="6">
        <f>COUNTIF(Screens!$F:$F,"Partial")</f>
        <v/>
      </c>
    </row>
    <row r="23">
      <c r="A23" s="4" t="inlineStr">
        <is>
          <t xml:space="preserve">   Screens: in progress</t>
        </is>
      </c>
      <c r="B23" s="6">
        <f>COUNTIF(Screens!$F:$F,"In progress")</f>
        <v/>
      </c>
    </row>
    <row r="24">
      <c r="A24" s="4" t="inlineStr">
        <is>
          <t xml:space="preserve">   Screens: blocked</t>
        </is>
      </c>
      <c r="B24" s="6">
        <f>COUNTIF(Screens!$F:$F,"Blocked")</f>
        <v/>
      </c>
    </row>
    <row r="25">
      <c r="A25" s="4" t="inlineStr">
        <is>
          <t xml:space="preserve">   Screens: not started</t>
        </is>
      </c>
      <c r="B25" s="6">
        <f>COUNTIF(Screens!$F:$F,"Not started")</f>
        <v/>
      </c>
    </row>
    <row r="26">
      <c r="A26" s="4" t="inlineStr">
        <is>
          <t>Elements listed</t>
        </is>
      </c>
      <c r="B26" s="6">
        <f>COUNTA(Coverage!$E:$E)-1</f>
        <v/>
      </c>
    </row>
    <row r="27">
      <c r="A27" s="4" t="inlineStr">
        <is>
          <t xml:space="preserve">   Elements: pass</t>
        </is>
      </c>
      <c r="B27" s="6">
        <f>COUNTIF(Coverage!$J:$J,"Pass")</f>
        <v/>
      </c>
    </row>
    <row r="28">
      <c r="A28" s="4" t="inlineStr">
        <is>
          <t xml:space="preserve">   Elements: fail</t>
        </is>
      </c>
      <c r="B28" s="6">
        <f>COUNTIF(Coverage!$J:$J,"Fail")</f>
        <v/>
      </c>
    </row>
    <row r="29">
      <c r="A29" s="4" t="inlineStr">
        <is>
          <t xml:space="preserve">   Elements: blocked</t>
        </is>
      </c>
      <c r="B29" s="6">
        <f>COUNTIF(Coverage!$J:$J,"Blocked")</f>
        <v/>
      </c>
    </row>
    <row r="30">
      <c r="A30" s="4" t="inlineStr">
        <is>
          <t xml:space="preserve">   Elements: n/a</t>
        </is>
      </c>
      <c r="B30" s="6">
        <f>COUNTIF(Coverage!$J:$J,"N/A")</f>
        <v/>
      </c>
    </row>
    <row r="31">
      <c r="A31" s="4" t="inlineStr">
        <is>
          <t xml:space="preserve">   Elements: not tested</t>
        </is>
      </c>
      <c r="B31" s="6">
        <f>COUNTIF(Coverage!$J:$J,"Not tested")</f>
        <v/>
      </c>
    </row>
    <row r="32">
      <c r="A32" s="4" t="inlineStr">
        <is>
          <t>Exercised (of testable elements)</t>
        </is>
      </c>
      <c r="B32" s="22">
        <f>IF(($B$26-$B$30)=0,0,($B$27+$B$28)/($B$26-$B$30))</f>
        <v/>
      </c>
    </row>
    <row r="34">
      <c r="A34" s="3" t="inlineStr">
        <is>
          <t>Bugs found</t>
        </is>
      </c>
    </row>
    <row r="35">
      <c r="A35" s="8" t="inlineStr">
        <is>
          <t xml:space="preserve">   Critical</t>
        </is>
      </c>
      <c r="B35" s="6">
        <f>COUNTIFS(Bugs!$B:$B,"Critical",Bugs!$C:$C,"&lt;&gt;Query",Bugs!$C:$C,"&lt;&gt;Suggestion")</f>
        <v/>
      </c>
    </row>
    <row r="36">
      <c r="A36" s="9" t="inlineStr">
        <is>
          <t xml:space="preserve">   High</t>
        </is>
      </c>
      <c r="B36" s="6">
        <f>COUNTIFS(Bugs!$B:$B,"High",Bugs!$C:$C,"&lt;&gt;Query",Bugs!$C:$C,"&lt;&gt;Suggestion")</f>
        <v/>
      </c>
    </row>
    <row r="37">
      <c r="A37" s="10" t="inlineStr">
        <is>
          <t xml:space="preserve">   Medium</t>
        </is>
      </c>
      <c r="B37" s="6">
        <f>COUNTIFS(Bugs!$B:$B,"Medium",Bugs!$C:$C,"&lt;&gt;Query",Bugs!$C:$C,"&lt;&gt;Suggestion")</f>
        <v/>
      </c>
    </row>
    <row r="38">
      <c r="A38" s="11" t="inlineStr">
        <is>
          <t xml:space="preserve">   Low</t>
        </is>
      </c>
      <c r="B38" s="6">
        <f>COUNTIFS(Bugs!$B:$B,"Low",Bugs!$C:$C,"&lt;&gt;Query",Bugs!$C:$C,"&lt;&gt;Suggestion")</f>
        <v/>
      </c>
    </row>
    <row r="39">
      <c r="A39" s="4" t="inlineStr">
        <is>
          <t>Total defects</t>
        </is>
      </c>
      <c r="B39" s="6">
        <f>SUM($B$35:$B$38)</f>
        <v/>
      </c>
    </row>
    <row r="40">
      <c r="A40" s="4" t="inlineStr">
        <is>
          <t>Queries (need a decision)</t>
        </is>
      </c>
      <c r="B40" s="6">
        <f>COUNTIF(Bugs!$C:$C,"Query")</f>
        <v/>
      </c>
    </row>
    <row r="41">
      <c r="A41" s="4" t="inlineStr">
        <is>
          <t>Suggestions</t>
        </is>
      </c>
      <c r="B41" s="6">
        <f>COUNTIF(Bugs!$C:$C,"Suggestion")</f>
        <v/>
      </c>
    </row>
    <row r="43">
      <c r="A43" s="3" t="inlineStr">
        <is>
          <t>Fix progress (changes as the Dev status and Tester status columns are updated)</t>
        </is>
      </c>
    </row>
    <row r="44">
      <c r="A44" s="4" t="inlineStr">
        <is>
          <t xml:space="preserve">   Dev status: New</t>
        </is>
      </c>
      <c r="B44" s="6">
        <f>COUNTIF(Bugs!$Z:$Z,"New")</f>
        <v/>
      </c>
    </row>
    <row r="45">
      <c r="A45" s="4" t="inlineStr">
        <is>
          <t xml:space="preserve">   Dev status: In progress</t>
        </is>
      </c>
      <c r="B45" s="6">
        <f>COUNTIF(Bugs!$Z:$Z,"In progress")</f>
        <v/>
      </c>
    </row>
    <row r="46">
      <c r="A46" s="4" t="inlineStr">
        <is>
          <t xml:space="preserve">   Dev status: Fixed</t>
        </is>
      </c>
      <c r="B46" s="6">
        <f>COUNTIF(Bugs!$Z:$Z,"Fixed")</f>
        <v/>
      </c>
    </row>
    <row r="47">
      <c r="A47" s="4" t="inlineStr">
        <is>
          <t xml:space="preserve">   Dev status: Not a bug</t>
        </is>
      </c>
      <c r="B47" s="6">
        <f>COUNTIF(Bugs!$Z:$Z,"Not a bug")</f>
        <v/>
      </c>
    </row>
    <row r="48">
      <c r="A48" s="4" t="inlineStr">
        <is>
          <t xml:space="preserve">   Dev status: Cannot reproduce</t>
        </is>
      </c>
      <c r="B48" s="6">
        <f>COUNTIF(Bugs!$Z:$Z,"Cannot reproduce")</f>
        <v/>
      </c>
    </row>
    <row r="49">
      <c r="A49" s="4" t="inlineStr">
        <is>
          <t xml:space="preserve">   Dev status: Deferred</t>
        </is>
      </c>
      <c r="B49" s="6">
        <f>COUNTIF(Bugs!$Z:$Z,"Deferred")</f>
        <v/>
      </c>
    </row>
    <row r="50">
      <c r="A50" s="4" t="inlineStr">
        <is>
          <t xml:space="preserve">   Dev status: Duplicate</t>
        </is>
      </c>
      <c r="B50" s="6">
        <f>COUNTIF(Bugs!$Z:$Z,"Duplicate")</f>
        <v/>
      </c>
    </row>
    <row r="51">
      <c r="A51" s="4" t="inlineStr">
        <is>
          <t xml:space="preserve">   Tester status: Open</t>
        </is>
      </c>
      <c r="B51" s="6">
        <f>COUNTIF(Bugs!$X:$X,"Open")</f>
        <v/>
      </c>
    </row>
    <row r="52">
      <c r="A52" s="4" t="inlineStr">
        <is>
          <t xml:space="preserve">   Tester status: Reopened</t>
        </is>
      </c>
      <c r="B52" s="6">
        <f>COUNTIF(Bugs!$X:$X,"Reopened")</f>
        <v/>
      </c>
    </row>
    <row r="53">
      <c r="A53" s="4" t="inlineStr">
        <is>
          <t xml:space="preserve">   Tester status: Closed</t>
        </is>
      </c>
      <c r="B53" s="6">
        <f>COUNTIF(Bugs!$X:$X,"Closed")</f>
        <v/>
      </c>
    </row>
    <row r="55">
      <c r="A55" s="3" t="inlineStr">
        <is>
          <t>Defects by module</t>
        </is>
      </c>
    </row>
    <row r="56">
      <c r="A56" s="12" t="inlineStr">
        <is>
          <t>Module</t>
        </is>
      </c>
      <c r="B56" s="12" t="inlineStr">
        <is>
          <t>Critical</t>
        </is>
      </c>
      <c r="C56" s="12" t="inlineStr">
        <is>
          <t>High</t>
        </is>
      </c>
      <c r="D56" s="12" t="inlineStr">
        <is>
          <t>Medium</t>
        </is>
      </c>
      <c r="E56" s="12" t="inlineStr">
        <is>
          <t>Low</t>
        </is>
      </c>
      <c r="F56" s="12" t="inlineStr">
        <is>
          <t>Total</t>
        </is>
      </c>
    </row>
    <row r="57">
      <c r="A57" s="4" t="inlineStr">
        <is>
          <t>Orders</t>
        </is>
      </c>
      <c r="B57" s="6">
        <f>COUNTIFS(Bugs!$D:$D,$A57,Bugs!$B:$B,"Critical",Bugs!$C:$C,"&lt;&gt;Query",Bugs!$C:$C,"&lt;&gt;Suggestion")</f>
        <v/>
      </c>
      <c r="C57" s="6">
        <f>COUNTIFS(Bugs!$D:$D,$A57,Bugs!$B:$B,"High",Bugs!$C:$C,"&lt;&gt;Query",Bugs!$C:$C,"&lt;&gt;Suggestion")</f>
        <v/>
      </c>
      <c r="D57" s="6">
        <f>COUNTIFS(Bugs!$D:$D,$A57,Bugs!$B:$B,"Medium",Bugs!$C:$C,"&lt;&gt;Query",Bugs!$C:$C,"&lt;&gt;Suggestion")</f>
        <v/>
      </c>
      <c r="E57" s="6">
        <f>COUNTIFS(Bugs!$D:$D,$A57,Bugs!$B:$B,"Low",Bugs!$C:$C,"&lt;&gt;Query",Bugs!$C:$C,"&lt;&gt;Suggestion")</f>
        <v/>
      </c>
      <c r="F57" s="6">
        <f>SUM(B57:E57)</f>
        <v/>
      </c>
    </row>
    <row r="58">
      <c r="A58" s="4" t="inlineStr">
        <is>
          <t>API</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Settings</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1">
      <c r="A61" s="3" t="inlineStr">
        <is>
          <t>Tester's notes</t>
        </is>
      </c>
    </row>
    <row r="62" ht="45" customHeight="1">
      <c r="A62" s="4" t="inlineStr">
        <is>
          <t>Limitation (R1)</t>
        </is>
      </c>
      <c r="B62" s="5" t="inlineStr">
        <is>
          <t>No SRS / FRD was supplied. Expected behaviour comes from the carrier responses, the app's own messages and tooltips, and consistency between lanes and carriers; findings with weaker footing are logged as Query or Suggestion.</t>
        </is>
      </c>
      <c r="C62" s="20" t="n"/>
      <c r="D62" s="20" t="n"/>
      <c r="E62" s="20" t="n"/>
      <c r="F62" s="20" t="n"/>
      <c r="G62" s="21" t="n"/>
    </row>
    <row r="63" ht="75" customHeight="1">
      <c r="A63" s="4" t="inlineStr">
        <is>
          <t>Limitation (R1)</t>
        </is>
      </c>
      <c r="B63"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3" s="20" t="n"/>
      <c r="D63" s="20" t="n"/>
      <c r="E63" s="20" t="n"/>
      <c r="F63" s="20" t="n"/>
      <c r="G63" s="21" t="n"/>
    </row>
    <row r="64" ht="75" customHeight="1">
      <c r="A64" s="4" t="inlineStr">
        <is>
          <t>Limitation (R1)</t>
        </is>
      </c>
      <c r="B64"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4" s="20" t="n"/>
      <c r="D64" s="20" t="n"/>
      <c r="E64" s="20" t="n"/>
      <c r="F64" s="20" t="n"/>
      <c r="G64" s="21" t="n"/>
    </row>
    <row r="65" ht="45" customHeight="1">
      <c r="A65" s="4" t="inlineStr">
        <is>
          <t>Limitation (R1)</t>
        </is>
      </c>
      <c r="B65" s="5" t="inlineStr">
        <is>
          <t>All carrier accounts are in sandbox mode: FedEx rate calls often failed (HTTP 500 / 503, shown as 'No price ... to review') and label documents are sandbox samples, so per-box label content could not be verified.</t>
        </is>
      </c>
      <c r="C65" s="20" t="n"/>
      <c r="D65" s="20" t="n"/>
      <c r="E65" s="20" t="n"/>
      <c r="F65" s="20" t="n"/>
      <c r="G65" s="21" t="n"/>
    </row>
    <row r="66" ht="75" customHeight="1">
      <c r="A66" s="4" t="inlineStr">
        <is>
          <t>Observation (R1)</t>
        </is>
      </c>
      <c r="B66"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6" s="20" t="n"/>
      <c r="D66" s="20" t="n"/>
      <c r="E66" s="20" t="n"/>
      <c r="F66" s="20" t="n"/>
      <c r="G66" s="21" t="n"/>
    </row>
    <row r="67" ht="150" customHeight="1">
      <c r="A67" s="4" t="inlineStr">
        <is>
          <t>Summary (R1)</t>
        </is>
      </c>
      <c r="B67"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7" s="20" t="n"/>
      <c r="D67" s="20" t="n"/>
      <c r="E67" s="20" t="n"/>
      <c r="F67" s="20" t="n"/>
      <c r="G67" s="21" t="n"/>
    </row>
    <row r="68" ht="45" customHeight="1">
      <c r="A68" s="4" t="inlineStr">
        <is>
          <t>Limitation (R2)</t>
        </is>
      </c>
      <c r="B68" s="5" t="inlineStr">
        <is>
          <t>R2 covers Settings &gt; Organization only: Clients (list and the 8-step Add/Edit wizard), Warehouses, Address book, Users and Roles, plus the All settings overview. The other 31 Settings screens are mapped in the application map but not yet tested.</t>
        </is>
      </c>
      <c r="C68" s="20" t="n"/>
      <c r="D68" s="20" t="n"/>
      <c r="E68" s="20" t="n"/>
      <c r="F68" s="20" t="n"/>
      <c r="G68" s="21" t="n"/>
    </row>
    <row r="69" ht="45" customHeight="1">
      <c r="A69" s="4" t="inlineStr">
        <is>
          <t>Limitation (R2)</t>
        </is>
      </c>
      <c r="B69" s="5" t="inlineStr">
        <is>
          <t>Settings &gt; Address book could not be exercised: its only data call returns 500 every time (BUG-044), so the search, the client filter, the grid and the row actions are recorded as blocked rather than tested.</t>
        </is>
      </c>
      <c r="C69" s="20" t="n"/>
      <c r="D69" s="20" t="n"/>
      <c r="E69" s="20" t="n"/>
      <c r="F69" s="20" t="n"/>
      <c r="G69" s="21" t="n"/>
    </row>
    <row r="70" ht="75" customHeight="1">
      <c r="A70" s="4" t="inlineStr">
        <is>
          <t>Limitation (R2)</t>
        </is>
      </c>
      <c r="B70"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0" s="20" t="n"/>
      <c r="D70" s="20" t="n"/>
      <c r="E70" s="20" t="n"/>
      <c r="F70" s="20" t="n"/>
      <c r="G70" s="21" t="n"/>
    </row>
    <row r="71" ht="45" customHeight="1">
      <c r="A71" s="4" t="inlineStr">
        <is>
          <t>Limitation (R2)</t>
        </is>
      </c>
      <c r="B71" s="5" t="inlineStr">
        <is>
          <t>CSV exports: the user allowed the downloads, and the request, its parameters and the response were checked for each one, but the downloaded files themselves could not be opened from this session, so their contents are unverified.</t>
        </is>
      </c>
      <c r="C71" s="20" t="n"/>
      <c r="D71" s="20" t="n"/>
      <c r="E71" s="20" t="n"/>
      <c r="F71" s="20" t="n"/>
      <c r="G71" s="21" t="n"/>
    </row>
    <row r="72" ht="60" customHeight="1">
      <c r="A72" s="4" t="inlineStr">
        <is>
          <t>Observation (R2)</t>
        </is>
      </c>
      <c r="B72"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2" s="20" t="n"/>
      <c r="D72" s="20" t="n"/>
      <c r="E72" s="20" t="n"/>
      <c r="F72" s="20" t="n"/>
      <c r="G72" s="21" t="n"/>
    </row>
    <row r="73" ht="45" customHeight="1">
      <c r="A73" s="4" t="inlineStr">
        <is>
          <t>Observation (R2)</t>
        </is>
      </c>
      <c r="B73" s="5" t="inlineStr">
        <is>
          <t>Settings &gt; Mail reports 'No provider active - outbound emails are logged only' and has no registered providers, so nothing sent from Settings in this environment can reach an inbox. The one invitation sent during the run therefore went nowhere.</t>
        </is>
      </c>
      <c r="C73" s="20" t="n"/>
      <c r="D73" s="20" t="n"/>
      <c r="E73" s="20" t="n"/>
      <c r="F73" s="20" t="n"/>
      <c r="G73" s="21" t="n"/>
    </row>
    <row r="74" ht="60" customHeight="1">
      <c r="A74" s="4" t="inlineStr">
        <is>
          <t>Observation (R2)</t>
        </is>
      </c>
      <c r="B74"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4" s="20" t="n"/>
      <c r="D74" s="20" t="n"/>
      <c r="E74" s="20" t="n"/>
      <c r="F74" s="20" t="n"/>
      <c r="G74" s="21" t="n"/>
    </row>
    <row r="75" ht="285" customHeight="1">
      <c r="A75" s="4" t="inlineStr">
        <is>
          <t>Summary (R2)</t>
        </is>
      </c>
      <c r="B75"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5" s="20" t="n"/>
      <c r="D75" s="20" t="n"/>
      <c r="E75" s="20" t="n"/>
      <c r="F75" s="20" t="n"/>
      <c r="G75" s="21" t="n"/>
    </row>
    <row r="76" ht="165" customHeight="1">
      <c r="A76" s="4" t="inlineStr">
        <is>
          <t>Summary (R3)</t>
        </is>
      </c>
      <c r="B76"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6" s="20" t="n"/>
      <c r="D76" s="20" t="n"/>
      <c r="E76" s="20" t="n"/>
      <c r="F76" s="20" t="n"/>
      <c r="G76" s="21" t="n"/>
    </row>
    <row r="77" ht="135" customHeight="1">
      <c r="A77" s="4" t="inlineStr">
        <is>
          <t>Limitation (R3)</t>
        </is>
      </c>
      <c r="B77"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7" s="20" t="n"/>
      <c r="D77" s="20" t="n"/>
      <c r="E77" s="20" t="n"/>
      <c r="F77" s="20" t="n"/>
      <c r="G77" s="21" t="n"/>
    </row>
    <row r="78" ht="120" customHeight="1">
      <c r="A78" s="4" t="inlineStr">
        <is>
          <t>Observation (R3)</t>
        </is>
      </c>
      <c r="B78"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78" s="20" t="n"/>
      <c r="D78" s="20" t="n"/>
      <c r="E78" s="20" t="n"/>
      <c r="F78" s="20" t="n"/>
      <c r="G78" s="21" t="n"/>
    </row>
    <row r="79" ht="90" customHeight="1">
      <c r="A79" s="4" t="inlineStr">
        <is>
          <t>Limitation (R3)</t>
        </is>
      </c>
      <c r="B79"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79" s="20" t="n"/>
      <c r="D79" s="20" t="n"/>
      <c r="E79" s="20" t="n"/>
      <c r="F79" s="20" t="n"/>
      <c r="G79" s="21" t="n"/>
    </row>
    <row r="80" ht="195" customHeight="1">
      <c r="A80" s="4" t="inlineStr">
        <is>
          <t>Observation (R4)</t>
        </is>
      </c>
      <c r="B80"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0" s="20" t="n"/>
      <c r="D80" s="20" t="n"/>
      <c r="E80" s="20" t="n"/>
      <c r="F80" s="20" t="n"/>
      <c r="G80" s="21" t="n"/>
    </row>
    <row r="81" ht="150" customHeight="1">
      <c r="A81" s="4" t="inlineStr">
        <is>
          <t>Limitation (R4)</t>
        </is>
      </c>
      <c r="B81"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1" s="20" t="n"/>
      <c r="D81" s="20" t="n"/>
      <c r="E81" s="20" t="n"/>
      <c r="F81" s="20" t="n"/>
      <c r="G81" s="21" t="n"/>
    </row>
    <row r="82" ht="255" customHeight="1">
      <c r="A82" s="4" t="inlineStr">
        <is>
          <t>Summary (R4)</t>
        </is>
      </c>
      <c r="B82"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2" s="20" t="n"/>
      <c r="D82" s="20" t="n"/>
      <c r="E82" s="20" t="n"/>
      <c r="F82" s="20" t="n"/>
      <c r="G82" s="21" t="n"/>
    </row>
    <row r="83" ht="90" customHeight="1">
      <c r="A83" s="4" t="inlineStr">
        <is>
          <t>Observation (R4)</t>
        </is>
      </c>
      <c r="B83"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3" s="20" t="n"/>
      <c r="D83" s="20" t="n"/>
      <c r="E83" s="20" t="n"/>
      <c r="F83" s="20" t="n"/>
      <c r="G83" s="21" t="n"/>
    </row>
    <row r="84" ht="75" customHeight="1">
      <c r="A84" s="4" t="inlineStr">
        <is>
          <t>Limitation (R4)</t>
        </is>
      </c>
      <c r="B84"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4" s="20" t="n"/>
      <c r="D84" s="20" t="n"/>
      <c r="E84" s="20" t="n"/>
      <c r="F84" s="20" t="n"/>
      <c r="G84" s="21" t="n"/>
    </row>
    <row r="85" ht="45" customHeight="1">
      <c r="A85" s="4" t="inlineStr">
        <is>
          <t>Limitation (R5)</t>
        </is>
      </c>
      <c r="B85" s="5" t="inlineStr">
        <is>
          <t>From the Pickups &amp; End-of-Day check (S048) onwards the browser viewport was 1920 x 855; earlier in the run it was 1442 x 847. Layout findings state the width they were measured at.</t>
        </is>
      </c>
      <c r="C85" s="20" t="n"/>
      <c r="D85" s="20" t="n"/>
      <c r="E85" s="20" t="n"/>
      <c r="F85" s="20" t="n"/>
      <c r="G85" s="21" t="n"/>
    </row>
    <row r="86" ht="180" customHeight="1">
      <c r="A86" s="4" t="inlineStr">
        <is>
          <t>Observation (R5)</t>
        </is>
      </c>
      <c r="B86"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6" s="20" t="n"/>
      <c r="D86" s="20" t="n"/>
      <c r="E86" s="20" t="n"/>
      <c r="F86" s="20" t="n"/>
      <c r="G86" s="21" t="n"/>
    </row>
    <row r="87" ht="75" customHeight="1">
      <c r="A87" s="4" t="inlineStr">
        <is>
          <t>Limitation (R5)</t>
        </is>
      </c>
      <c r="B87"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7" s="20" t="n"/>
      <c r="D87" s="20" t="n"/>
      <c r="E87" s="20" t="n"/>
      <c r="F87" s="20" t="n"/>
      <c r="G87" s="21" t="n"/>
    </row>
    <row r="88" ht="120" customHeight="1">
      <c r="A88" s="4" t="inlineStr">
        <is>
          <t>Limitation (R5)</t>
        </is>
      </c>
      <c r="B88"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88" s="20" t="n"/>
      <c r="D88" s="20" t="n"/>
      <c r="E88" s="20" t="n"/>
      <c r="F88" s="20" t="n"/>
      <c r="G88" s="21" t="n"/>
    </row>
    <row r="89" ht="105" customHeight="1">
      <c r="A89" s="4" t="inlineStr">
        <is>
          <t>Limitation (R5)</t>
        </is>
      </c>
      <c r="B89"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89" s="20" t="n"/>
      <c r="D89" s="20" t="n"/>
      <c r="E89" s="20" t="n"/>
      <c r="F89" s="20" t="n"/>
      <c r="G89" s="21" t="n"/>
    </row>
    <row r="90" ht="510" customHeight="1">
      <c r="A90" s="4" t="inlineStr">
        <is>
          <t>Summary (R5)</t>
        </is>
      </c>
      <c r="B90"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0" s="20" t="n"/>
      <c r="D90" s="20" t="n"/>
      <c r="E90" s="20" t="n"/>
      <c r="F90" s="20" t="n"/>
      <c r="G90" s="21" t="n"/>
    </row>
    <row r="91" ht="90" customHeight="1">
      <c r="A91" s="4" t="inlineStr">
        <is>
          <t>Observation (R6)</t>
        </is>
      </c>
      <c r="B91"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1" s="20" t="n"/>
      <c r="D91" s="20" t="n"/>
      <c r="E91" s="20" t="n"/>
      <c r="F91" s="20" t="n"/>
      <c r="G91" s="21" t="n"/>
    </row>
    <row r="92" ht="210" customHeight="1">
      <c r="A92" s="4" t="inlineStr">
        <is>
          <t>Summary (R6)</t>
        </is>
      </c>
      <c r="B92"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2" s="20" t="n"/>
      <c r="D92" s="20" t="n"/>
      <c r="E92" s="20" t="n"/>
      <c r="F92" s="20" t="n"/>
      <c r="G92" s="21" t="n"/>
    </row>
    <row r="93" ht="90" customHeight="1">
      <c r="A93" s="4" t="inlineStr">
        <is>
          <t>Limitation (R6)</t>
        </is>
      </c>
      <c r="B93"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3" s="20" t="n"/>
      <c r="D93" s="20" t="n"/>
      <c r="E93" s="20" t="n"/>
      <c r="F93" s="20" t="n"/>
      <c r="G93" s="21" t="n"/>
    </row>
    <row r="94" ht="105" customHeight="1">
      <c r="A94" s="4" t="inlineStr">
        <is>
          <t>Limitation (R6)</t>
        </is>
      </c>
      <c r="B94"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4" s="20" t="n"/>
      <c r="D94" s="20" t="n"/>
      <c r="E94" s="20" t="n"/>
      <c r="F94" s="20" t="n"/>
      <c r="G94" s="21" t="n"/>
    </row>
    <row r="95" ht="120" customHeight="1">
      <c r="A95" s="4" t="inlineStr">
        <is>
          <t>Limitation (R6)</t>
        </is>
      </c>
      <c r="B95"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5" s="20" t="n"/>
      <c r="D95" s="20" t="n"/>
      <c r="E95" s="20" t="n"/>
      <c r="F95" s="20" t="n"/>
      <c r="G95" s="21" t="n"/>
    </row>
    <row r="97">
      <c r="A97" s="3" t="inlineStr">
        <is>
          <t>How to use this workbook</t>
        </is>
      </c>
    </row>
    <row r="98" ht="30" customHeight="1">
      <c r="A98" s="13" t="inlineStr">
        <is>
          <t>Bugs sheet: one row per bug. Developers fill only the yellow columns - Dev status, Assigned to, Developer comments, Fixed in build. Please do not change Bug ID.</t>
        </is>
      </c>
    </row>
    <row r="99" ht="30" customHeight="1">
      <c r="A99" s="13" t="inlineStr">
        <is>
          <t>Coverage sheet: every element that was listed on every screen tested, with its result, what was tried and the requirement it was checked against. Filter on Requirement ref to see what has been verified for a clause.</t>
        </is>
      </c>
    </row>
    <row r="100" ht="30" customHeight="1">
      <c r="A100" s="13" t="inlineStr">
        <is>
          <t>Screens sheet: the application map and how far testing has reached on each screen.</t>
        </is>
      </c>
    </row>
    <row r="101" ht="30" customHeight="1">
      <c r="A101" s="13" t="inlineStr">
        <is>
          <t>Send this workbook back for retest: the tester reads the Dev status column and re-checks every bug marked Fixed.</t>
        </is>
      </c>
    </row>
    <row r="102" ht="30" customHeight="1">
      <c r="A102" s="13" t="inlineStr">
        <is>
          <t>The hidden sheet '_ledger' holds the test records so that testing can resume from this file. Please do not delete it.</t>
        </is>
      </c>
    </row>
  </sheetData>
  <mergeCells count="59">
    <mergeCell ref="A97:G97"/>
    <mergeCell ref="B14:G14"/>
    <mergeCell ref="B67:G67"/>
    <mergeCell ref="B17:G17"/>
    <mergeCell ref="A4:G4"/>
    <mergeCell ref="B8:G8"/>
    <mergeCell ref="A100:G100"/>
    <mergeCell ref="B73:G73"/>
    <mergeCell ref="B13:G13"/>
    <mergeCell ref="B88:G88"/>
    <mergeCell ref="A43:G43"/>
    <mergeCell ref="B82:G82"/>
    <mergeCell ref="A19:G19"/>
    <mergeCell ref="B78:G78"/>
    <mergeCell ref="B69:G69"/>
    <mergeCell ref="B87:G87"/>
    <mergeCell ref="B10:G10"/>
    <mergeCell ref="A102:G102"/>
    <mergeCell ref="B84:G84"/>
    <mergeCell ref="A34:G34"/>
    <mergeCell ref="B9:G9"/>
    <mergeCell ref="B65:G65"/>
    <mergeCell ref="B83:G83"/>
    <mergeCell ref="B74:G74"/>
    <mergeCell ref="B92:G92"/>
    <mergeCell ref="A98:G98"/>
    <mergeCell ref="B68:G68"/>
    <mergeCell ref="B64:G64"/>
    <mergeCell ref="B15:G15"/>
    <mergeCell ref="B6:G6"/>
    <mergeCell ref="B80:G80"/>
    <mergeCell ref="B95:G95"/>
    <mergeCell ref="A61:G61"/>
    <mergeCell ref="B89:G89"/>
    <mergeCell ref="B85:G85"/>
    <mergeCell ref="B5:G5"/>
    <mergeCell ref="B76:G76"/>
    <mergeCell ref="B94:G94"/>
    <mergeCell ref="B63:G63"/>
    <mergeCell ref="B79:G79"/>
    <mergeCell ref="B75:G75"/>
    <mergeCell ref="B62:G62"/>
    <mergeCell ref="B7:G7"/>
    <mergeCell ref="B72:G72"/>
    <mergeCell ref="B91:G91"/>
    <mergeCell ref="A99:G99"/>
    <mergeCell ref="B16:G16"/>
    <mergeCell ref="B81:G81"/>
    <mergeCell ref="B90:G90"/>
    <mergeCell ref="B66:G66"/>
    <mergeCell ref="A55:G55"/>
    <mergeCell ref="B71:G71"/>
    <mergeCell ref="B93:G93"/>
    <mergeCell ref="A101:G101"/>
    <mergeCell ref="B12:G12"/>
    <mergeCell ref="B70:G70"/>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4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 BUG-001-R5-2.jpg, BUG-001-R5.jpg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 BUG-002-R5.jpg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 BUG-004-R5.jpg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 BUG-006-R5.jpg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BUG-007-R5.jpg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 BUG-012-R5.png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 BUG-013-R5.jpg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 BUG-014-R5.jpg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BUG-018-R5.jpg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t>
        </is>
      </c>
      <c r="Z19" s="15" t="inlineStr">
        <is>
          <t>Fixed</t>
        </is>
      </c>
      <c r="AA19" s="15" t="n"/>
      <c r="AB19" s="15" t="inlineStr">
        <is>
          <t>Fixed on dev (70ae2636 + 1e36810b): SERA path shipped 2026-10-12; SWSIM intl path hardened 2026-10-13 (seraAddressesEqual check so UK lane only fires when SWSIM actually normalised).</t>
        </is>
      </c>
      <c r="AC19" s="15" t="inlineStr">
        <is>
          <t>2026-10-15</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 BUG-019-R5.jpg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 BUG-021-R5.jpg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Reopened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t>
        </is>
      </c>
      <c r="Z23" s="15" t="inlineStr">
        <is>
          <t>Fixed</t>
        </is>
      </c>
      <c r="AA23" s="15" t="n"/>
      <c r="AB23" s="15" t="inlineStr">
        <is>
          <t>Fixed on dev (a601e4aa): Delivery log recipient filter now escapes % _ and query uses ESCAPE "\\".
R6+1 (afeb4111+e17bf946, 2026-10-15): Spread ESCAPE '\' + escapeLike() to WarehouseRepository, AdminUserService (Criteria API) and AuditLogRepositoryCustomImpl. Delivery-log fix (a601e4aa) now matches every other search path.
Test fix (46d6db84, 2026-10-15): — no code change, just test lock-in.</t>
        </is>
      </c>
      <c r="AC23" s="15" t="inlineStr">
        <is>
          <t>2026-10-15</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 BUG-023-R5.jpg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 BUG-024-R5.jpg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BUG-029-R5.png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t>
        </is>
      </c>
      <c r="Z30" s="15" t="inlineStr">
        <is>
          <t>Fixed</t>
        </is>
      </c>
      <c r="AA30" s="15" t="n"/>
      <c r="AB30" s="15" t="inlineStr">
        <is>
          <t>Fixed on dev (3a9a749e): DHL/FEDEX account input strips non-digits onChange + inputMode=numeric so the field physically cannot hold letters.
Test fix (46d6db84, 2026-10-15): tests now assert UPS maxLength 10 + DHL maxLength 12 to match the 6-10 / 9-12 widening.</t>
        </is>
      </c>
      <c r="AC30" s="15" t="inlineStr">
        <is>
          <t>2026-10-15</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 BUG-032-R5.jpg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 BUG-033-R5.jpg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 BUG-035-R5.png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BUG-036-R5.jpg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t>
        </is>
      </c>
      <c r="Z37" s="15" t="inlineStr">
        <is>
          <t>Fixed</t>
        </is>
      </c>
      <c r="AA37" s="15" t="n"/>
      <c r="AB37" s="15" t="inlineStr">
        <is>
          <t>Fix landed earlier this session: Markup validation heading shipped as 9b7cb64d earlier this session.</t>
        </is>
      </c>
      <c r="AC37" s="15" t="inlineStr">
        <is>
          <t>2026-10-15</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Reopened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t>
        </is>
      </c>
      <c r="Z39" s="15" t="inlineStr">
        <is>
          <t>Fixed</t>
        </is>
      </c>
      <c r="AA39" s="15" t="n"/>
      <c r="AB39" s="15" t="inlineStr">
        <is>
          <t>Fixed on dev (9681f4ff): FE columns (contact/orderCount/actions) now alias to backend map keys so CSV contains the right columns.</t>
        </is>
      </c>
      <c r="AC39" s="15" t="inlineStr">
        <is>
          <t>2026-10-15</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 BUG-041-R5.jpg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 BUG-042-R5.jpg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 BUG-043-R5.jpg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 BUG-044-R5.jpg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 BUG-045-R5.jpg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Reopened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t>
        </is>
      </c>
      <c r="Z47" s="15" t="inlineStr">
        <is>
          <t>Fixed</t>
        </is>
      </c>
      <c r="AA47" s="15" t="n"/>
      <c r="AB47" s="15" t="inlineStr">
        <is>
          <t>Fixed on dev (bf6e96b8): Warehouse Country swaps the free-text ISO-2 input for the shared CountrySelect used by /orders/new + address book + client wizard.
R6+1 (e17bf946, 2026-10-15): _countryData.ts sources from utils/countries.ts; CountrySelect now exposes the full 250-country list. Address book dialog switched to CountrySelect so warehouse / client / address book agree.</t>
        </is>
      </c>
      <c r="AC47" s="15" t="inlineStr">
        <is>
          <t>2026-10-15</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BUG-053-R5.jpg</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BUG-055-R5.jpg</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Not captured</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Reopened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t>
        </is>
      </c>
      <c r="Z58" s="15" t="inlineStr">
        <is>
          <t>Fixed</t>
        </is>
      </c>
      <c r="AA58" s="15" t="n"/>
      <c r="AB58" s="15" t="inlineStr">
        <is>
          <t>Fixed on dev (839f1ef8): FEDEX order form + per-carrier editor modals now read labelFormatsForCarrier() (DB registry); FEDEX added to the bootstrap list to mirror V120 seed.
Test fix (46d6db84, 2026-10-15): — no code change, just test lock-in.</t>
        </is>
      </c>
      <c r="AC58" s="15" t="inlineStr">
        <is>
          <t>2026-10-15</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BUG-058-R5.jpg</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BUG-059-R5.jpg</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t>
        </is>
      </c>
      <c r="Z62" s="15" t="inlineStr">
        <is>
          <t>Fixed</t>
        </is>
      </c>
      <c r="AA62" s="15" t="n"/>
      <c r="AB62" s="15" t="inlineStr">
        <is>
          <t>Fixed on dev (cb9e4ed5): SystemChannelSection scrubbed TENANT_CHANNEL_NOT_ENABLED raw code; "tenant" -&gt; "client".
R6+1 (afeb4111+e17bf946, 2026-10-15): Scrubbed internal copy on SystemSettings specs (backend), workspaceRoutes descriptions, Carrier Accounts, Code Maps, Cutoffs &amp; Holidays, External Systems, SystemSettingsPage deployment banner, DTC Scheduler 'Last changed by V&lt;n&gt;', Carrier Limits resolver blurb.
Test fix (46d6db84, 2026-10-15): SystemChannelSection test no longer asserts the scrubbed raw TENANT_CHANNEL_NOT_ENABLED code is rendered.</t>
        </is>
      </c>
      <c r="AC62" s="15" t="inlineStr">
        <is>
          <t>2026-10-15</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BUG-062-R5.jpg</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Not captured</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Reopened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t>
        </is>
      </c>
      <c r="Z69" s="15" t="inlineStr">
        <is>
          <t>Deferred</t>
        </is>
      </c>
      <c r="AA69" s="15" t="n"/>
      <c r="AB69" s="15" t="inlineStr">
        <is>
          <t>Deferred to next round: Unknown-route catchall lands on /dashboard but preserves nothing. Needs a NotFound page.</t>
        </is>
      </c>
      <c r="AC69" s="15" t="n"/>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Reopened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t>
        </is>
      </c>
      <c r="Z73" s="15" t="inlineStr">
        <is>
          <t>Deferred</t>
        </is>
      </c>
      <c r="AA73" s="15" t="n"/>
      <c r="AB73" s="15" t="inlineStr">
        <is>
          <t>Deferred to next round: FTR exemption passes without ITN on FedEx-to-Canada. Needs validation when exemption=None (using AES).</t>
        </is>
      </c>
      <c r="AC73" s="15" t="n"/>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Reopened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t>
        </is>
      </c>
      <c r="Z74" s="15" t="inlineStr">
        <is>
          <t>Deferred</t>
        </is>
      </c>
      <c r="AA74" s="15" t="n"/>
      <c r="AB74" s="15" t="inlineStr">
        <is>
          <t>Deferred to next round: Price-&amp;-delivery box renders raw q.message; needs cleaner pass similar to validationChecklist.</t>
        </is>
      </c>
      <c r="AC74" s="15" t="n"/>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Not captured</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t>
        </is>
      </c>
      <c r="Z76" s="15" t="inlineStr">
        <is>
          <t>Fixed</t>
        </is>
      </c>
      <c r="AA76" s="15" t="n"/>
      <c r="AB76" s="15" t="inlineStr">
        <is>
          <t>Fix landed earlier this session: Importer/Broker in-app confirm shipped as 15ab13b8 earlier.
R6+1 (e17bf946, 2026-10-15): CustomFieldsPage.del() swapped window.confirm for notify.confirm (title + danger + confirmLabel). Matches Importer/Broker in-app pattern.</t>
        </is>
      </c>
      <c r="AC76" s="15" t="inlineStr">
        <is>
          <t>2026-10-15</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Not captured</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t>
        </is>
      </c>
      <c r="Z77" s="15" t="inlineStr">
        <is>
          <t>Fixed</t>
        </is>
      </c>
      <c r="AA77" s="15" t="n"/>
      <c r="AB77" s="15" t="inlineStr">
        <is>
          <t>Fix landed earlier this session: CSV formula-injection guard shipped as 45c6b922 earlier.
R6+1 (0b501583, 2026-10-15): FE csv.ts csvCell now prefixes '=/+/-/@/TAB' with a single quote (mirrors backend).</t>
        </is>
      </c>
      <c r="AC77" s="15" t="inlineStr">
        <is>
          <t>2026-10-15</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Open</t>
        </is>
      </c>
      <c r="Y78" s="5" t="inlineStr">
        <is>
          <t>2026-10-14 R6 (build local dev, 2026-10-14 (order-form modules reloaded 13:17 IST)): cannot-retest - R6: not re-walked - the client editor did not compile during this run (ClientEditorPage.tsx:1515 parse error, 14:00-15:38 IST).</t>
        </is>
      </c>
      <c r="Z78" s="15" t="inlineStr">
        <is>
          <t>Fixed</t>
        </is>
      </c>
      <c r="AA78" s="15" t="n"/>
      <c r="AB78" s="15" t="inlineStr">
        <is>
          <t>Fix landed earlier this session: Markup overflow now 400 via GlobalExceptionHandler (48d5c34f).</t>
        </is>
      </c>
      <c r="AC78" s="15" t="inlineStr">
        <is>
          <t>2026-10-15</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Open</t>
        </is>
      </c>
      <c r="Y79" s="5" t="inlineStr">
        <is>
          <t>2026-10-14 R6 (build local dev, 2026-10-14 (order-form modules reloaded 13:17 IST)): cannot-retest - R6: not re-walked - the client editor did not compile during this run (ClientEditorPage.tsx:1515 parse error, 14:00-15:38 IST).</t>
        </is>
      </c>
      <c r="Z79" s="15" t="inlineStr">
        <is>
          <t>Fixed</t>
        </is>
      </c>
      <c r="AA79" s="15" t="n"/>
      <c r="AB79" s="15" t="inlineStr">
        <is>
          <t>Fixed on dev (d266e348): ClientEditorPage JSX comment moved out of ternary; unblocks client wizard retests.</t>
        </is>
      </c>
      <c r="AC79" s="15" t="inlineStr">
        <is>
          <t>2026-10-15</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BUG-079.jpg</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Reopened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t>
        </is>
      </c>
      <c r="Z80" s="15" t="inlineStr">
        <is>
          <t>Fixed</t>
        </is>
      </c>
      <c r="AA80" s="15" t="n"/>
      <c r="AB80" s="15" t="inlineStr">
        <is>
          <t>Fixed on dev (6754690c): Warehouse State input forces uppercase on change.
R6+1 (2207535b, 2026-10-15): Warehouses grid upper-cases state at render too; legacy 'il' rows now display 'IL' without a resave.</t>
        </is>
      </c>
      <c r="AC80" s="15" t="inlineStr">
        <is>
          <t>2026-10-15</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Reopened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t>
        </is>
      </c>
      <c r="Z81" s="15" t="inlineStr">
        <is>
          <t>Fixed</t>
        </is>
      </c>
      <c r="AA81" s="15" t="n"/>
      <c r="AB81" s="15" t="inlineStr">
        <is>
          <t>Fixed on dev (V157 f41ee5c7): V157 deletes orphan client_warehouse rows pointing at deleted clients.</t>
        </is>
      </c>
      <c r="AC81" s="15" t="inlineStr">
        <is>
          <t>2026-10-15</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Reopened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t>
        </is>
      </c>
      <c r="Z82" s="15" t="inlineStr">
        <is>
          <t>Deferred</t>
        </is>
      </c>
      <c r="AA82" s="15" t="n"/>
      <c r="AB82" s="15" t="inlineStr">
        <is>
          <t>Deferred to next round: Warehouse verify "VERIFICATION NOT SUPPORTED FOR THIS COUNTRY" when real reason is missing credentials. Wording.</t>
        </is>
      </c>
      <c r="AC82" s="15" t="n"/>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Reopened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t>
        </is>
      </c>
      <c r="Z83" s="15" t="inlineStr">
        <is>
          <t>Fixed</t>
        </is>
      </c>
      <c r="AA83" s="15" t="n"/>
      <c r="AB83" s="15" t="inlineStr">
        <is>
          <t>Fixed on dev (9796ed31): Address book now runs the shared validatePhoneForCountry / validateEmail / validateZip / STATE_CODE_SETS checks before POST.</t>
        </is>
      </c>
      <c r="AC83" s="15" t="inlineStr">
        <is>
          <t>2026-10-15</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Reopened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t>
        </is>
      </c>
      <c r="Z86" s="15" t="inlineStr">
        <is>
          <t>Deferred</t>
        </is>
      </c>
      <c r="AA86" s="15" t="n"/>
      <c r="AB86" s="15" t="inlineStr">
        <is>
          <t>Deferred to next round: Audit entry for invite resend/revoke; needs recordAction wiring.</t>
        </is>
      </c>
      <c r="AC86" s="15" t="n"/>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Reopened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t>
        </is>
      </c>
      <c r="Z87" s="15" t="inlineStr">
        <is>
          <t>Deferred</t>
        </is>
      </c>
      <c r="AA87" s="15" t="n"/>
      <c r="AB87" s="15" t="inlineStr">
        <is>
          <t>Deferred to next round: Mail form autofill unchanged; needs same new-password treatment as Carrier Accounts.</t>
        </is>
      </c>
      <c r="AC87" s="15" t="n"/>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BUG-087-2.jpg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Reopened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t>
        </is>
      </c>
      <c r="Z88" s="15" t="inlineStr">
        <is>
          <t>Fixed</t>
        </is>
      </c>
      <c r="AA88" s="15" t="n"/>
      <c r="AB88" s="15" t="inlineStr">
        <is>
          <t>Fixed on dev (5088d31d): Templates got pinnedByDefault:'end' on actions column (BUG-025 mechanism). Carrier Limits uses sticky right:0 on &lt;th&gt;/&lt;td&gt; since it's a plain &lt;table&gt;.
R6+1 (e17bf946, 2026-10-15): CarrierShippingLimitsPage table now uses border-separate + border-spacing-0 so Chrome's position:sticky on &lt;th&gt;/&lt;td&gt; actually sticks Actions at narrow viewports.</t>
        </is>
      </c>
      <c r="AC88" s="15" t="inlineStr">
        <is>
          <t>2026-10-15</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Reopened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t>
        </is>
      </c>
      <c r="Z90" s="15" t="inlineStr">
        <is>
          <t>Fixed</t>
        </is>
      </c>
      <c r="AA90" s="15" t="n"/>
      <c r="AB90" s="15" t="inlineStr">
        <is>
          <t>Fixed on dev (6754690c): Allow branded packaging toggle hidden entirely for Ground-family services + inline amber note.
R6+1 (V161 afeb4111, 2026-10-15): V161 re-applies V30's branded_packaging_allowed=false for UPS/FEDEX/USPS ground services. V30 fired against empty shipping_service on fresh deploys and the UPS Ground row later synced in with the default TRUE. Now flipped.</t>
        </is>
      </c>
      <c r="AC90" s="15" t="inlineStr">
        <is>
          <t>2026-10-15</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Reopened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t>
        </is>
      </c>
      <c r="Z91" s="15" t="inlineStr">
        <is>
          <t>Deferred</t>
        </is>
      </c>
      <c r="AA91" s="15" t="n"/>
      <c r="AB91" s="15" t="inlineStr">
        <is>
          <t>Deferred to next round: Shipping Catalog tabs don't share origin. Needs lifted-state origin filter.</t>
        </is>
      </c>
      <c r="AC91" s="15" t="n"/>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Reopened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t>
        </is>
      </c>
      <c r="Z93" s="15" t="inlineStr">
        <is>
          <t>Deferred</t>
        </is>
      </c>
      <c r="AA93" s="15" t="n"/>
      <c r="AB93" s="15" t="inlineStr">
        <is>
          <t>Deferred to next round: tare &gt; max weight guard; needs save validation on Add Package.</t>
        </is>
      </c>
      <c r="AC93" s="15" t="n"/>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Reopened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t>
        </is>
      </c>
      <c r="Z94" s="15" t="inlineStr">
        <is>
          <t>Deferred</t>
        </is>
      </c>
      <c r="AA94" s="15" t="n"/>
      <c r="AB94" s="15" t="inlineStr">
        <is>
          <t>Deferred to next round: Duplicate alias silent replace; needs "updated existing" message in service.</t>
        </is>
      </c>
      <c r="AC94" s="15" t="n"/>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Reopened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t>
        </is>
      </c>
      <c r="Z95" s="15" t="inlineStr">
        <is>
          <t>Fixed</t>
        </is>
      </c>
      <c r="AA95" s="15" t="n"/>
      <c r="AB95" s="15" t="inlineStr">
        <is>
          <t>Fixed on dev (6754690c): Code Maps ERP code input gains maxLength=40.</t>
        </is>
      </c>
      <c r="AC95" s="15" t="inlineStr">
        <is>
          <t>2026-10-15</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Reopened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t>
        </is>
      </c>
      <c r="Z96" s="15" t="inlineStr">
        <is>
          <t>Fixed</t>
        </is>
      </c>
      <c r="AA96" s="15" t="n"/>
      <c r="AB96" s="15" t="inlineStr">
        <is>
          <t>Fixed on dev (6754690c): Carrier Limits form rejects unknown carrier codes (allowlist).</t>
        </is>
      </c>
      <c r="AC96" s="15" t="inlineStr">
        <is>
          <t>2026-10-15</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Reopened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t>
        </is>
      </c>
      <c r="Z97" s="15" t="inlineStr">
        <is>
          <t>Fixed</t>
        </is>
      </c>
      <c r="AA97" s="15" t="n"/>
      <c r="AB97" s="15" t="inlineStr">
        <is>
          <t>Fixed on dev (6754690c): Effective-until refuses past date on the FE.</t>
        </is>
      </c>
      <c r="AC97" s="15" t="inlineStr">
        <is>
          <t>2026-10-15</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Reopened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t>
        </is>
      </c>
      <c r="Z99" s="15" t="inlineStr">
        <is>
          <t>Fixed</t>
        </is>
      </c>
      <c r="AA99" s="15" t="n"/>
      <c r="AB99" s="15" t="inlineStr">
        <is>
          <t>Fixed on dev (9681f4ff): IllegalArgumentException now maps to 400 so duplicate holiday says what it is instead of 500.</t>
        </is>
      </c>
      <c r="AC99" s="15" t="inlineStr">
        <is>
          <t>2026-10-15</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Reopened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t>
        </is>
      </c>
      <c r="Z100" s="15" t="inlineStr">
        <is>
          <t>Fixed</t>
        </is>
      </c>
      <c r="AA100" s="15" t="n"/>
      <c r="AB100" s="15" t="inlineStr">
        <is>
          <t>Fixed on dev (9681f4ff): Field marking still TODO but 500 is now 400 "references something that doesn't exist".
R6+1 (2207535b, 2026-10-15): CutoffAdminController pre-validates warehouseId FK + throws IAE naming the field.</t>
        </is>
      </c>
      <c r="AC100" s="15" t="inlineStr">
        <is>
          <t>2026-10-15</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BUG-101.jpg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Reopened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t>
        </is>
      </c>
      <c r="Z102" s="15" t="inlineStr">
        <is>
          <t>Fixed</t>
        </is>
      </c>
      <c r="AA102" s="15" t="n"/>
      <c r="AB102" s="15" t="inlineStr">
        <is>
          <t>Fixed on dev (a8af5b2a): Cutoff rules grid shows warehouse code (loaded warehouses map); add-row swaps number input for dropdown.</t>
        </is>
      </c>
      <c r="AC102" s="15" t="inlineStr">
        <is>
          <t>2026-10-15</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Reopened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t>
        </is>
      </c>
      <c r="Z103" s="15" t="inlineStr">
        <is>
          <t>Fixed</t>
        </is>
      </c>
      <c r="AA103" s="15" t="n"/>
      <c r="AB103" s="15" t="inlineStr">
        <is>
          <t>Fixed on dev (V159 cb9e4ed5): V159 seeds Dec 25 Christmas Day for current + next year.</t>
        </is>
      </c>
      <c r="AC103" s="15" t="inlineStr">
        <is>
          <t>2026-10-15</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Reopened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t>
        </is>
      </c>
      <c r="Z104" s="15" t="inlineStr">
        <is>
          <t>Fixed</t>
        </is>
      </c>
      <c r="AA104" s="15" t="n"/>
      <c r="AB104" s="15" t="inlineStr">
        <is>
          <t>Fixed on dev (a8af5b2a): PickupsEodPage.runPickup rejects past date, inverted times, &lt;3-digit phone, bad postal, 0 packages BEFORE POST /pickups.</t>
        </is>
      </c>
      <c r="AC104" s="15" t="inlineStr">
        <is>
          <t>2026-10-15</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t>
        </is>
      </c>
      <c r="Z105" s="15" t="inlineStr">
        <is>
          <t>Fixed</t>
        </is>
      </c>
      <c r="AA105" s="15" t="n"/>
      <c r="AB105" s="15" t="inlineStr">
        <is>
          <t>Fixed on dev (cb9e4ed5): Canadian BN+RM pattern enforced in CustomsProfileModal.</t>
        </is>
      </c>
      <c r="AC105" s="15" t="inlineStr">
        <is>
          <t>2026-10-15</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Reopened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t>
        </is>
      </c>
      <c r="Z106" s="15" t="inlineStr">
        <is>
          <t>Deferred</t>
        </is>
      </c>
      <c r="AA106" s="15" t="n"/>
      <c r="AB106" s="15" t="inlineStr">
        <is>
          <t>Deferred to next round: Importer search by country name/city; backend search needs expand.</t>
        </is>
      </c>
      <c r="AC106" s="15" t="n"/>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Reopened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t>
        </is>
      </c>
      <c r="Z107" s="15" t="inlineStr">
        <is>
          <t>Fixed</t>
        </is>
      </c>
      <c r="AA107" s="15" t="n"/>
      <c r="AB107" s="15" t="inlineStr">
        <is>
          <t>Fixed on dev (cb9e4ed5): Returns Analytics header pluralises "returns" correctly.</t>
        </is>
      </c>
      <c r="AC107" s="15" t="inlineStr">
        <is>
          <t>2026-10-15</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t>
        </is>
      </c>
      <c r="Z108" s="15" t="inlineStr">
        <is>
          <t>Deferred</t>
        </is>
      </c>
      <c r="AA108" s="15" t="n"/>
      <c r="AB108" s="15" t="inlineStr">
        <is>
          <t>Deferred to next round: Logo content magic-byte check; current fix is MIME-level only.</t>
        </is>
      </c>
      <c r="AC108" s="15" t="n"/>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Reopened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t>
        </is>
      </c>
      <c r="Z110" s="15" t="inlineStr">
        <is>
          <t>Fixed</t>
        </is>
      </c>
      <c r="AA110" s="15" t="n"/>
      <c r="AB110" s="15" t="inlineStr">
        <is>
          <t>Fixed on dev (0fad4a45): Added renderWithTemplate(orderNo, templateId); controller ?templateId query param; FE passes previewContext.id so Preview renders THIS template.
Test fix (46d6db84, 2026-10-15): fetchPreviewObjectUrl now asserts the second-arg template id (previewContext.id) that landed with 0fad4a45.</t>
        </is>
      </c>
      <c r="AC110" s="15" t="inlineStr">
        <is>
          <t>2026-10-15</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t>
        </is>
      </c>
      <c r="Z111" s="15" t="inlineStr">
        <is>
          <t>Fixed</t>
        </is>
      </c>
      <c r="AA111" s="15" t="n"/>
      <c r="AB111" s="15" t="inlineStr">
        <is>
          <t>Fixed on dev (a601e4aa): Custom Fields page says "Client scope" / "Platform-wide (all clients)"; description scrubbed.
R6+1 (e17bf946, 2026-10-15): Tenant→client wording on CustomFieldsSection, PrintersPage scanner enroll, InvoiceCopiesMatrix, LabelTemplateEditorPage, LabelTemplatesListPage, OutputDestinationsPage doc / dest type dropdowns (humanised codes).</t>
        </is>
      </c>
      <c r="AC111" s="15" t="inlineStr">
        <is>
          <t>2026-10-15</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t>
        </is>
      </c>
      <c r="Z112" s="15" t="inlineStr">
        <is>
          <t>Fixed</t>
        </is>
      </c>
      <c r="AA112" s="15" t="n"/>
      <c r="AB112" s="15" t="inlineStr">
        <is>
          <t>Fixed on dev (9681f4ff): Preserve existing createdAt on edit so Custom Fields upsert stops violating NOT NULL.</t>
        </is>
      </c>
      <c r="AC112" s="15" t="inlineStr">
        <is>
          <t>2026-10-15</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t>
        </is>
      </c>
      <c r="Z113" s="15" t="inlineStr">
        <is>
          <t>Fixed</t>
        </is>
      </c>
      <c r="AA113" s="15" t="n"/>
      <c r="AB113" s="15" t="inlineStr">
        <is>
          <t>Fixed on dev (6754690c): Custom Field key input forces snake_case + 60-char cap on change.</t>
        </is>
      </c>
      <c r="AC113" s="15" t="inlineStr">
        <is>
          <t>2026-10-15</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Reopened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t>
        </is>
      </c>
      <c r="Z115" s="15" t="inlineStr">
        <is>
          <t>Fixed</t>
        </is>
      </c>
      <c r="AA115" s="15" t="n"/>
      <c r="AB115" s="15" t="inlineStr">
        <is>
          <t>Fixed on dev (6754690c): Printer save-error routing checks host/IP before "name" substring so address error shows under Address.</t>
        </is>
      </c>
      <c r="AC115" s="15" t="inlineStr">
        <is>
          <t>2026-10-15</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Reopened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t>
        </is>
      </c>
      <c r="Z116" s="15" t="inlineStr">
        <is>
          <t>Fixed</t>
        </is>
      </c>
      <c r="AA116" s="15" t="n"/>
      <c r="AB116" s="15" t="inlineStr">
        <is>
          <t>Fixed on dev (6754690c): PrinterService.update clears stale lastTestOk/Message/At when host or port changed.</t>
        </is>
      </c>
      <c r="AC116" s="15" t="inlineStr">
        <is>
          <t>2026-10-15</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Reopened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t>
        </is>
      </c>
      <c r="Z117" s="15" t="inlineStr">
        <is>
          <t>Fixed</t>
        </is>
      </c>
      <c r="AA117" s="15" t="n"/>
      <c r="AB117" s="15" t="inlineStr">
        <is>
          <t>Fixed on dev (fb113431): CellPopover createPortal'd to document.body with position:fixed, re-measured on scroll/resize; grid overflow no longer clips.</t>
        </is>
      </c>
      <c r="AC117" s="15" t="inlineStr">
        <is>
          <t>2026-10-15</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Reopened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t>
        </is>
      </c>
      <c r="Z118" s="15" t="inlineStr">
        <is>
          <t>Fixed</t>
        </is>
      </c>
      <c r="AA118" s="15" t="n"/>
      <c r="AB118" s="15" t="inlineStr">
        <is>
          <t>Fixed on dev (cb9e4ed5): PrinterScanService.enrollAgent rejects non-conforming agent id + hostname.</t>
        </is>
      </c>
      <c r="AC118" s="15" t="inlineStr">
        <is>
          <t>2026-10-15</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Reopened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t>
        </is>
      </c>
      <c r="Z119" s="15" t="inlineStr">
        <is>
          <t>Fixed</t>
        </is>
      </c>
      <c r="AA119" s="15" t="n"/>
      <c r="AB119" s="15" t="inlineStr">
        <is>
          <t>Fixed on dev (9681f4ff): Output Destinations IAE now 400; create still fails on missing config - needs service-side fix later.
R6+1 (afeb4111, 2026-10-15): @JdbcTypeCode(SqlTypes.JSON) on ClientOutputDestination.config. Hibernate 6 was binding the String field as VARCHAR and Postgres rejected every save with 'column is of type jsonb but expression is of type character varying' → 500 on every destination create. Create now persists cleanly.
Test-suite fix (8cb8b4ba, 2026-10-15): also caught a latent bug — forStampsTopup returned a v3 UUID (nameUUIDFromBytes), which SERA rejects with error 800001 'Idempotency-Key invalid'. Topup now routes through stampsKey() like every other forStamps* helper so the version bits are stamped v4. Backfilled test: IdempotencyKeysStampsSeraTest.everyStampsKeyIsAStableV4Uuid.</t>
        </is>
      </c>
      <c r="AC119" s="15" t="inlineStr">
        <is>
          <t>2026-10-15</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Reopened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t>
        </is>
      </c>
      <c r="Z120" s="15" t="inlineStr">
        <is>
          <t>Fixed</t>
        </is>
      </c>
      <c r="AA120" s="15" t="n"/>
      <c r="AB120" s="15" t="inlineStr">
        <is>
          <t>Fixed on dev (9681f4ff): formatDateTime treats Z-less timestamps as UTC so IST operators see wall-clock time.
R6+1 (e17bf946, 2026-10-15): NotificationTemplatesPage 'Updated' line now routes through formatDateTime (treats Z-less backend timestamps as UTC).</t>
        </is>
      </c>
      <c r="AC120" s="15" t="inlineStr">
        <is>
          <t>2026-10-15</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t>
        </is>
      </c>
      <c r="Z121" s="15" t="inlineStr">
        <is>
          <t>Fixed</t>
        </is>
      </c>
      <c r="AA121" s="15" t="n"/>
      <c r="AB121" s="15" t="inlineStr">
        <is>
          <t>Fix landed earlier this session: WMS default-cred UI copy scrubbed as fb58156c earlier.</t>
        </is>
      </c>
      <c r="AC121" s="15" t="inlineStr">
        <is>
          <t>2026-10-15</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Reopened</t>
        </is>
      </c>
      <c r="Y122" s="5" t="inlineStr">
        <is>
          <t>2026-10-14 R6 (build local dev, 2026-10-14 (order-form modules reloaded 13:17 IST)): still-failing - R6: unchanged. nds-default &gt; Writeback &gt; Routed clients still lists MKL274 and THB000; no client MKL274 exists.</t>
        </is>
      </c>
      <c r="Z122" s="15" t="inlineStr">
        <is>
          <t>Fixed</t>
        </is>
      </c>
      <c r="AA122" s="15" t="n"/>
      <c r="AB122" s="15" t="inlineStr">
        <is>
          <t>Fixed on dev (V158 6754690c): V158 deletes orphan tenant_settings rows (MKL274 removed).
R6+1 (afeb4111, 2026-10-15): PUT /external-systems/{id}/tenant-routings/{tenantCode} now 400s on an unknown client code so a FE typo can't seed a new orphan after V158's retroactive cleanup.</t>
        </is>
      </c>
      <c r="AC122" s="15" t="inlineStr">
        <is>
          <t>2026-10-15</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Not captured</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t>
        </is>
      </c>
      <c r="Z124" s="15" t="inlineStr">
        <is>
          <t>Deferred</t>
        </is>
      </c>
      <c r="AA124" s="15" t="n"/>
      <c r="AB124" s="15" t="inlineStr">
        <is>
          <t>Deferred to next round: HS lookup keyboard support + dialog focus/escape audit.</t>
        </is>
      </c>
      <c r="AC124" s="15" t="n"/>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Not captured</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Reopened</t>
        </is>
      </c>
      <c r="Y125" s="5" t="inlineStr">
        <is>
          <t>2026-10-14 R6 (build local dev, 2026-10-14 (order-form modules reloaded 13:17 IST)): still-failing - R6: unchanged. DTC label generation &gt; Tenants still offers only 'All tenants' (pressed) and 'ARHDEV'.</t>
        </is>
      </c>
      <c r="Z125" s="15" t="inlineStr">
        <is>
          <t>Fixed</t>
        </is>
      </c>
      <c r="AA125" s="15" t="n"/>
      <c r="AB125" s="15" t="inlineStr">
        <is>
          <t>Fixed on dev (e15ef349): DTC Scheduler tenants list pulled from Multiship clients (not Oracle NDS).</t>
        </is>
      </c>
      <c r="AC125" s="15" t="inlineStr">
        <is>
          <t>2026-10-15</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Not captured</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Reopened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t>
        </is>
      </c>
      <c r="Z126" s="15" t="inlineStr">
        <is>
          <t>Fixed</t>
        </is>
      </c>
      <c r="AA126" s="15" t="n"/>
      <c r="AB126" s="15" t="inlineStr">
        <is>
          <t>Fixed on dev (d24684cc): Currencies description no longer references a non-existent per-tenant allowlist.
R6+1 (e17bf946, 2026-10-15): CURRENCY_ALLOWLIST (15 currencies) in utils/money.ts drives Orders/New, Customs profile, Client Identity + Markup. MXN / NZD / BRL etc. that were a client default but not pickable on the order form are now consistent across all three screens.</t>
        </is>
      </c>
      <c r="AC126" s="15" t="inlineStr">
        <is>
          <t>2026-10-15</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Reopened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t>
        </is>
      </c>
      <c r="Z128" s="15" t="inlineStr">
        <is>
          <t>Deferred</t>
        </is>
      </c>
      <c r="AA128" s="15" t="n"/>
      <c r="AB128" s="15" t="inlineStr">
        <is>
          <t>Deferred to next round: Export button (visible page) vs Export CSV (full) wording clarified later.</t>
        </is>
      </c>
      <c r="AC128" s="15" t="n"/>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t>
        </is>
      </c>
      <c r="Z129" s="15" t="inlineStr">
        <is>
          <t>Deferred</t>
        </is>
      </c>
      <c r="AA129" s="15" t="n"/>
      <c r="AB129" s="15" t="inlineStr">
        <is>
          <t>Deferred to next round: Big — audit calls on templates / code maps / customs profiles / custom fields / printers / scanners / mail. Multi-service pass.</t>
        </is>
      </c>
      <c r="AC129" s="15" t="n"/>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t>
        </is>
      </c>
      <c r="Z130" s="15" t="inlineStr">
        <is>
          <t>Deferred</t>
        </is>
      </c>
      <c r="AA130" s="15" t="n"/>
      <c r="AB130" s="15" t="inlineStr">
        <is>
          <t>Deferred to next round: Logs filter Entity type + Action lists need DB-driven population.</t>
        </is>
      </c>
      <c r="AC130" s="15" t="n"/>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Reopened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t>
        </is>
      </c>
      <c r="Z131" s="15" t="inlineStr">
        <is>
          <t>Fixed</t>
        </is>
      </c>
      <c r="AA131" s="15" t="n"/>
      <c r="AB131" s="15" t="inlineStr">
        <is>
          <t>Fixed on dev (V157): V157 redacts client_id in old carrier_api_log rows.
R6+1 (V162 2207535b, 2026-10-15): V162 masks client_id at START of carrier_api_log request_body; V157's regex only caught `?`/`&amp;` prefixes, FedEx form bodies open with the field.</t>
        </is>
      </c>
      <c r="AC131" s="15" t="inlineStr">
        <is>
          <t>2026-10-15</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Not captured</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Reopened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Reopened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t>
        </is>
      </c>
      <c r="Z135" s="15" t="inlineStr">
        <is>
          <t>Fixed</t>
        </is>
      </c>
      <c r="AA135" s="15" t="n"/>
      <c r="AB135" s="15" t="inlineStr">
        <is>
          <t>Fixed on dev (a601e4aa): Writeback Journal Status cell humanises; Retry hidden on OK rows.
R6+1 (e17bf946, 2026-10-15): SKIPPED_INACTIVE added to the WritebackJournalStatus union + badge map so the humanised cell doesn't rely on a hard cast.</t>
        </is>
      </c>
      <c r="AC135" s="15" t="inlineStr">
        <is>
          <t>2026-10-15</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t>
        </is>
      </c>
      <c r="Z136" s="15" t="inlineStr">
        <is>
          <t>Fixed</t>
        </is>
      </c>
      <c r="AA136" s="15" t="n"/>
      <c r="AB136" s="15" t="inlineStr">
        <is>
          <t>Fixed on dev (d5f6d288): rollbackSuccessfulPiecesSera overload threads orderNo (parseLongSafe(referenceNumber)) + tenantCode (departmentNumber per PR #543) into the three SERA MPS rollback alerts; Alerts History Tenant/Order columns populated for them.</t>
        </is>
      </c>
      <c r="AC136" s="15" t="inlineStr">
        <is>
          <t>2026-10-15</t>
        </is>
      </c>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t>
        </is>
      </c>
      <c r="Z137" s="15" t="inlineStr">
        <is>
          <t>Deferred</t>
        </is>
      </c>
      <c r="AA137" s="15" t="n"/>
      <c r="AB137" s="15" t="inlineStr">
        <is>
          <t>Deferred to next round: Return label origin same as recipient; needs ReturnFromCustomer prefill rewrite.</t>
        </is>
      </c>
      <c r="AC137" s="15" t="n"/>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t>
        </is>
      </c>
      <c r="Z138" s="15" t="inlineStr">
        <is>
          <t>Deferred</t>
        </is>
      </c>
      <c r="AA138" s="15" t="n"/>
      <c r="AB138" s="15" t="inlineStr">
        <is>
          <t>Deferred to next round: ZPL return label SHIP FROM "Multiship Warehouse, Bengaluru"; return-shipper is wrong at label-generation time, baked into the stored ZPL. Needs FedExConnector return branch fix. User chose deep-dive.</t>
        </is>
      </c>
      <c r="AC138" s="15" t="n"/>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Open</t>
        </is>
      </c>
      <c r="Y139" s="5" t="inlineStr">
        <is>
          <t>2026-10-14 R6 (build local dev, 2026-10-14 (order-form modules reloaded 13:17 IST)): cannot-retest - R6: not re-walked - the client editor did not compile during this run (ClientEditorPage.tsx:1515 parse error, 14:00-15:38 IST).</t>
        </is>
      </c>
      <c r="Z139" s="15" t="inlineStr">
        <is>
          <t>Fixed</t>
        </is>
      </c>
      <c r="AA139" s="15" t="n"/>
      <c r="AB139" s="15" t="inlineStr">
        <is>
          <t>Fixed on dev (a8af5b2a): carriersStepComplete requires every staged draft to carry non-blank clientId AND clientSecret.
Test fix (46d6db84, 2026-10-15): importer-broker fixture now seeds non-blank clientId+clientSecret so the carriersStepComplete guard lets Submit through.</t>
        </is>
      </c>
      <c r="AC139" s="15" t="inlineStr">
        <is>
          <t>2026-10-15</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Open</t>
        </is>
      </c>
      <c r="Y140" s="5" t="inlineStr">
        <is>
          <t>2026-10-14 R6 (build local dev, 2026-10-14 (order-form modules reloaded 13:17 IST)): cannot-retest - R6: not re-walked - the client editor did not compile during this run (ClientEditorPage.tsx:1515 parse error, 14:00-15:38 IST).</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2026-10-15</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Not captured</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Reopened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t>
        </is>
      </c>
      <c r="Z141" s="15" t="inlineStr">
        <is>
          <t>Fixed</t>
        </is>
      </c>
      <c r="AA141" s="15" t="n"/>
      <c r="AB141" s="15" t="inlineStr">
        <is>
          <t>Fixed on dev (V157): V157 deletes orphan printer_scan_agent rows for deleted tenants.</t>
        </is>
      </c>
      <c r="AC141" s="15" t="inlineStr">
        <is>
          <t>2026-10-15</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Open</t>
        </is>
      </c>
      <c r="Y144" s="5" t="n"/>
      <c r="Z144" s="15" t="inlineStr">
        <is>
          <t>Fixed</t>
        </is>
      </c>
      <c r="AA144" s="15" t="n"/>
      <c r="AB144" s="15" t="inlineStr">
        <is>
          <t>Fixed on dev (35d7902c): Reason-of-export only auto-fills when empty — operator picks persist across carrier switch.</t>
        </is>
      </c>
      <c r="AC144" s="15" t="inlineStr">
        <is>
          <t>2026-10-15</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Open</t>
        </is>
      </c>
      <c r="Y145" s="5" t="n"/>
      <c r="Z145" s="15" t="inlineStr">
        <is>
          <t>Fixed</t>
        </is>
      </c>
      <c r="AA145" s="15" t="n"/>
      <c r="AB145" s="15" t="inlineStr">
        <is>
          <t>Fixed on dev (3f4520c8): HS lookup warning suppressed while the dropdown is showing matches.</t>
        </is>
      </c>
      <c r="AC145" s="15" t="inlineStr">
        <is>
          <t>2026-10-15</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Open</t>
        </is>
      </c>
      <c r="Y146" s="5" t="n"/>
      <c r="Z146" s="15" t="inlineStr">
        <is>
          <t>Fixed</t>
        </is>
      </c>
      <c r="AA146" s="15" t="n"/>
      <c r="AB146" s="15" t="inlineStr">
        <is>
          <t>Fixed on dev (35d7902c): Invite "still pending" expiry rendered as "Oct 21, 2026, 2:06 PM UTC".</t>
        </is>
      </c>
      <c r="AC146" s="15" t="inlineStr">
        <is>
          <t>2026-10-15</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Open</t>
        </is>
      </c>
      <c r="Y147" s="5" t="n"/>
      <c r="Z147" s="15" t="inlineStr">
        <is>
          <t>Fixed</t>
        </is>
      </c>
      <c r="AA147" s="15" t="n"/>
      <c r="AB147" s="15" t="inlineStr">
        <is>
          <t>Fixed on dev (35d7902c): TimezoneCombobox commits a typed+valid IANA zone on blur.</t>
        </is>
      </c>
      <c r="AC147" s="15" t="inlineStr">
        <is>
          <t>2026-10-15</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Open</t>
        </is>
      </c>
      <c r="Y148" s="5" t="n"/>
      <c r="Z148" s="15" t="inlineStr">
        <is>
          <t>Fixed</t>
        </is>
      </c>
      <c r="AA148" s="15" t="n"/>
      <c r="AB148" s="15" t="inlineStr">
        <is>
          <t>Fixed on dev (3f4520c8): SystemChannelSection clears remembered-tenant from localStorage when the client no longer exists.</t>
        </is>
      </c>
      <c r="AC148" s="15" t="inlineStr">
        <is>
          <t>2026-10-15</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Open</t>
        </is>
      </c>
      <c r="Y149" s="5" t="n"/>
      <c r="Z149" s="15" t="inlineStr">
        <is>
          <t>Fixed</t>
        </is>
      </c>
      <c r="AA149" s="15" t="n"/>
      <c r="AB149" s="15" t="inlineStr">
        <is>
          <t>Fixed on dev (3f4520c8): RegionCountryPicker grid widened to 1/2/3 cols so labels stay readable.</t>
        </is>
      </c>
      <c r="AC149" s="15" t="inlineStr">
        <is>
          <t>2026-10-15</t>
        </is>
      </c>
    </row>
  </sheetData>
  <autoFilter ref="A1:AC149"/>
  <dataValidations count="1">
    <dataValidation sqref="Z2:Z449"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6"/>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7"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8" t="inlineStr">
        <is>
          <t>Fail</t>
        </is>
      </c>
      <c r="K26" s="5" t="inlineStr">
        <is>
          <t>Sale chosen (default Sample); accepted by all carriers</t>
        </is>
      </c>
      <c r="L26" s="5" t="n"/>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7"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7"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7"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8" t="inlineStr">
        <is>
          <t>Fail</t>
        </is>
      </c>
      <c r="K37" s="5" t="inlineStr">
        <is>
          <t>61091000 accepted for Canada, UK and Mexico; lookup suggestion 610910 too short for Canada (BUG-011); retest of fix</t>
        </is>
      </c>
      <c r="L37" s="5" t="inlineStr">
        <is>
          <t>BUG-011 verified fixed in R3</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7"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7"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8"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7"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7"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7"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8"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8"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8"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8" t="inlineStr">
        <is>
          <t>Fail</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t>
        </is>
      </c>
      <c r="L98" s="5" t="inlineStr">
        <is>
          <t>see BUG-140</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n"/>
      <c r="N110" s="5" t="inlineStr">
        <is>
          <t>R5</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8"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8"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8"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8" t="inlineStr">
        <is>
          <t>Fail</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t>
        </is>
      </c>
      <c r="L121" s="5" t="inlineStr">
        <is>
          <t>see BUG-139</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8"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8"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8" t="inlineStr">
        <is>
          <t>Fail</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t>
        </is>
      </c>
      <c r="L137" s="5" t="inlineStr">
        <is>
          <t>see BUG-080</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8"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8"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8"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8"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8" t="inlineStr">
        <is>
          <t>Fail</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8"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8"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8"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8" t="inlineStr">
        <is>
          <t>Fail</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t>
        </is>
      </c>
      <c r="L193" s="5" t="inlineStr">
        <is>
          <t>see BUG-086. Help text under Return-label scope says 'Domestic only matches the pre-V95 default' (migration number, see BUG-061).</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8"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n"/>
      <c r="N200" s="5" t="inlineStr">
        <is>
          <t>R5</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8"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8" t="inlineStr">
        <is>
          <t>Fail</t>
        </is>
      </c>
      <c r="K202" s="5" t="inlineStr">
        <is>
          <t>at 1442 px the ⋮ buttons sit at x 1747-1775, outside the window, until the grid is scrolled sideways (BUG-087)</t>
        </is>
      </c>
      <c r="L202" s="5" t="inlineStr">
        <is>
          <t>see BUG-087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8"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8"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t>
        </is>
      </c>
      <c r="N220" s="5" t="inlineStr">
        <is>
          <t>R5</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8" t="inlineStr">
        <is>
          <t>Fail</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t>
        </is>
      </c>
      <c r="L221" s="5" t="inlineStr">
        <is>
          <t>see BUG-092</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8" t="inlineStr">
        <is>
          <t>Fail</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t>
        </is>
      </c>
      <c r="L230" s="5" t="inlineStr">
        <is>
          <t>see BUG-093, BUG-094</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8" t="inlineStr">
        <is>
          <t>Fail</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t>
        </is>
      </c>
      <c r="L239" s="5" t="inlineStr">
        <is>
          <t>see BUG-095, BUG-096</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6" t="inlineStr">
        <is>
          <t>Pass</t>
        </is>
      </c>
      <c r="K240" s="5" t="inlineStr">
        <is>
          <t>'Edit carrier limit' reopens with every saved value; max packages 5 -&gt; 6, PUT .../13 200, 'Updated QA1013R5/QA_R5_SVC.'</t>
        </is>
      </c>
      <c r="L240" s="5" t="n"/>
      <c r="M240" s="5" t="n"/>
      <c r="N240" s="5" t="inlineStr">
        <is>
          <t>R5</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8"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8"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8" t="inlineStr">
        <is>
          <t>Fail</t>
        </is>
      </c>
      <c r="K254" s="5" t="inlineStr">
        <is>
          <t>17 rules: MANUAL/BULK FEDEX any America/New_York; 15 rules on warehouse 1 in client tz; all active, 20:00:00; warehouse shown as its internal number (BUG-101)</t>
        </is>
      </c>
      <c r="L254" s="5" t="inlineStr">
        <is>
          <t>see BUG-101</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8"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6" t="inlineStr">
        <is>
          <t>Pass</t>
        </is>
      </c>
      <c r="K257" s="5" t="inlineStr">
        <is>
          <t>four seeded holidays shown with date, name, active; names shown as text; Christmas Day missing - query BUG-102</t>
        </is>
      </c>
      <c r="L257" s="5" t="n"/>
      <c r="M257" s="5" t="inlineStr">
        <is>
          <t>BUG-102</t>
        </is>
      </c>
      <c r="N257" s="5" t="inlineStr">
        <is>
          <t>R5</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8" t="inlineStr">
        <is>
          <t>Fail</t>
        </is>
      </c>
      <c r="K258" s="5" t="inlineStr">
        <is>
          <t>Add stays disabled until date and name are filled; 'QA-1013-R5 Test Holiday &lt;i&gt;x&lt;/i&gt;' on 2026-11-27 -&gt; 'Holiday added.', shown as text; same date again -&gt; 500 (BUG-098); the 'Holiday added.' toast covers the row's + Add button for a few seconds</t>
        </is>
      </c>
      <c r="L258" s="5" t="inlineStr">
        <is>
          <t>see BUG-098</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8"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t>
        </is>
      </c>
      <c r="N264" s="5" t="inlineStr">
        <is>
          <t>R5</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8" t="inlineStr">
        <is>
          <t>Fail</t>
        </is>
      </c>
      <c r="K269" s="5" t="inlineStr">
        <is>
          <t>server-side search; 'QA-1013' and 'CA' find the profile; 'importer' (importer name), 'canada' and 'toronto' find nothing (BUG-105); 'No profiles match your filters.' when nothing matches; R6: 'importer', 'Sons', 'THB', 'CA' find the profile; 'canada' and 'toronto' find nothing (BUG-105)</t>
        </is>
      </c>
      <c r="L269" s="5" t="inlineStr">
        <is>
          <t>see BUG-105</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8"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8"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8"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8"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8"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8" t="inlineStr">
        <is>
          <t>Fail</t>
        </is>
      </c>
      <c r="K296" s="5" t="inlineStr">
        <is>
          <t>Preview dialog asks for an order number; 934193 renders a packing-slip PDF in the dialog; the PDF uses the order's own client template, not the one being previewed (BUG-109)</t>
        </is>
      </c>
      <c r="L296" s="5" t="inlineStr">
        <is>
          <t>see BUG-109</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8"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8"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8"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8"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8"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8"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8"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8" t="inlineStr">
        <is>
          <t>Fail</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t>
        </is>
      </c>
      <c r="L318" s="5" t="inlineStr">
        <is>
          <t>see BUG-114</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8" t="inlineStr">
        <is>
          <t>Fail</t>
        </is>
      </c>
      <c r="K325" s="5" t="inlineStr">
        <is>
          <t>opens 'Edit QA-1013-R5-PR01 &lt;b&gt;x&lt;/b&gt;' prefilled; changes saved ('QA-1013-R5-PR01 edited saved.'); old test result kept after the address changed (BUG-115)</t>
        </is>
      </c>
      <c r="L325" s="5" t="inlineStr">
        <is>
          <t>see BUG-115</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8" t="inlineStr">
        <is>
          <t>Fail</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t>
        </is>
      </c>
      <c r="L328" s="5" t="inlineStr">
        <is>
          <t>see BUG-117, BUG-141</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8" t="inlineStr">
        <is>
          <t>Fail</t>
        </is>
      </c>
      <c r="K330" s="5" t="inlineStr">
        <is>
          <t>Add a client adds a row; cell opens 'Route which docs from ... to ...?' with a Labels tick box; routing saved (assignment QA-1013-R5-CL01 LABEL -&gt; printer 2) and removed again by unticking; pop-over clipped inside the grid; Escape does not close it (BUG-116)</t>
        </is>
      </c>
      <c r="L330" s="5" t="inlineStr">
        <is>
          <t>see BUG-116</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8"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9" t="inlineStr">
        <is>
          <t>Blocked</t>
        </is>
      </c>
      <c r="K337" s="5" t="n"/>
      <c r="L337" s="5" t="inlineStr">
        <is>
          <t>No destination can be created (BUG-118), so there is no row to edit, switch or delete; existing list is empty.</t>
        </is>
      </c>
      <c r="M337" s="5" t="n"/>
      <c r="N337" s="5" t="inlineStr">
        <is>
          <t>R5</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8"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8"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n"/>
      <c r="N340" s="5" t="inlineStr">
        <is>
          <t>R5</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8"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see BUG-118</t>
        </is>
      </c>
      <c r="M341" s="5" t="n"/>
      <c r="N341" s="5" t="inlineStr">
        <is>
          <t>R5</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8" t="inlineStr">
        <is>
          <t>Fail</t>
        </is>
      </c>
      <c r="K342" s="5" t="inlineStr">
        <is>
          <t>Create -&gt; 500 for every valid combination (BUG-118); Cancel and x close without saving; Escape does not close; container has no role=dialog (accessibility suggestion)</t>
        </is>
      </c>
      <c r="L342" s="5" t="inlineStr">
        <is>
          <t>see BUG-118, BUG-036</t>
        </is>
      </c>
      <c r="M342" s="5" t="inlineStr">
        <is>
          <t>BUG-118</t>
        </is>
      </c>
      <c r="N342" s="5" t="inlineStr">
        <is>
          <t>R5</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8"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8"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8"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8" t="inlineStr">
        <is>
          <t>Fail</t>
        </is>
      </c>
      <c r="K349" s="5" t="inlineStr">
        <is>
          <t>row: Kind, Name (HTML as text), Inactive chip, Updated, Edit / Activate / Delete; Updated shows UTC as local, 5 1/2 h behind (BUG-119); GET returns the token as '...' (masked), never the value</t>
        </is>
      </c>
      <c r="L349" s="5" t="inlineStr">
        <is>
          <t>see BUG-119</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8"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8"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8"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8" t="inlineStr">
        <is>
          <t>Fail</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t>
        </is>
      </c>
      <c r="L373" s="5" t="inlineStr">
        <is>
          <t>see BUG-121; the table names are listed under BUG-061. Viewed only.</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8"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8"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8"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8"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8"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8" t="inlineStr">
        <is>
          <t>Fail</t>
        </is>
      </c>
      <c r="K404" s="5" t="inlineStr">
        <is>
          <t>'QA13R5' style keys found; '%' returns all 34,622 rows and 'QA13_5' matches QA13R5 - LIKE wildcards not escaped (BUG-022)</t>
        </is>
      </c>
      <c r="L404" s="5" t="inlineStr">
        <is>
          <t>see BUG-022</t>
        </is>
      </c>
      <c r="M404" s="5" t="n"/>
      <c r="N404" s="5" t="inlineStr">
        <is>
          <t>R5</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8" t="inlineStr">
        <is>
          <t>Fail</t>
        </is>
      </c>
      <c r="K405" s="5" t="inlineStr">
        <is>
          <t>Actor, Entity type, Action, Since, Until; closes on Escape; type and action lists miss most logged values (BUG-129)</t>
        </is>
      </c>
      <c r="L405" s="5" t="inlineStr">
        <is>
          <t>see BUG-129. Date boxes not typed into (datetime inputs froze the browser earlier in the run).</t>
        </is>
      </c>
      <c r="M405" s="5" t="inlineStr">
        <is>
          <t>BUG-129</t>
        </is>
      </c>
      <c r="N405" s="5" t="inlineStr">
        <is>
          <t>R5</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8" t="inlineStr">
        <is>
          <t>Fail</t>
        </is>
      </c>
      <c r="K406" s="5" t="inlineStr">
        <is>
          <t>Export CSV = link to /api/v1/audit-log/export: whole log, 5.8 MB, filters ignored; Export = current page only (25 rows, 7 columns); no cell starts with = + @ (CSV-injection safe)</t>
        </is>
      </c>
      <c r="L406" s="5" t="inlineStr">
        <is>
          <t>see BUG-127. Both downloads intercepted in the page.</t>
        </is>
      </c>
      <c r="M406" s="5" t="inlineStr">
        <is>
          <t>BUG-127</t>
        </is>
      </c>
      <c r="N406" s="5" t="inlineStr">
        <is>
          <t>R5</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6" t="inlineStr">
        <is>
          <t>Pass</t>
        </is>
      </c>
      <c r="K408" s="5" t="inlineStr">
        <is>
          <t>row chevron opens 'Row #34620 . CARRIER_ACCOUNT . UPDATE . UPS . QA13R5' with the change as JSON in a panel below the grid; account snapshot shows clientIdPreview 'qa-1...id' - no secret values in the log</t>
        </is>
      </c>
      <c r="L408" s="5" t="inlineStr">
        <is>
          <t>The details panel opens below the grid, out of view when the row is near the top; the user has to scroll to see it.</t>
        </is>
      </c>
      <c r="M408" s="5" t="n"/>
      <c r="N408" s="5" t="inlineStr">
        <is>
          <t>R5</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8" t="inlineStr">
        <is>
          <t>Fail</t>
        </is>
      </c>
      <c r="K409" s="5" t="inlineStr">
        <is>
          <t>changes on Shipping Catalog, Code Maps, Carrier Limits, Cutoffs &amp; Holidays, Importer / Broker, Templates, Custom Fields, Printers and Mail made in this run are absent (BUG-128)</t>
        </is>
      </c>
      <c r="L409" s="5" t="inlineStr">
        <is>
          <t>see BUG-128</t>
        </is>
      </c>
      <c r="M409" s="5" t="inlineStr">
        <is>
          <t>BUG-128</t>
        </is>
      </c>
      <c r="N409" s="5" t="inlineStr">
        <is>
          <t>R5</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8"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8" t="inlineStr">
        <is>
          <t>Fail</t>
        </is>
      </c>
      <c r="K412" s="5" t="inlineStr">
        <is>
          <t>Carrier: 'UPS' -&gt; 412 rows, 'ups' -&gt; 0; a request per keystroke; Order no. 934193 -&gt; 0 rows; no row has an order or tracking number (BUG-131)</t>
        </is>
      </c>
      <c r="L412" s="5" t="inlineStr">
        <is>
          <t>see BUG-131</t>
        </is>
      </c>
      <c r="M412" s="5" t="inlineStr">
        <is>
          <t>BUG-131</t>
        </is>
      </c>
      <c r="N412" s="5" t="inlineStr">
        <is>
          <t>R5</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8" t="inlineStr">
        <is>
          <t>Fail</t>
        </is>
      </c>
      <c r="K413" s="5" t="inlineStr">
        <is>
          <t>1,731 rows, newest first: When, Carrier, Method, URL, Status, Order, Latency; times are UTC shown as local - 5 1/2 h behind (BUG-119); balance checks appear only in bursts at sign-in (07:32 and 07:45 local), no runaway polling</t>
        </is>
      </c>
      <c r="L413" s="5" t="inlineStr">
        <is>
          <t>see BUG-119</t>
        </is>
      </c>
      <c r="M413" s="5" t="n"/>
      <c r="N413" s="5" t="inlineStr">
        <is>
          <t>R5</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8"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t>
        </is>
      </c>
      <c r="L414" s="5" t="inlineStr">
        <is>
          <t>see BUG-130</t>
        </is>
      </c>
      <c r="M414" s="5" t="inlineStr">
        <is>
          <t>BUG-130</t>
        </is>
      </c>
      <c r="N414" s="5" t="inlineStr">
        <is>
          <t>R5</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8"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8" t="inlineStr">
        <is>
          <t>Fail</t>
        </is>
      </c>
      <c r="K424" s="5" t="inlineStr">
        <is>
          <t>Order no. 934193 -&gt; 1 row (orderNo=934193); OK -&gt; 1 row; Reset filters restores 280; SKIPPED never matches the stored SKIPPED_INACTIVE (BUG-134)</t>
        </is>
      </c>
      <c r="L424" s="5" t="inlineStr">
        <is>
          <t>see BUG-134</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8"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8"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8"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8"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t>
        </is>
      </c>
      <c r="N432" s="5" t="inlineStr">
        <is>
          <t>R5</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8"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sheetData>
  <autoFilter ref="A1:N436"/>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7"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7"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7"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8"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8"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8"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8"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8"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8"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8"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8"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5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qa-ledger-zlib-b64-v1</t>
        </is>
      </c>
    </row>
    <row r="2">
      <c r="A2" t="inlineStr">
        <is>
          <t>eNrsvYlX40i2J/yvxOSbLtmvZLyzVmU/EpyVTJFAA1lLf/Wmj7AFqNO23JLMUj3vf5+7xSJZRsZAvZ5zvj6nK42tJeLGjRt3/d1/vkuHt+EkeLer2r56N0zCIAtH8Ne7Tquz2Wi3Gu3OZau929/a7W2/gyuC2Qx+/ee7aTAJ8bLP83EWpbfRDH+cJ2P87jbLZrvN5jgeBuPbOM12++2tLv4eTu+iJJ5OwmmG1x3jBWoU3qnaeRgMs+ZPURaqL0e+agazqHnXVrMkfojCkcpild2G6n8Fd4G6CoZfw+movqfCuzB5VMMgSaIwUcFwGM+nmYqm6mL/5PDD6S9qEo9CfG8SXodJOB2GKb72JFYX5xfNj+eHKp3PZmN4wYYaPMzCIUxdXYW3wV0UzxOVBfAedZ3EE/OO/bMjlYTpLJ6mYerTmIAgXqri+6mahGka3ISpCqYjNQ6uwjFcgp+HcHmUZjCAR3h8dh/CY8fBVK6UZ6fv/gtHOp/iGP+/f76LaBXO2zj+NAuS4rLwD8N4RstwmozgEeq9OgnvVYx/7AIhsjCZBlkUT4HMuEZI+FRdx4kawqyBVp9/PO70NpG8B8E0GAW++jKNkAo/RtObEUwcB/g5fIiGsV8g94NKw+QuGobwaQZLEtzALar2MRwNHuAxZxfwn4uzC1gmJgU9ioZJVASug2UcqeAaBnkfJKN0Q361i6X+sg9Tbbcb5+1u499pIeMxTTcYTWCZa/uHn49O6vjD1TwaE33wjywEYif418E4mI9CVTuI7+Pka52m/jmYxn/Hy+6j6Si+x8vava32w3a7g99O44xecRBPriKmnoJVUZbwqhYztf9tp9trbXYb+G97p1VXs/E8VXfBOBrBLmrE0/EjEC0a4WSARmlqH9Lh7TBa3Gud3U5rt9NFbjBM0FnGBHR9H7ZnnhsuwiyD1UB+OE1ugmn0O8+jdkDLDmz5c5CEt/GcuHh/NAKeTtVVHH+FRYNlhS/PgdJpfVcWPRyHyDsqvlawUW/VGNgZeHs0aoajKEOyMquMwiyIxuouCu/3cKPQHWY0E9gruOQZbJXpXI3h2eM3XdXe5sN2r+Wu6lKy90G+7Xa2c2TvLid7u7Pb2t5t93NkPw8zmXIwHqt+R13DWGjmJETO20Sj8w4zPUkPEWZEK3gP3mvfssvEvprfwO+N+2CMGya7TeL5za2KMpY6QJRZikIPH0db/joYhm9J1larD2TdWoWs7e5ut7/b2cmRtbeMrF3kZph2bzNH1o9zoKYQwBC3a4mrKQIEiBJLE5+3YwAXJrAqaTicJ1H2yHwaZEEjhY2R8cbAzYkCczaHC+3XeGk8z/Bb2MMxvs7HcwZ3Cwj1DChM14BoD/DkSeMx3ejTC2g1bsw70yxO4HhQt483sAlDPhpgA6Z0Q5YEUzhXgAXw6zBJgPi38HEM71xtMcf6NPUtC3XX3DibrdVWGFYMVnhzt9/JrXD/iRXeRvnG8q+4wjcJU0Mv8uaWXeTahy8/NFqtNp5V9HFzq+7z/qjaGzHvjSREUmWKCKaZY6pFW+PqsaGlHIlqFHUk+4z4SudXoFDMx0BAV6r6cHbyCa6+gYvpTATmO3JPX18d8yH4jTqMh/MJC+HBBIXlN2p/HCaZ3HKT0C3w18UjDH8C4nmYRXfIRN+o4/gmrav7KLs17Mys1pBDRzNtkb/ptCVKEMVS0PPC6QvYStU0NVmUnff2UMbB+OHlTKQUBwFrAiKg3VFHF5f1dYV4ZzVe7CEv9vq73bwQ31zGiz3kRZD7/e0lQhyZZnvTsmCaRcCUcNlUz7qvGsyM7U1WBtstueoaVpb0IWbbLV+12vSfbfhPp4P/2YH/dDfxP/hdDz/18ZLNdp2FCjxvqw90mcMfsDjwNn7a5rbeBO1epw5DeM4uoHXF2bV76nQIhzhxU8Acomc9DaOb2yvQgXEKsitgsyQ0FHrbdfSwPvv0RINqkN6g2SUJx3EwEo7ZegnHtNqrckwbRFF7t9d+91//STyA2yKnf1+AyMGbeZBW0yaW0fKAjAqtd78zD8p9zTpSLaeT1x2bqck6ZXMa3gvDZnOyVmbAuVEw1rNJmRKoxvlaF/dJuSclQz5moK6Leu6Ldo4yaTiHQ2gCH6IJHjV4J2j7+IW2DpgPfPWTKLGqqX6AwyrBj6TH7ynYIPMEmCm4QgUw1Lz5f9RxeJ0psMBwwUa76nCeRbCssyACowrk1P7gQh1dnvjqLBp+ncMYH2eh2AvM8EcwFHXx4xdg2OARnsscC0f6KLwOwMw0Wg4oUsO8ds6HKYzC3QVRykQnPRyZhfn/hjfEO7a2xMhyJAYseeclS34ktAV5fZXEX+FDDOdIAmaAGsFCxjflq65q/CsJGBg/qYzmWbAxk3AIV8NTZRX109+jAl+vZprC8lwGD+rokOg2OD0/Am0cfg4ns+xxT8E9KnwIk2GUwpZ5glDdlQhFZ1+eSPSVGumz0CUJsVnzn0SZk/i/nj2xQ5B5KEnU2eFH3/618fuMlbUzkGoZn8cgOwMYhFwxDcNRyhIFLPqbuBHchvC1vWcI6kJC4i/Af8dqltB+3lBgLE6QXPDd0fQupm13EM8e1V/Pjn11mcAOpOfwp3F0F6p7MHItkXkTbTxF616e1mBELxDaob+hNBvVYpjVfhhcaueK5r1/RqP/ykmixZ/zazCKp2FeHIktT0cJbbIkvgfxo7Vb2nyo0LU720psZzlpcLJPzLmfn7NWxRYmvg8PT90fzfTdX2gjom3qzjZ32/I5uqPsFEa5ueIoc7b4eyXGeH688iVZ2GXDbA6du9Yb7tZ6w7Uug/yI7ffLB32fv3e9cW+vN27XvVHgDeeX5WMP+KqGuX+90e+sN3pyx+SHTV8tH+/c3LHWQNut9QZKDqP8QOmr5QNNzB1rDbTXevVtBxLs9wDO2BpwBmg+g1GU1Z/ahHRu76nF7/85jEdhldjcZkVkVx2N4Cay5S5QeftIehyrWda49OFkms3IA/E5SECB8o12APfNJ5MgedygIZPbexc9ukM44prqIoDjZngbTNE3XfP029S3Slg7TElH8up7y9/GGppWR9ikSPHBRkuDY3TjqeVqr7hcJdZ0Ya20M54d/mn5Cmmv+ur81SsMuPPKAwbiz8ZBhjpp/ckxN/RlLxh897UGjyyJjACskRW1VzPyVC5qDO1Faw6892pUh12AXLyEP+DXxkR+XXOo/dfm6ONoEj3Nz42xuWTNQW++9qAPk3iGOvTT4x65V6059K1XG/o8i6+v8fdPMdq5j0vGzpe9YMTbrzVitpnx98F01IivG4fBY+mYZ3zhC8a8qqKSc3AuMYGb6gMZqaVD1U6IxpW5Zr0h91svH/IBHiWwBsukhfPrmoNsv3yQ52GQxlOO4A4ekHrlihVfhu61RmguW3PYnVeg7TzBgO5S4uZ+XnOYq553i374/FgvwwmevkuGmrm/rjnS3iuN9IDcQOpjFI5HywiLVzSuzRVrjrj/SiM+Y3dJ+WBnzo9rjnPzlcZ5yiG/wzDNxMdYPmQODTZGhevWHP2qp1s+apQf+Wf4qXSoE/lhzbFtv8LY+Len9xcMJrqOhkTLxmtstp1XGPiJM6jqYb9gtJvPOcd0oLBA5AeSwmOJHpYPN5SLGqm9aM0Rt1884sPLA3UxvA3xynI9YZQNG6l7xZpjXfUkY9IVrCDz3aLtYy9fb1zdF4xLK+EDShj4LBloT2rilFvQmDiXrjnuVQ+yQgC7EAiQbxbdbvNRlDVeZEtu9l9jhAdO7t/xEvtX0zaYRS8c8uZrDJml2WGIgYbkcemoc9J2JFe/cPxbrzH+n5MoCzE1Sv2veJ6IPrnoVNZXNf5ur1pz2NuvMWw+PNSnCFN9ys2zgC5p3NpL1hzwzmsMmH2MqdoH4j1m0TBdYk7QVY3AvWr1YWNkXecQFEPrjUGrXRC0EnCnKKD1zOJXX6Mp3ahdCZSODLYOfvcpDCQQm4T/mEdJqHOMi+HDlEbP+TA4mneSApvCECn/dzFWRTeIEEBntsJoYapspiv5RjHZld+v80cwR+I/nSQESt7odxXsMth2+KroQUf+OGfihockF9LNmpDdQjgBSdepIh0P+u1oV0ICSTASatITJE0Yr7CJwkhInfOhZkBZk8ZNydPAUv9ZyN/Q5PnPJ+KFSJVuBVXOdX6xqp2dNtqdbq9fd0mUgXr0OuTJpS+7ec2Y+sC0Ce4wIRYJcU2B2pP55ArD/VPmv2s3ZFqDE6i+Nll6FWRBP2+Dkg4oG4/y+5+gyoXOOFmHMLMkvo7GoU7sUB5sQg9o8HdJwX9kVsonsOsMQFosvENp17RHOZkz59YVNmKrveJGBDpV0ba/Mm0l4qJqXFbAUSchR44LgcwjyiB/NaInIYa+Q04s4zd7KSX+FIbGGW2d+gpEbHdWJGK7U0nEzVWImMXqZBXOzOJ1SBQiw8kZYAoifnSKIPZynIbHhIkzrbsvt1ac9kE8mQXTx//+ma890+0VZ3qRwSXZG020dHIqpVc68dBXX+adFSd/divq1BvMvd1qjKKbKFNTOmWcWdbIR6huMcvJa7cUXZZ6JAKAUp3W1k5vswX/Y6L9ovr9fqe1jYfni/mCEw5W2QGgxr4RZS5jTF6OfdCRpyNK6Y7mowDrWQyH0Eldo9IlGMfa53C7vSojxDBiYDwpYXuDSX/u/6S6xzu+GrR7qr//AXOPYZHdqf4ezTCMuv5sOytLNwywPILiGCTDW3fCwTyLhyD7xnASvdLESf0SMaeaxZK3pl5yUlij4Vc5MuMZKiI8+ikmVMD709v4PgWNQ/0277R3OupgHxNmP+AzfoHvWq2rLXV0cnm8Nv2qlNmzJL6LSJfl6dSrlP0XkO30xOj1e8pornhLqOC3F6mn7Ur1NONs5CS8oUq2Lz/6sk71tzoSMRcWq/nmoboeBzc3JsMxDlIu06ETEyUn3nr4MafBkpbFydQHwAxGShJ91L+rSZB8FXNnNg6G4W08xkTNk1+1oru9igLW2i5TwHolWux2lQLWrtRi2ZCr5DB72bNJTu4qbTDG19ekk6B1SFtunmJ+Lxmd6mgAzHB0xsYnZjhhsBmLeEe0mekznuVcharOPh/Bd2efB5w0m8X4YNR9f4oCW5+b0bv0+1/G0FXq7NF0CE9N2Pv+RvQ83D8DHozTcIoWZd6r8fqqbLtKlc1XBLzWvGGkDc79zs/enQWliAMJsCRGG52183AYzdgACx5TYI/Dwy/158y3SqE9096OqqmeSYXG+nvGOlbcXaM52d04fVU7GnDBxRZ8PKvzFgKlr6k68P92S7ZMx/V7XcUPsHLXWNpkyyxHEYwypZDOuixTpRZ/iB/UPVYj5ewB1l9fi4JUU9hpqfHVi3XZTpUuexxOb+AIaaqfoxH9++mtJ9dRD2oH/t/Dk4EzAmQ1zf5njIKZAC3Aj8AIIBP2Z7PxI/1JFAIRsTZZqpRezLcN4MG3zGouOa7mWRa/2m4BCy+VGaKpW9g8PtBoOJ5juZ9K4T/jsAFUwaMIwRrkXO6udC6Xunm7Jedyt+pc7lTp0CXr9Gb0IzZJZUtyqakRApZ5ahrdAQtOicSdBv5CJ8/aR2qnuwIXnQhzj6OvIelg4yDN3pIeCDmShhlOvr0n878Js5ReLnSCd1JNFX7l0EsYanMlhtpclaE2KxmqStc+DIfjAM8QVn5raIJxPRpVC1b7KV9CUTapeq0NsETR7ptnuhiOAA5wAKqGQq2Dl6zPTP3KMAEm0VEZuEmhe+oM53Ss6ilfSyaOM+WLYBxqPa2m1ZOLAG3e+hpq2jsuDc4Lls0SElSpqB8vz7FCbTLLnjK5XkKMkvXPOeZ21cnpYHCkuq2N7lYtqOfMKH2JiSKcgJhWtTlKbqw2rXtUyS/mO2s/Wp+Rcmes58NtR8HUKKU7pVBa3ANctss7q7/SRu2vulH7lRu1SqGWktqnDOBVV2IVLfoERBgWSZJgp4ieyrPIfZAKHz9nJ1ap0ZzpCsuMUklKfsPr15h0Cft5J6dKc9xmPrDEHGQ95DRIUzVLP+SYd23RVKUUSz7t4xvuwvP+roRowTCwCbqqAbbBoa8GX8599cMHML8P9uHPoxP4c/8LfLr4Af7zv85+hR9OfsWa70O4hbwmcB+6i2Sz7jlRKF11RZZLqj7/cgJbBjgxIJwCeKKq/WWOSgTJtU4/L/OP4/grgwrhAsglG8vI3V8kd7dSZ6dSYXQaviHBzw4/miOAGU2Ltb+eHR8dkeQhA77d14Ba4sUgGJlbtMeAvPCYddmu216JDmn0uynbf0t6BGjA9h42NVWsus7kMZX3mk6IGpCqSzAhJgh3lsUg4PF+4j4kby2d39xgri4IEJLAnSfUh3dyRZWM7lZp5yVoB69Ftud4Ps7DmzmIT8X1Ic9hiyqtewWMgl0swn1aCddPWYdXEDGB9e2VsBe8058G5+dHh4eDE+2jv/x0dKEuPh2dfR6cXHp6OxHIy5eUtv1VMLoJGfQpGEVDrd8HydTCvLRbK8XMWysqCO1q5qvS5AlS4zCEKyITvVh2aB6xaj20UAYRQxnU14qzxrjC6rKR3kYJwmdxfNkYhLx91xVV/VXmffHjlzea78objzSD50xsc5WJfbqgsCCnSsHxx/tZz9N+8wozLbFWNtutnTaFgrVutDRpgIZOw1GO7OUHgMEc40ZLMud+vZHaK22k9qobiWjIVlGvyirqbq2yBKdJdBP9gdvpy8XiFhpH62fJdbdXmeVf8gH3Rc/k606yg3NDGw5nxpA+bfUt/B++TmfjKKMfUv/Fbtruziqzx7iwdoGA9lr/Q0lB/o+XzrPXWmWeP2eqNr76Q6fX2ui/hru9115lfvsTdNJVOq3eZAGBhctcWbCx1IPDYGsToLMKAc6+3vxblc75urOHN6p/U4x32iH3KNjPF7OE8JSGSYxQuOyo1XYN7WwGoQIpzs7sMbpRA4lGkQPZwJRdE5oR+1FWylRsdVZ1y1RmKvZW8UNHUqrzhMb7qhSnwEYgkhP9zQG7m7N4pg/VlQIX7VUDF+3KwEWvVx3cC9Pd5Xzxh9EuTaMbsSCYDzmSAR+EhQmIkNI+hmhQ8KXXMQbwFY/O5M32VqJyb1Uq9yqpXKULGyg/vXmeJu1HmtVaCcZzoaFxrko+h960NSeZneBXe+J+5ZACnvxJcK/6sFeZ2ELSlQIk7dIAyWYJSSsDJL1VUpEtWqKaBdMwF3OT4rpiIpK9Zc0dzsmpBtHRRwA6hJrT1rYDJ48AsVRtycYsPus6GKdhHpcWge1iQiiO0hT1HBaBzMNepwESGFkcrQ1PoYarr9jh1FCUzN40Ro9LpB3tMk4PI176ie1tnUp6FY3HmEjFgTH5dWclCb7qnuFSBxmn+cjZGvK+Sg6oMgLyoJhvtaMcZ9+NvJAsThDSepk55cwuNDoBA9k+Bo+Pk/UYh1RUu3UUjk5puVYnR5hL8nN9wCAMFhM01Xk4DLGwsNLrtehHWodk5s0ECCrvltxNutZ8J64fzJGSjFcNSILEHSny+NQlXw+OKEp+Ie0tlaTVRYdiu9Kh+HQxSae0qitP4ar6h9eho1ibe8JVEhTLUWhtHupWzPAgnmbBMPsDJ/kiQ6RTWl3VKaqEVFzT/n975fpVK1eRov+vP8PNihlSHvLbT/H0xPGK7amnwoz08cUMvFUxbyxHqCxG+Ndf3u1K0cN1CDUR+OGoOtvldWZtXpgvIjCZLw7KzNqz36la5Krio3/5BS4pJiroJwx7XVuhdmCNyb5NYKBTWjaUnxdheNe+/Pj/zoyq9JyDPMy5RbGqyPpQFk7uuYxJYvZqHEy/7rEOyMlonoYAGY7DAGxXbW7VtBKuQ9D8ZrDM6t7aDFylHH1JQwGzj9IVTfpDBpa/XtsOCahLGhv3JqCqEfX1GPYWTBU2QKJsLVp0S42N7oIdTtikkqIRXOX4g/98eR2/jS/Tm2nm1PMLu3nwhx06haUR2Nrz7VTMdxFm/s3mjAlA5a9Dec0T7QoSBoHKC1w8/9C0nrmGeOakYGrK3h9shNQmfAN8r75kGm/QZfs/f/DRMPPViEtGxGsANhfV6txMw9Av5J45eVuYKehL2ibsToQK2G7vtBEAJUoRwEQdJr59kvrLvrpEz4MtCOEyUF0YiUPsiGdQ8k45DeqGPJab6viD+l5hTmoXPvpqGmYwOfyUxZn1TUosqafv37PNCSLdNMB8gz5x23lAk1+KO3BA4gNSB9R1J0vVPawA7gXvmAbaVrW2mk+jLK177GfBbjFP+1lSIIZcqf6P+bSSWw0ufPdUolW31O7rliQYzRiooFLt+hCPHteJX2setLs4v3nhatncKh3H96aFD9FOBrcxm2JPNkbP6be6TlAWF0/cWv0qbwBr3XKxiVF3tyop2augpNsD4+mzYUUJsYoagCIDs9yx2kg1TF8N5ElswjYOl3TY8NX9bTS8Zdc6BbjHXD6peyEcXPwku1ko292ur5zh1y01W5eQC5uE/P/0KjGCi+cQtzZ5FVItPXz4He5xcx1mcFXpgcNdY3SPFylT6frbHUwgDJJgiNiiQGUMMvzvX/Y3Njb+9y9/BV0PswRnXHUkvbD+/d8vBxeX6nj/w+AYbjg8haPlkpLD/p16kFrEFDhY/LKT5a9hOCb7/Ej1dnqbPUnRZKfhwmHjg6iW7JeLf8yBeH7h+EFbcBLAzFn/wmnvqf2Dy59/uKQDR4/fBqk8pJtUdDUwCT6j1pAx6y/YKADO5ybBwSR4qIpU44ChJFASHuuGZxJ1Z1cxasQEusaJ3sEM5B8fCHgNnuk5eTeYBldj3eKVBGNJZ6FVWXKrgiW5s07T6bDzlszJb4kk4vpV9yfmzNQMf+QSsozV5K2d3vb29s4OHJJ98coHyQ1oCX8jY0NUozFQh5o/JfCB0KIS+FhDkl3HYziKxBnhNBFizdS71G/El7Gbn7eFJ80CaT6YrH3wacA9n3SL5AZ8+nx2PAB163KfQA3guqsYbrJtwziEMB1hBD6LJqFOz1FYGNSAkSZhiuJoPs1GFILATr8zLjr+ODgc/EKU2FODFHgGmSlGiJUILIbrGGwpydw1DeoocfAqvIW1E8Wl082fpCcuF6maGZuQof4cxtquYCynXdR/18lgu09R80FaDsIC5U2qdOOwpLw71XOosVNlcWlSwwwabA1dBdNpHmSuJPy5krJWVo6h+fS3eQej5o5oPj05/tWTt0uQcx27q1dqZ/Zys6YtdUgttNKNPFRbpZrq3rteAa/BgbOHgMGSEyi5dSfeec7EZZhvPuF2Hw74k8H5/qXIqnZXDc7PT899pgAKuvtbyW/hwdP6v4AO3efQQQTjwUpZZS+lRhezH0NKfkJS7Gyp7D62xbQpk2TtifcqJq4bu8gMCPsITtlU0FgEHwg+gagZ/zqtJEfheWtllu8j2kxTGfgiUI8MgtHnXwhtpclQRnsyLPWrg3+xNq36z6PVhsCL/BE0MZgoRyeXg/OT/cuj05P9478NDk5PTj//qmrtzbqvjs4KP5+dH52eH13C751e3UVS2eyrWrcDX1lAlda2qm3yNxTIbG3JJQZeRT/tbwh4BK9sw48IuKIGv5ydDy4u5Put+toLsPnMBVgEjngr+iNN0G+EW3Q6n4RJNDQYngZDFp4ZjFOyQGD/eqaKHi7suDu69g9T7dZqb1X5ENpb76rotlVBN/qgdzjPE3d0+oNx5DaNbrXiqec+8uWHAPuRnfFQyNMq2pzTsmcOCrohnmdrc9r2Myi2QX98BHv9LMhuX5cyJe6rqyANwaTEgjbkMBB87HZ3/VaIJYW2iRQSSpcLNlWsO2td4uxUEIcA5jU73QYpY9M3uan9Z6sbPkkm9yFrMZBmBdlUGKoRUC4J2oiWCt+ZVFm0nV+gSWyWqpKbBUwgeOUtmQqqlkXZGCypkS3QAtsLyTFMgKN9dQvyYYwyAlgeZj6nrOLqgPT6ti0NSHniSPIY4MOOzuYSYlqxHanyNP647a/o4WXaI+VORNwF5g6cGCVmgdFTeH+ONPA1xd1w6dCjkVCXeywvvo3VYzyXJthx4gtEkUGUlj6BvkyHm0lveC6t1cXg8vLo5IcLOwFfPTF6GvQqPNIv4ZFOBY+cs0X9Vg4MPIDcPsDStBK0gFarzljc44hzVG+SiFDukgDMeiedcBKqjsImv3rhljzzz+gU+r71DRYNf9/pf5PGSfbh8Xvak6Q/0zeHMHrKYfz+cHBxYEfgq69hSPE92rdUhQ4bFME41iV9t4L0F4Q/SYkuPmFg+6TyukthISr1UvyAVMrieHwVrLUg4UMw5OQaxWj0HN+hTtcK/T7JEIS+8iZfx7SrcFzKu7yNk3h+cwtMPKKvSTf3xPnoIUgKrlCdYQrIr9yEEzMak2sKjBgM6CbRZILoBiHsG1jYcDoSuLJpLOam9/vvv3uq8R7hNZRmFWuJ6lW5jsboYd2gkaSzkKKGjuf1FsY0DkdA1JgPArxuMKVtHMNIEPwJBwZ3TK7nfOhhtD2iQAuVuusEfYbrGIVXwEBDBDajxHGgObpVkXkY3xPB9fDCP9G2/5tCGgegdEXjEcb2dcJ+pywoJlzNt8Ka/K23KeEeHD+S1dyN1/OBy0nTSv0u7l/PkJfzstOwEU1TBP/J0HcHJLV76OIvx400ewThN0viK1hdBUdX+/u2ajTwwhZdmCdeGkyjjPKBdtV3V+//EXzXvHr/HYvL9xsbG9815XPhAVdKujGwthorvoxacefct9REJKKlEVzW0MQeiAFkRVz4Sm/JBoLxeBsSU0SirZbJ3Xk6prhZasDmN/RH5sunZelLNzDZwFgbHkScZIw5urkvMDHSfIGJI3lmINa5YM17fzxuUteOsHk0DegDPUFOs0/Aw2CpNUm3a2qwe+78Tvf+DGK6CXvVGh6yN7EG7SqCvUKCfP/k0K1rxwNS8dv0XuYDHNYTNyCVYklM+jYakf82DccEw3KIG1C8uvg7Su3UfcogHerfOVIg9RJIt2aeNBksSabMns3tVzp3ONMGfnB3LweMnEVQ3t9Ye8k/3fsTliXc673ckq1M8Y94no4f7evqZtm83weDYxKpxWUrWRfcbNJSBNWyPSWrqpeSNuOekvUyyyRfr7xSbV91fNUtWbEyWjurQoVLxfWlHIqQFzi7hb3EtR5UAuXr1aeTn/B/00UuWPc87lds34N4PJ/gjkHNs4mvVN8qUAnqb7uhgcagf8gUESAWR8EP4vAKJ4blW2xLZE6+TDAfIEv3nN+U5FHR8Y6KZMyJvXZl+EUiFEHSjsnBGY/5zIbR3Euv2nEAGi/eCYKb42uUUsP9VLjMAasu5TJzgGrlV1ddDoW8GFuAUwfmO0IAGt5aXd+p2jfbDPH01F2URldjM164HQ8J5wnePrw8xEtJNvBlk3nKMC36fq8O6ru8jCe9fOjMfnfwcD1orHKcT2eR5GbBVm4EUgojL8RlHOsmMzyrrd6KOTBwpT6vtnorlpYxQqHcU3l0bVbw/iGJmce3PromoPplGKmFQ/0rEJpEYgbcwdYF9Z0Y2oXglj7SLInrahjLemQFsX0kSQ7YDmPgzxGlNrQ7M3Zl8ytEL9Fv2Zw98AAp3clBOEJOX1vKbFVQWhDGapg4ASyhdVqMiecEjUUCXIv8Jd4csnNI707L7Kcmv3FjmN6xeUa2t2sMsboVpRbqjowCEJj0y/eXnz4s3oSTXbhFtH7ZOtEUke8YbQ0TTSlRIY3FURKPs2jmwXmaFwSph9eO4vlVBjq8TT4hPgLaDjlXjTRKinQbZEd6RZoKRM2CMq5zY1C9n0SZALJRYsyePtJCOYsQKxyoCVsUn6pTezDfaywGMzKpthfYSZAqSy5mTnhmQchFI2PtipTTggiYgQU5CiwYNOXiXPzEddj6KVLUxMFxPvPxvikeE5RVkRnJ290GzqdqM7bWrIoDNMRlmY8DmJ8U/u3iAcVAamQYXoU30ZRQibzv29+2aUn080FH+e0dfqtAIf/tHesXUzyGJO9oFqdZEs9gAg1lJeFmbucdli4GTnqeYqK25AXfg0nguHlgfy4uFWgz45GSsyOh3KY0NmwCA59PteQ11kN3e8WeQ11b8bm1WSmNtytkBBb1L/aie32BbJONt8EiDGcaHQ+0YqffpIiHKedJ3sryeSeDn9XB8dHg5BLW7zzEpCRUO3S7J7aqiVWGqGcD7cIppdXiPzXuV9ZpHBy32owQDgoLZbyL10vb3siL3ypLEfXcQasaJhKLt+8E/pZRNQy/cO8Z7W/gkXUb530aHI0t/12nbEYEkBSlq9ZFlbHFTpWvDk/LmehfVSWuL+UNxGbv9H3Vh3/brZbutYfZZehgo3d5F6CaIjN0UBR1PNhCw9tgemPPZ4Z678N/+i0CfG+ZCegEY3yNafbhG2Epbrx1iVlSnFNwjosdBqM6QQOEhsR9A28wg22EzUrjXPQJPZSNmUHZfy1Km5Hg22ksoyjldDaMJAs6uFl0MzTlcVa7p4n9jAf5quQxLqk/Y6+XGxCV2T3mPOA9KaXi5bLqdjkhtGOcdeFDJP1KSIeeoN6VCnEJzTFClM+N5yxkVZTDMOEvOI1f9VA8Nl8rAxi4eutlC+V437w2ty+YslokgqIEXyI0Yl0MKevfNbe08JaWnYU+Njn3QlZ62ct99cxXK1BCnJuKL4+n9tXrbsSqCMQFaohwqB8UCj5pt6UlOvB6sCtD2OgY4eGEw/s4+apqMHkEl7uOEkQwuAU+xyvYMS2abAQnCynOmCUHWhSYEKRqsdJEfqBA36KN2c3lXl52HD0Ox2QgmxubzkNM6INfFozRDpfyRf0C1xG8AF7RWRW+vVOpqbS7Ky5eESjgVRePPJyGQLucC+2GJIwb1JJ0N3eBj/foNcg/Ts3mILewbkcCE7kHr8v0vRXpdmocp29COeZsNvxc2nS7vc0tPeGeOLZD0IWF2V1qw8/6Sr6tJlknPvcZgHPG190WfAOo4Os2a/ChEBvlnGB2VXJ0WsyTmM1FMuY10jAFDciGHLLuiysoNo2zgWgRC7OyI3UHpgPi7tvWXuYqlyKpBsZ0m0qXgxSsf4pZICc2MWThq2qy+TLtepFbXoNR7HhUjQQQBfiuwGwOstv64vAYsURkFavW0tqOQAvwJLLw99Es5SsD9MglOvtaHIS+MVHR/cnpNb7mjyy+QZXlW34fuQ2MBu+lmpwcIqQ8TVRRpOabEUExZQendZ8EMAwsYxG3M9fYSfYOhee/6vAvyF1KopqoUZDeiuylZt0WRpxP5WLcX3NobpT8frzjH3NsXO6rYAJaMKaSM77kVOcZHdzioEI3mMnpR9po9r73TGFjgMhWAZpLqOqJ2aQZgtZPBq7L+qlB3Uf86x74BabNcMMaWBh3mD19bueTYNpAlYn24zRuoOdtPjO5LKRSOuRAKvIlLu1Wodra26/Kq5lnohpFujiZ9DAM9B88tnwtO93wGvvKeU+Qfk1Z1eBgZerC0mvrMWUuDhE96x41jKvQKvG1dpFyvlHWGrDS6MfXC5tiqY/5C4xj2L63Ez1RiRsAV93lx7FvYoDOyMmxaoJKWrkX4nKAB7/BWAJ5wzKmVEMeQLwFX2N4OsLnaTaYASvOdHdD9D2mynP9AhwQvsf6o6OfBhzud7OqqC0mXHOFNSqs1ebeqjfj8kXAoRVte70UrES/nOCL9I5WojNRyaN4Z2NhkEKZoxOXNstJDip+gZZ5+aw97nmF59ImqpG2S0UeEgAJ7nX2JtYCU7+vYBZlmHRa43dgz0QZHhwgbDmKLtp5lgG4Ve0W4Yy19xaTvak+GGSG5f4zvFPCOOs41KUiauGlusk6rBv6m/RfAgJG/ef5jOU9JyFcyuuVWAejbQ8l0CHcg1/+wvFWI3DTgMz0Guyms9OLSzE8cGAUxaPIYTC1cD4THbaNbrDua7RHm+cGFF6j+oG44Rg4p7ZQ4pvYHSvhTXZ6K/pMOxY7b6tfaYlsr84Fg1GUvd7CL/WbLnob/4mpKP+lj2JKIcj5KH2tfHqDw6NL8Z56OkDKyHCi0qBCbDIghQGIaeZTvg5z5VOWZ94xyhXNTvhDnPzZQwcnxj9txJdu8RVfbZf5ltFjKVKRJ6JaNtGij1TqDI2btfh7QztvHacrazaFea8/21o0bQSzmRSo1XOzL855bYVjZ3UmPAx1F+k3kz9JeE1Ve4s6liR6iCkUTB+FLLvKE2lzG6Rk2c3EgKI7aml9g8KjOHSs8buLIzrsJ/pRI5wVXM8HTqlyx+/e1ZWCRVXHFz2HD3JYD2kukKKXw7vEOJoN8c+xNjncwMYY7imuW/ZE15SMex9MqScerrWUrCHeEI9RuMnJezCBFV4iCi0FU/hu/Ah3TmI5orWeg8NV18CoomhgA0/yuln1gsk1VZNH6lVaOKwNKbyzwfnn/RPY88e/MiXD4rV/VkQBUv3gLI3lst1FTQTWarkyQj+WqyO0xs8iM+bTVZOrRnTqImW6PseXy6VFB/OPeoL7ylpbyZPj6UIgpoYioEAF4GPMKCXPHT5jxMpd3eR4Ivu58RtUizTy91AnX1slDpm+aNPJ1HjROVZFIwFZDzbRDKM/szhix0aKVe7iUMGLkvCOWkYd75+odMj1o5LmKKcEGF0wZIl+00agCuVcTXKv0DzIYqe0SkKRW7YDRavqWO1UhUkuyfq7lw6yiRVYXP/LvppMtXuoweSaqXJSzas4b83ziWK/zTud0IbKKbeAqyoSqnEK0TMhGkt/uSuWn9rBp5JL2Ob0GJhtOoQxO+sRr35Q7W5vixNsUVMSyogiZlKn9JtZ+ambrDwG2NCJVXLDQg6STTKalKcU+SLdOKgzaPXLPMD9VVWwJ/WuXqusyIR5zjDIzxx9ZcXGV6TtsMuH8pIv8G9qbbntlUfVpqDC3gS6Y9DLSw62+fW76mgEt5BzzTg+fHVO2ZjGuwab/3NAFXn4AZ0XvjEi4L75ZBIkjxyfsRMB3eI7lCvvMeA5YuNXI7S7yco4Dh4ckoO8mYG6oRpiSvmjiMNQjlsw0f6Hx18FSuY8YnJSbgLY1lFKWdEBesj4Ss6JCsYNoHWDlfxacRp1OwTkZ8u6wBOoPakJCLI9LY6m4X0j3ypvHFC4KMPzkxLq2DAR7iS9MkjGKDCpczG+4w5h4PU+k/Uwy4HpIJqyfoFBhHq+3EJUYoKV0IrkpUOZAtVqsrB1QzHxc8F9TCOZQiBuKw5empeXE2od1ZH2UadiH4mCTJUZNT0TRGNFVHQY1Ci6Ie29wenKe2o+m3GxRsOCou8hCtc/5rick8lcPOl0xHLGwtOIjbJAa+Hxy4B3Oe7MZ5hxXHF2qUFttGUmLpx7bGeE3gK2Pmv/CNgfNByjGfFe5fJGuP6Dqksocj+fDrO56drJnei9U4xQL5DRa7ABQrnbqCMz6AlZ0vzIOms9Of/sNJ42jtG9oh+o32MNPhDu3Mx+NuNWkf2W486lBLP5bIxiMHQG6a6+aOiI+DJG/yuqWZxdE4JOaxteFzPEx7CdJl/HeC8RT44+iXnLdiEex12gtXHj8CUIfe+olG82TI7BJHgYc1/5fmuPC4ZoILx4Dfw4Wli+biPpF1bQqHWsBjLNKfsvSyImnXmI949A4S0e397W7UXM0kjrgNpf0MUy3KHn183S4IE+nicvYwWmUy6pgo6FZfR6HaHRXU1oUIDBCI0/YJN7FCmKUiNymUEs03f6/QLXB5R7coVl1GGWOqzP9Stsi0jxhJyeJgbyHarl7/kdMYJG5ba66Q3H2rNJ44V1moFW5bDSrhYf6tT7AMf/VH2jLlDR++0dRWZGv73DFKU/qX9rg7L7229qTzUakqv66fLzMQ5DKpho7nj408se4XhKuAf8VCgjAXs0HXyjHcmxV3czQ+nEqpVQtO47uw0ISvz23dX7q3g8wvorz3B4LUiiAMEv8dylh+tA0ze++pOv/m2dMFOerLrfA8WaCH6Qp7xsgi7H7+eei3LNfXSUavhM1ClCwm0a5VNCN56zZ3oVe4Zqzd5qi2iFjNYquBp6DqNzBWLA2hGchljyJg1MQNbA8v/HKIYvp3LweMF/XNklxuqkkO2FfwTIwv8RPlDXdoRXK6wVesyqtiNlEeXe8NT40AXgK3pxN+mXvrrIrOuKvH7F8lXjhr/i8v2P5es3u6UO8PoQ4YPCV9+ChuarGuzdDcqN04tZq7uPokmIRRjo6pUtOZH4jm/bqrbZ3qyrfr+P/VlbuX70T6gXvLLu2EuHzkvqjqtiWHD18jH5OcVg7cXfrFj8Q6kpwsr5FRuTv4QdvAZqfKECBYF6SJX1I6dW5NSU3LYi//zLCfUjJ//j/qHKxXVoe/paot7gcUf6KvraTfoAvvXbZ79vT9HbyGNupbZ9ei64h/aUbbaOwhxOCVhryspFh2po4PK5ogzDR75qb23j1y4Ig9uyHaW2rf8YPjbId0YoM8+S4lurc8LPDG2D+MN/JDMg5vKPP/jq9K+wPHjtjz+ULHRhRXM37Sm8ha5ad8Nsr06mw2iClkI8/cMpdQTcefAZ2PQzbYjP1WSydwBLf34hjXZWpxG32uXM4eQPFS2gk/JbcRvVvlzgbseNjVvfV4cDX30895kuuNe/4PbHPQ8q1w+c0rH/JFnvBT8/IP8I5f4GXHDE+Vy0TWt4mOhR+NiLAKFiPdj5c0xVwlfgU/PanXc0FBSImwhjAYjdQH4cjEA6L6U3YNjJfcmeVfN6eTXvnXxZ5aBcTPRfvryXsAV+p2P7aP9kX6dAS7AdDXJ2/NYrWly/YNmvYZgN0qHl5ZSQRqPhQJnOk7PdvnQhjAeWDZhHsQc6t3ag1I2/cZ8SHYPmJV/kq1nEeFUR4WWMdTV2OB7lIDek6wSsWaaJox/527sf4/HX397ZxJsclZzHXmFhZZh4KYW/fhcFLRD7naHoCfpIP1pHZ7CCDzbWzFrpJuym6+TldrgSyzJ9lQRkAMLjsIyYshz4vMOyr6uriLFsYrb0b4LhoxAWLXupONlVODHMa8CX/fgY3VHmkhmVePC3lscOPHkAeST20yhoHgTjIZAlwFol/FsugE2Ez6frBnOYatj8MQrv4Cr9F/wKF5m1xefll3KvRPzJAMu8/L0SL/9W5Saq8vJ/YMRj8n+YJqT5EhMdrRCLlnuoWHdw/a0aF5aNgsROFmLZ6NIB+XqvSYmpSfqiDDzgt0mUppJFRtPXGPwCwGwYlLzNLnpQyLLN3BiluUIcur5tstFLhi/j42QKJy3QDkrVPBOn54pWfCj3rIBJzMNd9TF6sD53nrzo/GeU4V2WDko/Y61d4JbUa9DCBuzxO6yVnrBnfYML52iOHF/XMy9mkcEip9g3gxJVHWpEKRcQicvnltNzeT2oPDPKdLhU17bCHAN42yNDhGP9ZzwHOYbloM9RMNtV/vgS6pBMDVlEacOdGkhV6AnmUS9xunG+rc0r3i1ZqELk2lMM83MTcHrCiVjKxL08FWau2TjIULt3AuF7qnt23BjsX1watULf6k5dDoHIyTK25KoxJk+aAZEzxubxGc7VRzRXXysfPluk7M43xgunLKC0xsy2hWp1NxDQtOPW2yo3PzOVhjpAFg3G6mczygaYWXtlk6qVwO3DuWlwrbDvTFDfk+EtSY1yhkYoTGAzowiYX02ibF2Ntl3lFuZ6WWch7OJQTK9CFr+IX215LoVDvNxIPIp/a6CY1LUif84tIcsrqZeqmcCQvyyuxbULYFfdY4ZF7UwzdFMSz+AC3RZTpL7eK+6eVj/hefooJ5xPgD5cihA2scIZv8PmhAg3RgUTpoXf0cVpAxFqyYPiO+m9kn5kcOhZ27R51/J6eAyKMauxF5fQkjX/PZFyzwxEsnwdtVsr+KJv1kStzj0iyeoGS8aO1ESGFsZYFO80CNH+9DErapwRSUL9HIXpMGaAevIptFpbDh/s6YuHlHxllsw5GG7hXQYEYM4qqG5d8qzToMppzGkDeha76oJryJwztEmzlwvc/UV7Q1pmmMQ/etx6ZafFN3sUJmdgBFNSk0pBp3cuSgsudL4GRLt2SbtnECIGwLsLA20uzMfWRc0HBPIEB/p4XcXndxtJ8QuVTlDlMCXlT2l54ALWD0yJDkPJ2/kb9YzhXXbVPmJIoP3TJLiWKe1DPEf0eHK701d/xfPkwNrt8rgMFp1sFsZdjRI+f0borowm84lyx/LXozPFSCRKYqzoqrX7ndADp17mQBJ+uZA7JFis4Bnf9pzUOjaB4ImY6SqGxbZBSaHBE/HESiGEa95497HjjBtHE0wnE8yOrnNUDuMEES1BiXLiNItexXIzZhVm2lOWOdha5HQXziX/jl773g1lS51dk9I1MPd09eCerBpYUnbBrGO5ZphCdTmxi6m92dpstbFzR49BqnJkJs7kqBxCpplQOP7FgXGhI4dSLYVdIcfrhGq2tjVpXX03AB5Nh+P5iEJXHLbaKfFndCxOSLdbaZVVxUIWKisJQ1XLQz0jPkr2dQGLbiCJpXhP1hLqFKl1UpPhx5tw5JR8JqGgYyDxPAKv41B+Rx0OPu5/Ob70nT4xMvSjQ6XzPzIMWJB/GciRCSqOROWDqXpAu4CzUTk8ItIJXrmLK+0zPjVDyPvq8NOxRpffA6PlLgJLm2Aq9RCa6uz89PDLAaLXE4SaI/J06imXKqpkjsXcIWIYDXNpCzjJTdj3s9tA6lBTGYbaMckHOJI5WW47gm8foFSYzFKKruGZhrzLDeGcoLdJkzCqXWFYrmA7MOSk6C//JZS0qUaMekZfoqEZpF911gvhBjmiBZ95hCEl7hEM4lGDve0q0ydzNk9mWKpCr5QupgSzinqG9P1x421ss7tsg8PQSCtGGdFcvZAQrX2T5P1BF5q7rbVDwJFgpjyTGtgMS7eSZEBrOUJzIVBUioOzIYv5aVrk7Fg9yiacjxJQVbVgacEVuB0Rjw8donA39iOam/x5dkHxMahvapuEAfdWSegxpT10UyqNtXBQxbNVP82BkJXBusUghfE6FyNDIwWQZ5nrqa9lmlFHVubsHEDrF2Js2OImgsjE8wiFGETvjv2FxqgygoWDO3LbxpLXQRWyrBoQupjUoc2AlDVsFqWTBSmlUV9Q9w2PgRjKCxNfGJ39PHwG5vLYpbwHAeaFXRpu3a9J93GYzHAyH3taYO/nuAxHGk+lKOG8D7zdU6fDrK6tgCKjsy3gtGhHkcaCjRdBL5JuoGHKb1ACuKSJr6819DjYYkSMpaTzDXOKu7chPcR5cbY3DbiytIYq2JtBcXen8+SOIgaBCyhpMqopxz4nuHi5fGNbYDY6VyZy8UjhbODceYSEK8Vc7IDAlStKzukde0637Me2bZy5XXl6VwWzJT8VlCeUmXdRAEwfAVvWBudnrG823lvXjPjeyI7lC323T7tKh8AWufNcq2j6PJf3rWN14IioqSCOkoZmTPJ8tt92i3P0th34QOFe7Twk2YWqFA54pL2pRhrjISO3AClIQUO5I3en2ofPANjfWvporqrpM6XuFb1b7mZ1BSnxpdS1gljbE+MS/TpimJK7RtXKPD3igdLVIGkz5cWsF840YlZ7+MQjW0ktc8uhW3CHASS3m1gp8Xg+FFno54nuK4/+/u7BSQ+ziDKc2dhwtG+nf1phoZaukL6upvXpuvAPTRMI6FAuFcot0ke8YfVlkpM8P58Rs8GIR+3yROb3xDsePhAGwqKDHIk7n40QjAIGgj2hmeiR4Vba0n3C0smLiCMndZPGYjak+KKX5bq2u5L5bM0CWJH5dBx9DYsL9yz3xNbqokR2GfunDh0BoR1B1OlZGjpnwVX6REvvF0iM63ie0ON3tXTzq8fm64ERU+AZgvFiPAjEt+I4IWy9j+Nx0pcSV8izEeeDIM+dt+/SkgqjN8Zw7I+NxC1sA658WxjqrjCFONcyah4Ad5MjEO+RmfB1uoH2xY9f8CL57YzQrkWQIWcvyHPQZEZ3qKKN6lTvUEpKd0UN4bAYlzeToQnpC+T+0JKmbN+ZhVtn3czSgN1eug7rery3KzcAVnDsqq9UNHcGRxPqDU31EWQ/bMGfMIbsm5wxn6HywnufEbMtbMnys1Nf8VxLWI8lvsbQdShjIhRElIRkdTIEMU0IkR90i1wyY/5np4893LEVEz1gD7Tjjf6fJNnif3a2N0Dq1KwXiEr55Xx0JkfmUJrH2vhsf2GvgXuisUNmGmJplqB+YPWD7jjmlKmTbyeY41YUNZcPJlaZuM5zjD1o3ZvYa2Ysu6PpKAJjhqwBbHU/n9lAvPh6jAknQlgUAe1b4xoTErDc1drAfHpEBoqSyndUI+otdYsJxayrKO8hWvI8DK7SQBt9jiZcDbUZF2R8BHnEh4xNfoUnElFUk5gN9w3PUM4xvTRLGNIAW7T8Vkv+3+ltbPUNuZz72i31J1n6ZcttQlW84jvO/+BelFZfQOkRmvSBFaUSccuyGC0hTJvAQuBNF/EkZFPhngrJknh6Y6a1aQrSTEUWelh1QAeHp1+xTHXf2vLlw7Z86JYgpHc7VnG3UBPdypLHdlXC2FLAD8Q+ATEufz2pjOtnrBUDcF4ipSv4DYO9me/FwSJNfJeDlHBxutHWmaOxqjYJGyWAJMD/Z+4vxv/Ed8oeSBkvGiN4/MBv3MMtxWIVDKcxbJCcInVbs0jSkspcfXUZPKjISbkqj1Np2zSX9mYeR3KDBAZw50e0GBfpMY3vPcd62FPpV/FksV8F3nTx49HZ2eBQq+G6PLQYDmOK5uNhwDoIRQa69EWrveMGPhdGotugo/PsKrwNMMuEqsYFNeU5mmOnKjtO5qBq5yxgvhGVnevcP1JpZUW02BbJPrsZFdaRKOEV7R+m5Twf7B/+is0uhOIE/yZVKlPGJsEOg5pr5WBhF2U5GhwuGmMYAy+Q5GLThFXyPEJFLnApdqU21iT3RVGAJVQ3Mfs2EIh+HDYYQseajIy2LydJWJrJYGEQ5B7d4B4WH0wfGBpNVx814tynRBBBTEVW1+vIJm+esETMpiYl0ddQ0EZqNZ0sEEvlrMonpGqU0bqAnKUphy90os8xDJjPuOfMGevDU+XA0cF6oJfKeDk7zilYIA4jWTNtSrnN1q9bOu2ZyRdqW7UxotPIMGuWwCX58scQ7NafojSCfzgY60mWFy9SvmgZ7R2Cs+CWBQTPhy/gaxFaH0gkgliULYZzzq1M6aoUPegimLhz0EK8ZjrS60XdDMCgZRXGeQCXS+crva65zkRceZruLEAXHIAGDhCmj/Idw868FMZ19yxZV5XEONDmzq5yILVIg2HYcmAez6TMfasjzSETyau/SpPEEhOBUmupv/0Tby94OnKjHmLeXGrUMf21Do6x5ZePBnCpodSWiQQwP9geK2thMe0VgKcmSzGn3Mdjv7kRY6bk8izFRZcEZOwHUl9dqrg/MXsKAGNnwQOku7VSULZQUAK95JgySXmIThNOnUgQk2qx4RWoxaSixDBBri/Oa2WgriZTaTHRt7u5YqJvtzJbvlOV9ohDMCjUesXN7uCkDsSl9imT6ypIfB0OoIyPejWyx8/Uq4MDA+vuFjsODi8yuRnGJYiwf2UZpQX2iL9DSVuY34awKSu7iLKHO+0xnnt3DJ4Wjv7sSfe8BVw1/J5vL+NfqUfOc//YpbVWYKUHuomlMEimwQ9fuh9p3jweQUJbjwZgxYoCu1fctZTPaXs82AQTY58voocwlXCAHFaUQ0vzTA1LCsYXMDI8w/nWAY30EC/fDUaTaFo33YCcdZccOh0tgv0lnspcsxAeH5MF1AEZRMDRpTFDWxI8HwugQ54qqgJZkGRcnSGH0c4SDKbuzsJGxO+qNmJVDuePkuK8CySLqDvrdTycp2gPXXFBnq+orNPdcVQc/1q1KuZFuNA2k5yUgVR3LZrDwOii3VwfTqoelrxe3xQD+tKGHrEXpBgNocOx5so39Se+lJn4Jl+Zq1cj9MRQ6QxLXrNDUqs2a90et8pKd+0xVXUYERcdz1v14RS0EMKcsVFMjrvmmOBUgDadi4Qv+bH6SW7RCp8daKrTiIi3nYx26muEGxPFB6xANH2WDlSVyPjBtqFGmaT3ocVujNwpP8lbL2j9TRLADkT3RJ/pjlb38E4T3E1I1fcscCRQtbzTD87oCVROBg2EVwjyr6PLioWh+ccVUQ5pYBSTOSj5FArFIHdGg2HlXPdnKdVMKlsQgchZCTWzopG4tn52lnaHgJ9WVCZ2KsHjqlqzXLI/kIwJNtOwu+Z8OKT8TapyCbgTPQZbQq2J1Z9kuzND5+cxHeNIEaCypz2V3HOKlEA8BX1lgaKpfTslQTDgG17HrccmaTi+CyUtzuQD8QM5gwRFGeX0yGps1TWyH7c6tzOntmvzRJzihKIxWsl/ivomYzCjNpsQBhIM49PlJYcqscucLuCmYDst0jL2ZNoQ1rRMBEnCrhFLFEw4sJ8nTkhkpG8DXQEDsA6Z6GxFKXyFBOm0lOHRLcdCdyjiHjZUNrFcZffYVeY4tkVk8H1VZFzcG1srdk7pPllR19oqw83jknaLY4EKj8AB10g0UD4HocvQlrD73M8ZJIQvCzripP5W0pnllE3EtzaPM0BsGgRSkNy/dGCTX7fBRxsogfBcPny7Z8eIbD6faRxRR4B5pQUgdJX9Mzd7OZ7MfUgNI2QXBu6/fMTLBO7PDvC7WRJ3qHn2cg6T3KlWdp44O3ZloPStMoi5Asudh9cgaW5fxY1RVvkD0sPtK+pUPlE/UYp5kitRH7GcY4kWP+jl907zCSod0v3qWUBFI/EqpSWXofua5ibpZ41JGKRzLnWfBRg2HRcwiZ5D124FXZf0oXfpbBt9aTpfvqCRK0bsve5sXF4Krqvd6JigGqwhF70ZfEXTIMT7PZTafecXUxvu/f77755TIe4sqK2A0I1epdG3AIHhccnVJE5LZVPJ/jdCgcoktZf6vuhe6IqBtOJY53zapuvexdk5bL6PR4PjQ0+KwjjHhmNgFsTL43puR5/6+RMLZN2qHZuz8z4k85x7gjmVek4r+GKzWxlWvm0qDXtZomHnOczWq2C2j9K2vUalbrpRTj7WSJesw2wlu5pes6v2p4RtTWEqXV0nqNO6xo7/FP8IPBBuYpsqI5o2pSoO+0JIjwvKk8k/zHpVUJwsFqb6uZcJc04FccD0zpCe9uKdL7zC3mPOtVy/+85i03ppS49ssqzvvcneIyIhuSoIZXocIZWWECc318Z71ZIW1qa+8VvbLwSdmytvUiYMT7tTOk+iDTelNxRaW4L2K5j6QFpk1XBtmvhWhDkWL8cMvQMuSHKO2bUC8Aqsrht12WZYTjsu2W77UpVsVi/Xzt6MWrzqMPRpVaN5XTphtBiKBiw2vqeeYfVc+Ty3iNnPlYDzxZRiQmi98hSt93a61DuQMrRpABEnodefHmQK9wh5FsLddAqbJE1KiMT8TTFI8eF7lKGjyZuj2IK879afpfNsVnCWNLZH6nHX96bbM/6tOGmx073kq+tu97YLvUvmicnC4J702CSMQpYcMHSXR3MLEV9PEivskpgqq40/wB1Km9DOm+bdBKmu4WQzOsL2uIQOLN0cM6DNuPbu36pYowHBP8JQL35Cu1QLK8xHqIi5vUCJCqQ5OCa6xKP5MNS4OOKKwKJjyS3b1V3WqdnUHGSoG3vlItcQ1SfJhgmoac6u+nJ+nMv+PTBNcmm+97cRao1U3FxEN+BLNobpHZdFkhhYraE9+T75DThWKeqh0TuDrqXJsDkHrkqb8JKNLK2T0oMpQ5isQNnXBnJDd1Ine139HWWLh1d4cP505EhK44LAEpdGPI3n0oxvpJu5l0Sw1WieaJ8cMpu/mNGDAUJEByUM72sHrfR7GEZD/Qe1dEjvDsLxuFbXKWSby1LINp/DwdsVHIwRh5/dnnovZ9knoRWWoyrQLU5Ki9MChHWdqcmD4qPMJH2iikwIMrnOw4G6+BrNnPiO+8TFju18kz4kVSsPZ/BzCZyBHfpeUWE3xX81a9Mvu2bDqxdmiI40mSKWji7MDOeFehdf8o26NrlOGnkE71loQuKZyRVHgqVuThbcutJyp8qKf04X+MtXbgAPprVu0G6Bw4EpsLe3ObwouQPTvblzgQ4XinQx7TU1AHKYSl+XR930XdWoZTx3DZdEQziZODcvLW0qj5rrdO0jqqRb/NZLu8W/6tZ//R7xzcoO8aV94c+Cm9X7wrcbHdceeeXm8FulzeG3nmwOf+84NRf6wy/4UF+wYMU+7I6wtq3Yc43fpZW7O0JMpEuCcb2sQbx73Uo94u9dt+jy4S12g3duXHt/Vbkm3SbwyJqo1TbZ5nqrdsdOC3AO9tg27tgX+sPj9+hnq5ve4uIjekzN76YwX1CH5Gtyk0jLaTEezZnhtL4ub3kdUp2Fm0tk2sZLsADsfGd83+DnwyjhdMbvDwcXB9LH2V6H4yxct4+XEWo8NdeWoD6REjP9Et0hO75Cddh0OrIiwnYQzuFk4ItBbUtGnDPaIEdg2oCN1eC0DZvQXGInmv72z7IB21X+2RW6cIOCovtwP23vv7z7dokt4ozDZmmiQSdRQ0z65FbchQbcGvCKHTkG9qrucJwk3+ZbIVPoX3fUJlCp3OUcL6Oq0raUZbBOlKusyZVh31LLDJ0NBR/J87yQtpdrQ3A6wmpiW4uqWxARKA213irp5WAqndy94RIPCdcsJ1qOXItraxzmzOr57iJO024aEXdYcJpAcG8Eqi3WxNyiWKVBnxP/IlXY6XZ1w1zcfntJozf4YTEIud2qCkK2q5zJKzXINlv9jXpkk9uKW8+al6Y2OdjtjxfehVO3d25qUAI1sFnX5KIhW3Ii3uu1rmaEK/S1eTmzSWDXInnRxvLasmIvalubLRPR+XNSzS6zoiJlP48twh5j3+l5HTojXQhuw0NWC273upV81a+2UXQfVLGvnGKHZf62dfknMyU3kuBPzkY36z3Q6HdX8QMDEYsj3DrdBOCKzBNBQMPgNJ9SJmPSSw18ktWY7Ja3pZUFI7FTYiEabizI3hvMUOPEipLGz8V6J8023ESY2kU1zJ4wm0SrGrqLS+DqIxasbBTmN1N7OQJyflk14YsvZm/A5eX+wSddxAMn7SG9xryEC/CpzJqfyTs+lTxWVn5XWwrjkpA+eraajWHNSnZFe9Vd0a7cFZur74pii+rX2gsF9E0HbVPnFlERxH3BncL8yf1yBefANg7jKMNTjcGe7l4dKO0BYJ1gsRD559LhCHzDyDYfKx27dcA0WE82I/dJEri1YXuiXBi1So/MIOY/6WsyAwJRTPqqxMYvZui7lHTOo+P1zaSt1Tlosb/0G8hT27w570dkvJ0jRuhidz0CEDp+s7bNcYTbH7mjMbUaxmqqcFlz5nvXiSptgUt6Mtt9rZ+nakt6NbOBW1+lWTOtMU9Z3vUm84wyXy1OjZsM61EbnZHxVXI1VqQon3eUs042qzl4lKAiPb/Y4jkPRsIDl0v5Sc+yu1bxijeLm5ak0W4uxroUtPepAuoz7e1ey/bXxVB+GZCR/6JOgdQKibymVoS6ItM4FOwY8IZOv+9LO6VULZpJ2raQdAxDqxozY6Ch0RFuk4lnyKhqIJ5IO4QLRNlmSOQzCy4l1dwW9jPneqhs7nh/u9DcEXdTPd8X6nkksc3EgPLfXb1/yDe9e07jQKf/HdUCOAac6aq1rszeecEuMNi6FsKmpPfMeqxf4mc4Rp98O4eci029n0K2JmwZagsmDG/rCMkSxo7CEkCmvNzJLMPeglwOha/r5EAe9WN10gOy5JcL3QfQaVhXaGoGG0yQeWODOcwQhFiVnJsIXpGbShrrWmTdItHoBBZrotdarus+g2xMKkOiAhyOToKnXKXj46OT06ML28RRxiGmHkPbuj3fXozxbXrv0k5WXjT2yptn5iGytnaWxVB3StTkSqdEp/WCDVMOJ/502GXt7VKAiJe46cfB4eAXX2kwTMRdNKhL7MYoKcI2xbxNyXQPmwZGTaOgTQ2fco/MbA7bjdHPCVUYNx8De6ITCk1ZU649RrWBsIPkRQ0nod4przYDhWvQcpJUHMna5yiQ4EUZNwpfaQGipOwAHSgnp5d/u/hydnZ6fonmXXgbEYq+0+JcWLGzfHMJxvvzaMbYcXt6cPrNMPjpdayioS7sP5RyBD0MY2qiNUQRSu+nwfnRx6ODfUT6xQkpO6GPp+fq8hNs0YPTLyeX5796XEJAgi4gseW2FNDAc241u3j12su8eu2SDWRRa7YrTc5O+wV7STIONT699i7Bv4xS16R66tfYWyVamLy8BLreeMRc8DBPu9bceCLll3AWGWXCGDwtWJR4PMcbWfvm+TjNFIrIuU4xvDiMNKyEKe8qlM9rS0S8gZ9l8dGDEo0rasmvQngpGcLURGcR1MYklS7BtsnVuVt7mu82HpolFC4lsEOmBeLkKFNKDA1zharxiyixpg7WqQovlhSivUmNWXH2HrldIpEZjkzmdpvFstAlFUtzF/rTrebOl4Q9XcTFvgtfjFffjQSxBehzhodTG5kzxqsLzhZrzSgMvUCSPCn8kuKzsjHkK9JkEjyptdhmu7RGa3tpjRaBAqCJjhlsb1l5la9Z4iJdWyqbaNRL/EG3tLmKY+oyVlIopZ1CxjvCFYpUSLObK9dJwmE0Y7etRjCwaG+9XvkJbh7LlTm6BYV2QVKzBINjojvvmPygQuGWO51i6dZlyfN0mlfEwJhs3kqTLHMWNPAGX4cNkWXZ6SLAJFKTJDXArE+jvehMqkZUcsjD2ocgz/V67DcuKSeEn1b0LffeVbFqp4JV37i2i0oAuGePTQHLV/Wwssi5Ydck+rkNCa06chIfmeSLn4SUriJnrCA4Rqn1GZe9RHzGWCpmI3UlGiVdax/AspPyThdWEttxPXQIgCWJhtlnSvhYV5p0K5boQrcbfSRzTNe651rAF7ulgRVoUBQEUyELbuqvU1q2ZJ3Z9gPLe+KUCYSSF+1jVnMjnKLI56ATLbZpKsstPQMJM8EqN7gKpYA+q2vVuJMFtvWpeR9gnNMwQec6fD1z+u7UPGrxIime5ChIQzDmU8p7l1qZkpamRYHBv//27vfff9dtTZ+uVONs5FJC4Pz+/I/vF+hBZ9754HIAlsx98IjpXrKiExIBuVo9im19x2LuvSnCkyHAi4EA6K+yydDAf3zTn9x2u8vm+SecJXkndTlbfbF6g5eN7a/y8wCmiRm0nK9uz4aOReJ3gyFPjEeiOzSqn29DUX7MGMDyDMfXCOP2NXVc13+fj25Ma0wtWKOURerGc3Zor2KHHmhkNMoLqA1I15XToWnCifU3TLo1sk4nabtjgGPp84/Hnd4m0f3y04dWq+VUjKQIpalhb8rYdUhdWMLkhDAL5Q3uC5Y8X7cSNvFUG68RB5RZal+4BA0qUlMaGHzPXSRQmOT6C52XV+9GCgGWDNcvZmn7Mvg90wVZ5rVs4Au7QljgyV1hyfm9PH5hh2xwozhpfxqkDrc/i3H7FYxLsPiLrefesvpAXuc5+LE20V8vdcU96560mxXkyCX81TjItG/axnF/MlDfDB8iqNINd22Mp6+Q4rdkY4slYTtBPHdkOk5im1nK4WIz30yDVff8dOIKOieuXvo6VbvgfUGpGvXFt4cTNQrS2zA1oJx8sGsfvykSXKwFwG1/r2EP2vkzguBvOsVzw8T9KdJT4zlKTzk7jQIpfMEUXkIL30EbXocAaTCNMjJcdzmXwEHtUfokh9Pyu6Z8hmPv/XfR5EalyfD7B4y/IXQJHqjvPVkYnpH3/adfzwbnx0cnP9bg17onuYU6s1BbdMiRvsm0NA4Gk43J1o0EhhuoZ+Pb0bihASkw9hl0ngtnrG4RPoTDeTESBqc58isCUpHhSOCkJhvTR7zWQPeWpIOL6uZY/zem47Nk3VaVpYOgf0OBkSYSNMWDUX+LbAh6g5VjQtdcNo2oNQjvitbIuT4iPNdl5uTHKGmcxI3UnsazlgQVHjmtLCNJnvMfy16N/dHku58DTGuGkym4ietOuzjH2P4z2c8TzhXjJDLQ2UahSRwLQFcYmlScH+EUdXvYEgzjWGrwZWC8IiaRwqT68M+jpQMvJPsw4ZnM3+F+e7+MqHviRbSv+sLZOo5ysOxtSwlbetOb0ZZnRtRtKh7HHv9pE0cWyVs7HByDueHatc2e6a7znL0sIIuJs8FAWI5HShRx1ipHa+7r7RV0GAlVuC1n3yQQbgU+1cmQxG/ktFEKjc0p4dKzeqbVicv71rJA171j+agub1tb3kbaY9DCgI4WdEPJF4xN5z5H8kdTdHnVNeYGxmxmSQzbYGh6FdmUCm7hUR5Hp4jjbDaOOKspYkQ85gfn9HTD0CTtuSK402/JsRqhCXAdJGqCfn3j2IaNnvdfC1iijlTTDOCohS0UhjZFI8Ai9EiiaYYrKLAoDZXzwrM8WhKwt9nc73SV5I5eBE50RZAHBMUvkDRiOAlCmx5rv9wR+hb8sMqyMkwH1d+Vr2wFBbRbmwDIC8UaukCT3uMOvmrQTqYCsjLFoTjFiErRXG5B70TmWmT9VmPocph00+0Z2Du3QzM5inLeMU7rBBLk/EccTu3oRwh5qKnyHgyxs7Nje6IZqGjse2I94NvdZUHcjniCt7vaJVzSjKTXt2FdJ8LbrXT87lSIzYF1rDntSY2jbWmU4iWGjOPM0wp9idfnMaSeOEYzNb5AvnFFRxGRkvBodE6xxWVljAadKMF+SMFTvcJWGlPTbBALYrH9yM08SjlZjpEadKATg0+5SMdTE5IEHB4Mp0jrEVEkBhvKjon76eHLHlfwRkpaAXWj1aRa6uN2V+CpoeZHJ57x3Oj2iutic37R87mujV5SUb393xKStXC7FAKQ6NQ9llga1EpdJDKfEWxGElLX9aHITjgVwsC46ymvXp8JnMSosec0sJSuzMCohnQ+ZczT6znnyZMARmxpDszTEOWJ8hZpoMC1KoK4HGX5M+jJuKnxwEydttiUpjpPqP6bT7eGg14qJeD5oS7lQJTEwTgNyx4kJYML09bDl4jZnmZ3lLJO2HBhGdbhwZ3S+O7Ok/FdJ+L4ttiaX4BoBSxfhtsqgfm0MV/tVHGGqYETIu7GjY2474B1Zly+GxobfGd5Ahajr7ix1v00jW6kWw7BUeuGHZhgbHyvtlgPK6bir077ENY1g/lIYLk1trwnkAmY2ZJ74+dgiqNwX4YPccbx5WJwnn8/m5X4YkpiJJWY3B3LSEDAV8tgkXurwiL3noZF3imN1e78kbFaN3bquq4JS7+JNLZNf3iN8FyQjuwdG1IooHNqfrHlmu6L6LF+4ZnmNTOprI+mdxEtCR7cpHa7MV390rX3e7eC8BKBxbHmYOrxjzdD63RCnfrFYOhNgmn8dwloYo4ZD6QY1xyjTfj5y/Hl0cWno7ON49OD/WOvviTaSUsge8xjWz9dEuPkThlS8R+YsD3uma/hIxgCsKskH8gUUA5jqhVE7564fp2Flj22tVzMyIyd3lH6rXxaZI8E7ITo7WO7abfcTUuFgF9+Pf3h6OTwaN+Tml167lYLe2Q+LqejDprq8g2am8X+5F2xAuynr77wBhqNtKmcGheOpD6lKwGBijjZqhQnvSpxgv1UdMwSwSSTeEx4m+hFfsNYpfuq/cPPRyfwL4npprocnOyfEAAt/8BMSsooKycgiRR1keErCzieDgReeSQTX/s9PVqzlzwHzDb6jf/0c/uimd8VPDJ9A/3l8xBpeDmMFHSJNfik5CpJO/fcnlpbcvUr1liSOZmCjv9DL61O4n2tMLSETXmzcuYtlkR9nyXz0FhkcpSAeqJL0VOn5Y2L/YS3YPyen8qgIJLlmoA8FLRaTgV74s2+u1ktfC86cugHHgbolQvvirK1l2azYmmO6EyjQf0RsVfndcXYqzjLc1fozSJxC5bmiPsyiUfBmKi6p35xuyjpOvO1CbZVQbClcCxfzLk8YDGOkk0D/mqQjrcN034xJ/QknsZU0zfy9Rn46+kXqWEXZyaqp+GogaDx0qfIGbhGGdFFeAjG1QDOZK0WHc4ewc1j09+6</t>
        </is>
      </c>
    </row>
    <row r="3">
      <c r="A3" t="inlineStr">
        <is>
          <t>AWiRVyH7+jmElcDGIItO+lGEqRx4/OFS7+rRsYDDC0Wht1WzRQRZuhK9dWMCOIqTm8Z9NAo9ZwSCQInwouLy4btqjOVY9wpgVgR2mpOZyKKWvjlirkC+Bdo5twntPN7/Xi5ga86a3QIZNA38hZn4LkoHWNkIO4OQq+tuiO3KA1yvpXqvPkV4noDeJ+ZTAhSpQEF9GViAt29fRKrdd1pNfc8+qTCiRC0t4KzCyaTVXMj9eqUOkPI88Q4pbyCZwjgWJKnT23kmOZzIFnrSWJZt1LlCT3pZNi6YJr7ltBqtK/Y7OhEX24PaBwoDGDflM0fti3QcIPRoKNgigsRByK/U6KnQ802/XtbKZZwjnYKNTvtg+sjOImwveEtKhtEW+52N5zDZznOYLLcT3oa55MDx8psOqWxW2ECMYtSnQVEf70Cj36DbnmLM6mocTL8yfiec5XWPOlNLCN3CZQlosMl3CaY2KeWcGEWwKPAC8quZonnGJbQ1QLtmGPgrMN8Uo4OXNnr1GM8VRi/IABAvBT5t6snDNoxP0C20F/WbhSrW1mJ+tOMgZ15cUJwkrk2Y+NQrTYc1OFEyF14nb2BD6dC3IXVZlVF5tAxfQ6pD6ryNJ8DRT0J7FK3XZrw+ucwsaMrXSh66fMk4jWgUEngP+t0lcZE81FQOaWBuQCmc39xgn3ESC4jCTKpoRZpg/ak0DGOmprJVGGbhDtmEbBnxjTlZjeLVRLSwwuY/ZdxmQd2B9zHy5vhxQ106ySUczpO/6Oi1kobbD8sRLyn5Uv+IDmIUHzIshIS+isaII2fJUn+OUClx4j8hVOjU5jBfldW5klARlOiFQ4tXFy1NbT76ouvUsFlmLIlAgjFdVIassrzCc3IH0h4jIkrRycJz85kWmc7c2ZVmFlTJOx1RHSsHRh0m8VLDRzXzvuctVftZS0XY7ii1sWe2qpHbBMeEoCWvoW2Ur52g9HKccmpwZ5FA5Dggj0BwRdcsWzf9jJyqsNiEmzRJmJCeYyNhOPuIjxJz0nt7S1+4sKDjiOP4KBwoLyaUlzgrufb6dZ6zfo5+Kp1DCuHe1zvHC+tUMHk8qhXnhTOZ34bhZTexOtOuk3ve0NHXfR/ltHEgT3NYwkUOEX3UN27IdDHF2jVXlnok5bnGQDAWAVnFYhr9Ckc97Fsvc+Mdj6iP0kkum7aByWPA1hQp4idueGbijl7qUNNyb44sqkbcJE8uiVT0V0Us67erXIvt7ioBMoJmJhyQJLwT3Oi34TWLBJ1H927qsASNYBECOw9Nq0GwTXBr2RP38Et2NAnwODaitCBM/db60NcYYWY/1Sqo153+s2RFlUfYmOEnOTP8ZBXM63XX7knTf5kr1cHCtkFjE3wx7tpKgOv8G6W5kXEVLnflFl+6poXf7ldG/IZ07uVMT9Ov4WU5D0tapHOUldqb2EM310FP0h1JTSHQeG2ZsuFtbFNtXi+P7eiwHqe03hunrMcT5p9HGI/w6g7iqaQocB4NtfawOLo5o17SDFHgy6tkLASX7QSCsS2Ifh8+H3km5NRKzrfqL0vi6pfITydPq18pSp/hJmZYhRpnChb74E5H9TdJeZW8RPGwHVgIZ3ayushODAM+diqscWHp/KXCMA61MMIiyj4TiFkKqlHT+th0ZNCjE4uTtMExzQD29xhvDbVq5TzC7RWzzDTDC2TxCymO2iSaiQqoa419jW7Jd9Fb2azHikf02YIJdsOvH4V37OUM0DfpjlCyRudUrqErfXDreJcEiKBr0adhOCKUVMxoBa1fRzm36/nRj7QyGemOwrKj9FToMkaSkHxQ8haa3Oz+E2hWAz1urPP9nmdh5augru1pDmFg18o6O7L9xDCn86/ALVw7ZFgDe9WVYV2AZK5gFN9ddw1/oenNIWIgRyOYNmhmHiVyMqqQSX9oaHnVwyr+5e2FzWiom9pViG0qwWRv5FjU5mPrxXTUvc5W10ks1QIPhtRzjRZSYCUJDu/iNpbUo3bMpeJ06afLz8e++u2dA7v3XYSoeNH73979R/gQTGbjcGMYTzj5H1anXLLKTmL3gs8pW77kgLDTmcuSLO62dcM4WNzWPetuLBrpQTx75D/xSYdOVJematKQp4j4Bow8ThnxSkOREW4AJ4BL3gFhW9mtHaXp3DD7dm+ZUO+p/2M+lejMZWm620bm91tW/Pf0x3anaz728ofCZsmhUBUKe5MkyBLhXw4NU5rst+D69NhbQc5XnzfAfRKhDGPZzMB+T0HX8Ls0PlY+U56DXFVykp9gpa42RglPeCI5KRMjD3Qe9rbtHbu8h3gOomfhCHpibvo+03J8VCiKFH7NDc3J3My3orfKDZYoyv7x1YKOU87q3VXbmbVbZXmR7Oj778+LxGPkVfIiQdIhCLB2L+CB7qE+yGrNXRSoi78cw7cjQmhwcyQdPBo9Gvp3GbhOAafGtHzF+Cn7IRAoMgUdFIMCgn5KqYoUzl86KFxi3Hk3Tmr6jgivxWbDz1n9TsXq/8FtwvlcZhqs1SecgwBut/CnXsGFcfYdfvEhJt9xXfp2q+hL4+B+Ny4MMumgC11JX68AXU9wV2dpnQIRqElYUz1i3ZYo9k11GU4DdEVrhIO6vkKnee0jQZGp5fYpIUowDBjsDZM74UyKa6rgKU1Q4EzvGcxIB+UZxKgvNrgvqWw+qvrUkiHRDTPzAGO6oI3bzImlYvIMXn+G6P4vDpYKjWSYMoB1uaZXuStFdlDqPWFacWlyYsC+rb/z1aso4JX7+MqBvPIw90r0FdxTI9/YWmkaNE4g613UHy5nJOPMM/Py3AbIHC+RpzsPxaXWodVGjhC+JkOc2Heuuxj9isXYxxN8woWMIoryBnM4TkOmSI3zRVm91gc8+6fJ81J/s6oXfnHiZIeKgQamAjZQwmGnJoaKe1fLW9dXIVFI17ajQMt9rGsc7RavucG0esE5wHngSQMXJ5dOJI9272WlsBCM83wN/1QR2ls6cUnydN+0pyf7hPHKvQXsNEHkpPU9k5lVNZnFqKJMY5XA06peyH5puUv/X0Otw2xZTOwGOZnadIec3kS4PpILg8kZ6S3YrKB0AX0/z8dZhLYBGQgpAkbG8xmXTt3jtVGmyZ9KvaBVH7FzDL9Xp+3qgTyFluiCEubGbrb7HzL4i8Hl5dHJDxfqvdLT4CvgFEelNrgS48Ob6Nc0MGE688xZyc2ezbbNl1/DvFKN98zzra/NfJ0K5tMTYAW+RmQAcqAmD/+YtaDDdRiPx8Gs0HBsGtxFN8YdoXnzAtTsNZNqQyp25oG4DLCrTpObYAokYp/sAYNOp+obykCPhqgnHHHBFWer+OoYp4lXjOLhnMAeJJkRvgrGYZLJLTcJ3QJ/XTymGQJQUvQWczS+QVejEcFk4WhzEvNnROspwnwafGLD1rTi2Irb8DVqznPHicPExQrqu4Q9iLp9rq4udSlT+2+kBjFAt099jGCVySbGtRqO52R6u5uTNdDC3LwD/U2a47+MUcJT70Wdg/ulNUf9spoj8/pC4v5iqdELONobzjM4gMB4pGabqWFpnO8B/Yar8inGgMNjKg7riLpvwlprj8YyNEWegkEpzOEosnCByajaQ91ChToobtdzWKycJijd9YrFOromSoNkBpjoZjPNDr5cnn78CFY7NSURPEXSFxTGiSKlsHEu1ef49AxQYOocDWSyVFBl5dlvbGz89s4rgkKxpvpI5btLcJ/gLiq/Ht7Gi25ZU41NoFkGv6kEtUkDOsneHqRDt7KC+gOQ10jWAL1ksJVoCy3g3eHVTk88s+Hw4NiTwjzkEK6NcmMxV/Ho0WDZMIHDEaazBZkk3QbYqW0cXaEphjUiBGOhh5gi90VT96Ubz9l+vYrt94MzbFE8IpEj1YfLuto3y096ab6KDrigQevqqg/A4qQJOFQWhUCkn5Z6wK8ZilcW+Gj4zuJomulic9XUQqaJwSt4UhZajGZ8BDOWu750/NKj8KyJLSRzbgrdHj/AffXS182nX6eoT5T8zLgJY3LphQZSZVPaMqwrgfsVLGCNNZ26wdgRDksYemj59CYGGSwlvlUWQ7964XgLktDxbodkNtovuDezGTd+xQc1hdgYnR9pbdCaRvOEFVNWA0SA8e1EI9ZZx7qcUXNAYahPjBHYQ5a3fKAyvnWTK6rKJ84KxcWc+VA7sE70c3Ki47/oQX/SvbZ2Qws6m4pDqZ1gujqNJ9+ZcuoEs6Q4WpcZaVwgXeeeUHyeL2d6hg+zSAPt6EAbRlQl+XvfCccN41lkOihyKOGJgGiz35R4A+Gb66i4m7VJr4Z/MsQmpHisfMWwbiBF7gM5rDklA17HfTzRNx5i3yGJInolcBV7ugiNs7IkOX1P2WdpsLOywRdHTaAEOESy0hl4bh0u7LXLjOte+1/DuBaFHJedcBOwAZ2JkTimQiFQcRBPpwjI9C1HRh85xIpdjZrqYzgaPFA1LzY50k2GajPdLu5bjYS8XssOomengp5/cBRCdwgzs12ME5DH/gXBAZp2t2LaF/PJJEiwyJfiIeeEF0jVQdHMV1+mOoztNO+zgBk6q0e+qL8R450P9g9/VZenCkEJVBc2nuvYZX/iTzrcTnaIZKX0nNSILyfceWlwqDrqe8XxWYGS/9aZ6B7VzaTca/P+NhrzwfOXfZN8G9kO35Qjerx/+fH0/LPaP6C+TRfUuu34aHByab/qcdPnse5Vi9r70Ld5uOjnW3uNe1VrLI0AZPz/xgAUfkk51qti+/PDwpz67qbTUKj7OhyFD5Q1w0Jgq9fqb7bhf3vK2+pt3rf6HhZK3hvLC65EoQG//dzqw0WSnUKPkIUyDZtlxnAV6AN0RcfE7RCcAb5o0RdcuG/2otVbdemQ2Cp8sDnNIeEJ2nZzQPMJR5dNLUyiWXth+xUL+5FH9RQM7YvW744a1dM7drW8pzQu45ZRNViMJi1dE6V38/DTcX2xhHoAR2QSTyf0JW/Vofbv6K6wpguo+7uzMWnl8YCgVgc1dwPXcQfDL3/Zb3fPgSl+cm4hlddk45DhagejzpJ4NOcqB8MMJhetkH2GV7S1359LiYVfpFWYkArvR8cEVYCQIOmjzQXjEm8oI56R9vW9+kY3BjXN0qn16ross1nBMgcapRxf17yNMBychKQ7+2qGMBRcqzMOHkHFrr8Ra8F7caN84XYsiAVAcdGUHQqokplWxdg2RwcwpF+kyBNxS3PHgKnhSFilFMvZHwWGjSv/tUKqZ5b3U4j16WAEuJgR0frH71bFchySE+rxjch8gFDfoHP1ext9NXvgs7Gp4Gs4yDm2tLlJP/ka/0S35LSenPVV2O2KyQ8ozP46IBYlSWgHFz9peDstxu+i8F4KJtBjfUWBNNkQB4b1qM0mseY4vM6wFJ+tKO79pzGUEAGSNrxROgqnDG2ea1Qgptw5OK/xNb77cnlAvYlgFpPZ+41heqdqWLlIvjxCWJMExcIB6lTQ0jvO5skMK8Q5bUFcfLqK9WL/89nxwNFkco3kKYdTkoxplDAWyjiQPOXv2XP4YDKOdXKntGrdtCeBtgfWgira2nwOY+1UMBZCO+vjqoY6ayHpHSj3ZNL7C5gOtXVsmB3kTsvh8tNSwS5AUxROTaeTJ5i57pEZufEO08zYFxiABrtVUjC+EbImGo8JiYZ4fvjoi9dFcGyl7y4aGNIK9RuTi+nUTYO5ls4nMOQfw0fFdRUcSTU/XIQw3kxjyxsscpHKXioYoTYgOY5vgJElh3YTq/NIyLotAUxVuOCNYjk+ehr0Yk7niF7CqVmc1YmY1bmxLvtNhpv/2SqjewIlqYH2y1Mwc1mV5/Op6BWiq5j6MG4dFOQG7SPSGVOfR4J2ABNvpVL58ozjzQ31KRzP2KPP4ZXzBZ6AJzxSrT6KmmjIsss1oRDg4KedvmYsmOckkliZGb1552Y7X2gqKcub7yp27WJxd5lH4/nFfy84H9tUmJcr1EP7G+XsHvylg91tPEZ0mdc1anqsJuIQEdu0masO3MvV9HX66x6f7SoP0FJcI5HIvpGBbO5dkijKqeJycvjKHH5WZ6cT8E1SA/WJQfQEqRBz7n1huywOXtWMD6JpYPNBstRXnhWovfBSsO2+ze9cwf4h8+IqGJMWgE9W/7Pd397od+tCDj+XXmaq/Fi/N/bj2k6qdqdSXaQNqnUIOq3fpjRWxDq+AIwUT15sFolwe3gJ3nuMqR5IFLa+Z9Gi8V6JzXqfg68hRwW4usdLTYdgeaqna7EXK985d01QSyxCSPFJaxO+yk3mMiOcxhRTo3TImvdlil+O6DiLeNODBuTldk4mUuzFRa9LXqah2BiHRexgLbAIxgNOXncO+Nxe+1tlioVcMJrPwYPqtZzfYIWj6QzUYEEKMWVbde0OAb2GHSIOpA031MPYIpbXfIeJku/Zf+I0O0Gz/RssMvrtnfpt3mqFO54oDtwrYdFRyk53PRmeqtwiaEgGIiWOv24I5ilb19KVleE58azV8QBW2yQiMoWTlB/IijvzHrc/xN6GQTLFrIV1ea3SXceiShom17iEH5sO8QFTr8JhXJe5RDRKeqB1eO6q8pVotttNHmRDHCDowEZ1TbtHMYOSaqvgS/6GkpqLpV6OjwddpAaA3EI5r03rKg/auYhzwihpcGTibQSqKNvPoq5ESsTlKdVPwsrY6TZOsKmyxz/+ne0sfLr4r44OVa3d6rXau/LN0Yid12QM1TdQl8eFKNzT1LoyVeHCs0/357AtEKjXZIhd7J8cfjj9RdXu7++HUbgBli9WAtZdswXLr/cEcw+m4DrstKDH+LBQxBHrmLMpVFh74TdXX3jMMX/KGlxpxUtMQRHGIlowhzgtmoXiJtXm4aIalAOeo+dbG1EYYRKkX1ngOmbQrkK/+G/zTqvTcf8bodUjBsgoRhPSO3CeKMW/BINGxhxoseF0xOHcmNo1uAPQwGgCghLOxsGQMx+k+tspnHnSFtwjX4HYQMYzlxtaTK7o0FtmCD2HObZWZw4uPHgFkVDCIFLUYMzGeGpDEKwbU17jrpQras7AQ/gmnFJ600iuAYXAwYuJMLsrzcKAjkRs5uXgZxPwIgcyFoQRgQxiWzKzcNacl746IrxRJaTRB/mDGD0c9T8rGjDj2FyFaJjG09CULG/16+WB9yW+of5z1nZ7hbW1YIzBkLuzBJlq93odNXt4OVhJyUrbxxNRYS92Qo2mhmAwGQ7gQbW3eluN9tZW30enI2bA0OVgY4wQ8IjdCm6BGswzZj0driUoVdlSW8tKlLdKTPetStO9yuHG3lK2RVWNWRL9TmlGdar1NyEqezhkv7Al3+134d+tnc4O/LOzDf9puWlKph0oyzkcGpxQOMwv8HE/M01qaCuOx04uAlNqexlZt0vIuv0kWTulOR6df6kcDycHA6thnig81SeYrj3FclPWXw0ClWD8MrTgGM6A46OfBk0K5k0IXRJEDrraBTJzBKdJ/LhmwkenNOGj80cmfCzWgwqN0qbJa+GcD0xRfciVgjp4nOvOvlsxe+2DcctCD7k1o3hcPgaTCBFXPtNvg6mAF78pGvbF2cXfDo/OBweXxB0OZvLHweHgF/4y1EO5uNz/DDccnH4u/GDDxOYr9LTTN/aRqNq69y0rKb0mQpA/iPzydHHTnNqk4KZrL1SvYqGQ/LqZXY2G26SJ1F8F87JkERBsAdsLSNFbLvc6vKY2iyG1NqMeikhSYGMaGDc0ZU7hb9BcwMX4s1PJhIo+gZQwnBnZ0gK+kVCLW3u/gbTrO4k89GB4Jb1a91BFlzctKOg7+MOfXfzZXFlAPDYNXB1kF8R+mMyyF2y4fsU6DrQZf8iM8zZWpjwczy/Op2EC5TMhQTjr63hbadmsl0no1tQG4hJtzTezKoCUmr3BcVFnW9NGLAAzLhQHyO26FNTgJqeB1LBpB0Et10GVXh5k5iyCRZ8xyAd2eqHuX5hXih2+1Dj6yrqViBl8Eei47Gy8DcezVYsCet3Sc7z7r3GOX/xf9t6FPY0rWRf+K32cPQPscL9JiEmysYRtjXULICeZnf3oaUFLYoyAocGyJs98v/2rt6rW6gvNRUhOvOccz8SWmqZ7XWrVvd7SydP+zXmK8aRMs1RaWeV8Swe9/5GRBhEJEURmqYPlugIkeaY4ZwJlF8Zezzu9h4njL65zc/fal86aIfxoUxXLhxzfZJBkCP0RbIKgGWdO7++P3OF9sO9AYzN9ORvFnRL3eZvKG7bpd9AIDDXmglo2XfDcVPOFIquUW0CzLtj9iQNW7LoUlQ1L0TV7mbYkZMdQcC6URqI+bvf6JQoX1r3PURelxRtsSrMRvHrXlahuWgm4Kzi6rcRpZLEZ30ZB3NUbd4pQ1vS1tBOtSwaJu+xKPmv3gJTHQrlkF4q4dOvAKRYU6QsZjZCIdh15EsTI3YHL/Tq1OVX3cdyXz5RxpoS+5JdoNPOyu/M61zZSXCQRuRsZ9V9kEb7PGlKQspD1duVz1j3VbXc+HB+2u86bDqmXl11Z61TEN60rq1TJp7OEDZFcG9d+DsxW7Zqdumgdvm+9bZPcOXvfdUq1akoR1kvIViZ1STdIwBxQdKcPYVhXaV8sWtmz2WF9w44Y4cAnzWfPTixXP8Ogxmwiq7XvEzFljVbnf7Ht4Qzgwp5zfpbVAe0X9vk3Vv1rhTr90nRSLN0PW53OcbvjtC6OSYpUa0dO6+05t+fSHy1QMmuiwbapQWoloiZNlRgvzF5OBSoy6m5EzO+8KXubjskvZ4fw0McPLVnqCy5OTmBKy0Js67Vfj6se4hMoRsIAaGegH3xyhyPW4aLc53LMVeLcZDwWJj+TcADHfGeeGiFSOMeqS5BhZGaM/dTOBtASrJ/R3GmRe56ky+1v2oDIod8hPPccupeXMvzPWEj9DXJcc4d0+HzLG4/H89GBc9HqHb5zCksaR6HcyNraLTXr1z9LnMXBu4fclUBNi65GDenC2of84JxJVQkDj6FTvFSTAnePnghF8ITjDkPW5InE5cHyMtLe1XjhUhSemq+xEyEPm3ADPr3z8Wts2P0TEjuhsy9JIt8DF4D1YXs9aJS2Kqr0HDLgt5puSrFXpwKc+hAfkxE61zMXZXR6swJLyV3cnF64/AEJo6Izus46pXrt11fOybe3w9n8jn4t7tOvGvoPmq1akSw1HWorSvcl27toOaWtaXocWUXftoKDfkO0hGJqow37rMxosmQwAaJhsuBJbxCfa2Plzr8K37CGBBLS1GJi8bLbI5UgGMHcvRV8kfEgp76il2bDCTTAlvvV28755dkRr7X8ePXu/LR9ddSG5Ov8grEBTVjHnE4BCy1OA4CGIasQ7XTSbyPT0KyaTErRhww2U5Amuvww5gwmQbr37nVONZ5dj2Rpk3HditqiciTT2iCIk0JSX05PNFgocoak27ScBh6GhBsQmwiP5wCs0DYR0uGzRh40I6Uvo1R3hOwJTu40kMnIOpqQWh4zER1vPFB+KknBGsgQPOV06Iw0SglYzYlRjUbJ4Nk2Slvi2TZKG89XeaOzRHkoWXUH1gNhhH4UrG99ZbU8Z6fSgcjbmPPIQgpcF/1qCb7JoDDGt299jRIxf/BtQinySVEKzT9i2StZ6SphLpb5YhOpqIgLlA0YAu05vs8kqyaoYnCL0yQUZDe6FoCa0on2QbC3xYTNK27cvE1+A2TeG6mf9qdenwbpAVLgSfn3z9m64KUHGsiQXIuTwk+Fd7JWi/EwyKkfySdZJLWJSIPz6kEqgkK3AzykPwGo3hSJd9PZkDZj/ph1ZDRNk7ChmQ/oQ1AMMtmRFfV2qFkVhkVIyQWSZE6cHLKQf3Ikf6rlCE6ktCBjcGIRuqjZH3CKGryUGCI70DZnrjMZ8dAMil7OCeeyc6Ibz9ZAfGvKRpA7Z3BjmOWxecrcCqtVrpG24LjXE5oglrFc5N8NvraSojR0GAzvzer2J/fTBW4o5yv4QrpU/Lz/uYpM7EpjFd0m9LSma5votrod09mYC7Q1ZSbIirbki3baH467x+dnqQwK7wJRinizrLnkcTeFEjUQCNW2mK+R7nvZcwoxn2GhXNG0SDMPOIr4YTsGUCuJuXPJa7ZNisxz1s3AOWjCyTQ0xaWAhdzTtLANWy2UQjUAuYFBSACBvPOq1bdcNU6HDlW9vsDarTfWLXIb5ri22ZiQnJaGRML8JmHb7AHDmodiME+xtEsbXR3wcfStE0rl7e+xViFnRqhaC+lutADDcUTf5RDnE90aS5NKdG74W69mNTEGVf1KckkQwD51p/5SBok3y2nort25YN9ADr6BgtWnC+JbJPIqBEJzNHR9z0dyadbhZ9/TsyE2O5MFVy52FiOxwG9n7r3IqGvnjlVjTd9Xwd+Hk8KTiIuIbdp4/+OQHgev/4ehS8PmWATcFRh/CgM1I+m+vxTljX+9kIZ/4CcmTG5FPT2CR8qvH00mHxfTlLTONBVVO7GbamJMq/pHwJponS0DR9Jyc4iQ9+lFIlbVxIhVdKKav6zRGY5sHDNuoxfKjLRWYmpT0OYZVWXGslvRxMZJB8rWqvL/TNDpJnC76VkxPbW4ulYWGQNYM1n6Sk4THfwoCI1+nkb314TvccxBWrUEKUm702p1wxb2bMBR2IBxtXI+GGQ70k6kYCvgC3r8vlQokkaSjQ4kzVnOiEkTTb/Z28uVj1q/ZLKJw0sfd89zZSXKLOnJRf1o6KHg11pKMbzclBURAAy1QuLbkFlA3w8h/RlMXcHn4f41/nznfapt2CcYeUx52moETLHPWWI2s22O9B6asb2Veb9dHy5LXWsCvtHfn1x/bVJPgkF6n9mN4iv+sW87w2hyUT2UXCT5X9C7Ge0zB8wZTmvhUuT0P9xSBTwfyc6ZGBRM0E7INzmMS8aTFNpHCq/kzniLppn7INZWqj2byi1cGWs6QxlkQWlkXS3a3OpGNWM6o+HwMt/AtxEMGZIRCRx2YgfsKhJU6GCh9AkysyRyTr0FGqjzmrQY+KV+bDHawdvXxlb06Y5Ou9VzXneOe63jM9yxwoyraM+cRjXBnrM9j/DxJmqtb6JWnhvzMHHnrAc8OlEv9pMjxrfXKVtUTcsqJ6DppP75z3/yMjHCkApFARiygLZNqYQX7CD1H+16ePe2Wg7kQkvlC0r7UM649jTuuiikDvTRPomtXAYhtJWTk9mBrpFR97Imw+KBXns3Wfge3Ljjx6XLqUw24mb1xaUEdZHtwKb+K4UsvgXOf15WbTUxOLh6cTtsVa5XvHZdV2MSyzv0+Kb+8vr7n/9SeE28iM2JmN5BtnLa2snyxYw1lElt5UghibtCg3lKYZ//wQfg3DnlAYWSzVpO6WwD65nT/Xa2nhNbClRrXxfq4QmHyejETg10kYT9QwOxEgfd5og235x3fmp1jgqddu+yc6ZhM2KjOAU+cDpHtixwDJZv25L13dFo55Usb1jJP6TrkilytEFpjTrGwQ93nnVlw6wFMQ38WYfyxdDvDLr1CvA7EgwB9F1V83DD2HRswVxZycELxTfs6NFLBK+OrU6X0UI06JFGXKPgvD7vvYPyfX7a7vaOkXtyfNZrd85avePzs9ZJ5gsaUoy2jyH5m8fRDD4BliAvZ9rELwXRCQFliZF2Wx/anZ1XsbZhFYVFmMoKg8XRNUKuKzA9R0NUonM8BPX204+3vvzUn9zfT4g1DD29IN5y4iPAuRx4/RFHff4jQOo4m8y9L1OQUSprB6+jdyemBuNz1VReSAnF57qorcLs5HHaKoshiccJ5i1eIwHsi9Z7h6MHnO/2yXc4EkCHJp66HA30N/Y2BPob64vaaomKY3Qfz7wHFuUJCFKCiv/FMKQ4zH5gfYFidiKwUilngoyN4HK9iMtCV4OArvCRzUgp5fMN+iNXIzR2H6KxmwiNcSBCm2TQvx5jeSGKxZWIWbPDeECtKC2Ag3DXYXj0IdglMlVsBXuQVCBNGkLjlUjYafiSbYs7Zh/eLRi52kElpjhMENq0xpdypeAhesk8AliPo2sJuBsAebPcZNwVuZY1HsCq8QynCLal2tG1SDnFUo7+Xy6Wi/Z7ghYjk5U1NE/SoBtaLkrQ7fp7RONhSIYR+JZsR5O2daitps1QCz+2rjq1q+6Hw/wqg6tmDK6kqH0tMLjqG8/N3ibNwtoWz66qT7Kz2Ggxe8ViMRUNpGlORhBKa0ZPQg1EUZdIGtTbkokJScH+Fqv6FGmxv9VqHVnv2xeqC7LPN4mBMvNCgNwh1Ho78x69QQTCQwF8rr0+AMSEkt35MpSHk55h6RlWMbPzejW2XK8XKsvfHG+MkBpKp+TyMpGEtJPkAnj6Mozao1ChvlbpD2+cx8mCLFxAQ2jF/lBQlug5xBAewdb0zQEqfYR6sTDSkpBtMRXdAsCy624kJMPV/vhqeuYAhfA6msCvltFX9qu5Uq1eh4hxbeW9KaPXovkZ0hmLzgSV4KVyrYJbnlQ9v27t6om2bP3rsmWPVF1PjszpTZ8mffd6QfrAUD0pBQYL9gtjUo+0r9sCPq1cBGfSlzyZxZTTb7i9hIFXnYiVHGlPrE2Q1rUZ3YWE64mGcP33NoQFqyscheG352JLleOlCuCHsVo5XS0njfwQxNKaTqmuS/3c9sG8PpUN63MS3lVJLbNGjdSN8x0wRyZIwX6crkcNRJRnJ1ukHtgizsXRm8LfLsjqE5vk8Pz09PysfERjab1un1wdtXqtq/Ozk1+yuJP+Onubdej+4+Om2IHHb2KfZJ02Hsdxfv6Ar/Gnf7142xTI1IK4dZ5R8V1PtMJjfCF0bhwNZX3RxSwb067BHVWvuofv2keXJ+2jq4vjw/eXFxzUPjw/67UOe1ditvXO7V0ZMQOLpUKxUijWtQRHv1lw3p2fHF29Oe/os3ZetdqGVTuM85cvtnSl0NIdtS4KR0cXhfbPP5lF7LbPjtqdQqd9eHyBJhCF3rvjDi1lq9P7RZYquKONLO3YDVi9o6NLPHbnxapvWKxYP+EwSzc+HP/5bamSMLHQ4GWs9SbaDYrpHCUfoVEEHRgMogi7DLjUK/w1QWgdDFF/buJ5e3oVr0fhd7Isr20ty/cSZfneVyLLl/oJxoS5jX6ieQoYYxs1syx7TOekO/nmsidbgYO7njcwecZHXt8pV51vnb+6sLrBGeg+CxccTWsRk7NULO9mDuwlSu+9JOmNDox2BzJfSpbrBpt32lizqbfVlrxw8sod4a64KWDiBGWCbtAJt8MZHTsvUWXDEgmJSA7TgXnZ2hUKf2Onhj38Do4Nt23jL+kV6hf4qRJiujONQTlJaOcFqD5pAUDNbFlBoSKT9nriv+BqrM/BZBwFRZtZm4HJ/h0yIEOvDiVb+pPFjATdZ2ubfg7FTDElE7jXsNLIArfdLuSc5p+yvrUnrK+6vbs8QtscIOv8ZMaX1RaoWac3vPf+SeqxcTCu1RqftAkJgqe0Z/b/tHV22TopvL48ea8S2x0/Oq17bzbsu4Uz7+Hql8nsI2nZNZ3RJByRLjmMT8GZWPN/NhUlTPyj5eJBEf/Hq4NvWCeedB7V3EOtFkgLgywlC6mSyJ2Isw7XNm1Y/UkHgowu8XP7uml9s2kPwab1ddPmwaYNBmsd4M/dsbG43+nACrWnaZsKoc0rtC6OCz+ddgtHvcNMqCERbuN9LSB917RZKARgUYUQHk0mRJkWeVxHjqlGqHQwiO5so9EAj6sVi8av28hIny/5CjzPpM+cjx7vpws/FfYLo/z1G5RJkG4DZ2/IO1xiG089OSucuQ0jWZOqeBrGmasf84/VqF+3nkA1e0+iGrXO0/OZ699lvqw8iXvkgsc535z9YAgkF7QACm2qNIMdjUyrSGdhQZ8Rbc/ZztB4nAWc2tecsFUNInUkAYCm3dGod46nXKDLJOB2lm/7GzZGNT/JcRL+e8Stj8+4/mkL7hruRf3kQDetPrpDQEW0Al2YHutFAx6KlGJZEGjugLUU3ji8m9EU7unKEU3HpOmFA3+kS64P/Jkb1q1nY8v1tIwxPIVNbG/rpUxgeUjFEzSQWCsRBhLmmCpSh6OdQ8Jo6j2UdJrhm0quFMi0XCzXc6VSrrzHIbHQFMVdvLQX3FNX3msgvEOMbj9jSlXjj9I+Kn34VW3qVQrIUpidxhJY/XJuiMP7HuklA38Fn0uA1Wzsb9rfBKd18v4+hYU954TE2Jcekh+YNXU12Ye2fOFJXhCG9gADdjxxRpMxwpxhBpZfzaQQN4CesSJUYE5nob4zO9pPtIX3vw5bWBxnsIXb40FucpMjLhJ3bXfRixq82tbg6JfE6wr8AWC+cGCa9iEtLod7dzy8wdkqCAoB6ttvmElp09ruYeuMfaSZvNMi8XSPgyMJ3Xgk8tnxG6kqjhnBbMeg4n6iVbz/v9Uq3nkNKhvWQGkAu8ibcBAYI4e8KcLVTavKn0IG1MBbx+HjD35OC5yoohoeGcp66RW2mabkY5nKjIJWl9AP8fKSgpaOZJOkLD1O3KNkgkRn3BRPERmOE6BwIRERhg8Y0qE9FkDq2HnDqhs2LHhNOhxW3kC3L7EbT4I8DYYpADjB72JNiqQt5koV5fDIyzlw2ozHoZYjrh/Pt0Ausry+YXm9FAubJ03VaZDS1/QTW5eG0VBjmiz7BwIk7QBbYLJjTGk/0WOwH0s0VC7smiihVJJYy9N0RpAzahPETQjXNq2fuqT5A2sckfTZIgGbeAl3J/7qXRS11QQT5EAZhOfUqeqxigyQA6rq3EU90PSODUs7m/5wLi3iphN6/UiLSGZeKHcq3kBZUi6Y28rScHqSLFvR5rzoq5yUe92nR+jjU3/DH04xlR4kmqtrRaIBxTWGaSXDSR+6ZWivo83rtD4EcAW2NxDCSqZTYRw4MHBwVBI0+MqrTfRV3yj/+tKYnMwNrKn4XLmLLJfDLUV8l5SR2BN2ylQ6m1jtYjIT7pQDrr9gvTTDYwl8pbIFRuHwC2jCLF2PdjqNjUSFrfF1KGzH99xXdIb03hkR02wJn1bbAg+5DQjSFen4DPVbhWv+jjOdTW6ks/p0OgJCDdLIB8vlS2CmaACLbzulBhnln539Wi2z87qWN6zr74gwL4WBfi5YC/jX8fWXqcBtJCpcjXUInhc6lEhlpC+GIXxghwavSf3Sm9pE7L5QwF+S/wyIki5T1oG6JP+5N1yMB8e78Q/92ApuNPByRb2RbUcBw9t5QaubFpTrEYIuQULGWXsAso6cgJepYUjC0iG5i2qNIUPQ48FNx7gbtELhsJUiwWaQ4GS12CthBoneceaYQyElDTTVZ4xTfQLpmyQPJ/oYgxCnEkdSbpmTGsqW0PAjvE5aY0EHm/szm+9qFR5DMNVJNbJDyQIdh9OdUqQjc3vYhOE3nzjAZMFWSxBstbU+2Eai4tRIqF+h02WIAuFxzkgX4vhSDdvDNsgWtkcGbeRvOSd0HxaMKYe+AarGcfecXZW7M976hlX6HRqLC+yM9iDlLCj9RbyEh6bKO+tYISc4VMf28NoP+owjJRLQ/KsXTZvD/lJL1wk9YNynxZvd+whZSLPnzQ3Epcw5GCtZH7fD8TjS8ntNv++V/bvzkvIqX2XIY24lblpDu46IdS5qM35z2RWuI4A6zjXJKqXyT6GHvQ30AM+jHu7g5IQ0BD/gqfDrzLz+ZEYSau5+NprHo+G1Wa3Bty1H/S9Sxi4mhKT526GTjqgFtKnDuwmsTmMG5pm1KfTFHHWvgPYbe8lqEN17xkAofsSwSLXEDnH4FaWljw+hSccuxo0RPvNak2uqxnHWm8Q8Z76Yq9oKj71jupa08LMhOx7SqROxqUjWKhQ2g577nnTzxXUmLE7czQu0o908w2i4H4Wi9bErL7QM6cMWf6kX2t0Awtu+9sB5jUgR1uNMYrXfOp1T0xEqhpnmfB9qfMpr2492P9VWlqbXqjRDlbTX12e08q8PU7Fyk1JRKvm5sll86ql0KUK1mZS5VRuS1w+SNlziQv0Fp5aDKEhzwWJNTXEOp2sT9zYJ0KXqvn2eHZ3kVGlrVjPApgPLFtnB8cHR2MaTB9Nw1Y4TBvt8lcisalSzup8gO6tBVLMeRDX3N0rU/Q284a2U6SlTOIowhYBXG+as7FcqCsO9oF+68s5UDvm20TV26lth2enAm3fYAiC57nQqxMe+VQkS1GHh+ED3MR37UrlU087BsUn1AqA2CyX2fxpyTQfTCcym6eedJXdjk+TGKCyr7oL2FY0sq0GO57PbVdB85rWmmGipjsi4pRx1+6RTKvOJKQoqqiD/I4GdjoUyp/Ak2NWiZUdxk61QYiM/cNTFmxFrH2KBd/VNs2M+3LZ3mv+RdVNiy7F2jSiv3FnhSoioNWJ9yQWaL9D/v3hZDntJ4/rnCteAE2ecm3ADV+8PoAP1obbYZpdlrRWTHDO14teC2abqa9whA909IlZ4GS+7uUCC34zc20hth+Y9priuA5Gw7o8nDgc3UlxBiuOzK2gEL2N5wzL+MVAHZgktXka52nh2xQbPt7JhvkYLCvf2k1SQy26gan2RgnE7x/SHUq3EaSEZ1hIHiymp9dxAGBBLPJShQJbxi9ACMTQ6rBsI6ZaRseFN6mSdD8dZ5+0lCeFu1jm9oEecZkwCFWuXWdDZ2Gnl/sYAD1we3Tpi/fFvP2V2Xu7qRvJSUj9wwiVMWWUQWXWdQOVbRq3eLbM+YeXXV09lHZvnlLLjNVVXMr6sAX6w4+QuqCDbHLQBPu45doJInxTDB+49d2xa0cab+G67zqVEblj6OrhhR9pvc9aKuBbibFHuQE59Tg1gARJbKHoY6u3JGB+6IyL6TxNp5dV1uW/I2+ENFK+uez/l34lcM78f/ywl8s/SH88/yZ4auHO3oL3Pw2srDHXn6VY2Tle2O8w+TYnbZDb/InxzX7hmt3XSzqI6rUfvap1e4LdO+6J13LlqnR1dCYIQWSnnh5en7bMe+GC7c/iOPjvu0q0X7U4XYChXl13+IuMNsYT2OeZRzO0XTd4W53cJKAKpVcQBsuIlGiJYNYCtA0gpi8IxXcymE9/jXDK4U2zL+sAenhmSzWplOBjPTukCtcTmyLWvpTmy+NpWaEfVcmmPjG11x2l3mtB5bsLuJnVpjFrvoBti30WFPTdbW4wxpe4jCbZ7XIAt4Vs2YC44Hz3ENQH+uOH4i6lcrr3atOLlDSv+h/KBvl3155z/xNbIsWlaX2pcf/oyEDt7+4HGVBaN6YBUoaOs074kpeft6wtY+fTr8Rn92rqkn7pvj1CW+gt9cEZ/tdpHcQVIJbvVukjhgt91fkezzqn/h0UUu89EDxOX3Jjk2HzmDlRRc37++Wdp5dPrNh2rLISUmV22IbFpau0raZra8+6BY+qtA6w2AGaSOiNwhNzYCI3NOZVwSeI7c/PcvPMGm2FCihY01WZLcDTLpvjcuT5gJMAa6IjsaG4m9j+t/a79T7n+HcjF4UMuhfB2aXavBKsltjWtVZIiqsp9h+grLgE1RGxGi/sxR6vHPnvORNVLajXzokBxLIi1lQtznLk8C/LX+O7U7egfWF19u3ELamzTSRUD6uPOh2eT4ALSUUi4INs9jPhvwf45V1uXDE53GmOcCnX6zs1i3DcQiKB+X2JPA28657TP+HxICS5WS5msYzUS9AQhKt++lUAtsYlrbN/NkVaW3uPJZJ0eR+SEoknHm9xOeD0nCM7R8sBKFUigF/b3JgR8uNIpaVxOOp7AiXE6v3i+jtXxHzgi/q1xUvLQne4dssEMpFHq7wC+Gk8eEly+FzMPaTHWC8ZFTqQDsrEoQ5LwUvTsAIFflsV9cLiv6fHZ26vuyfGFCUuUijaMwDoOAgKmS414TtUNl4pkOrDgEXx/hEylGZaEH/Cq8JuWX2QnN7m5yQlFROIbn+nH/Yp0VZKwJ7qRB9A1HDK6fgzMWSZNJhukQTxwtepalBgaTTYJLuaVfrguYlFL7JRbW+6xZA7vgcC+OWnJfYJXmITWpL/g4v4lLI6lVGYG4t0Jm9G+78C5iHOMLTIEms5ReJQHAd6fJKMKsLsVqWhFvyRQAWPLrc44p4jnxbk5cJcfGNKlc8FUhDRK9duHU30QEFyMh/9YeNqpazjLPEPE1p+0dyOcZFLRYgXZxof+xF1K4CoV0ijfvwaMSSg+yfzDAOGJsQHw1fev804PnVyIAyMMbGh/eE9yZMs2U7GuUt0Pb0Ow6AC0U2w7Hxmq7gE/uuB/uv328/3IxAj3pLQICejsZkfEa+Dkp/A52QJK9u+PZWzRLyokMi8th4HthrtykcwlLlVaEYRMOLPFtViStcS2vWv3fTobcqZcn/j3Aq17kcRNQufO+5xVdh5vrm7A4599cPWdoVdy2i7vzvCzfTunXTF0eXQDDdC7TkEkkG7A/paNBelObSyIn7ZqLEg3btyD/SftgVoWyHXIOjeTCeenTeaMQk4f5PABY8hE41kvtxGhAYgrlXHICmXTBiCUSA12GRpi6KOauVufEC8I/Mv199eT0YCBJf/s/PoKzPTXVynnI22p7eg2DKEETFUZSIf6H4j2Y++SXI/z+CqZjsiACrStQ3dmpI0Nm3kSHiynd681CnffpsiqmO7vd6oy6mHijhvgLQLpLR438eeCz+GJJ+4jArTd+WIwnJC4HnxC6BGmPqv7dALpwJSKUlIAa302v564yEIajtHSkEYvz51OSMsnsVWAZl+Al80AS0h7vzkYo98kbtfD3vLzVMv67Tcm7bzUuf/rX3QIf/tt7z/3+Kf/4J/oByKZ19LRYuZBOPhOOA00LZUCMbOtoAuUYafhjy3nvHOUIylfKlc2vSSnI0bng8noE5g7upxKn18GsIFa6zLXf9c7PXE0I41pEO2G6I0XR2+gvZrMt79dnGg74aHE6U1OnL+zZbkcAY9blpymY8wMuPODqP+GAqadpXv0nfEqjrhlzTFIbRrNmr/95jdSHySluMFl20ea7TJRzVWZihUDk8ViX8OylQUBui8YJUI6Pph+muF8Bt+5HX7i/s+AmxjHPUoraoE3bdcm51LHmAnfW/MnLeSOjAs+Jik/4tXJPBvMNmEHzbu1sTIXlHFttI5BISmaTqNSLTUq9kS6Zmg51o5B/0toyvgNHzA4Izfn0lkx1rEimOi2SQom3zRGRih7/GVsQbpXY1XeViNBXDc2ietSefst+h3RXiPUv9S5K2x7Zn5wWAb6Uqx9E3bpCXAZ8bOFwPDwXqbVdKbDE/exZBLhXVecZJuIYr0az8tESeweWPtaugdKx6s3XDuX5JDVRSVjxIWsdcxyI2fg3EK6DDwkHt5zjh83wJ1zFy/dmeEAToAbFu3zu9lkcSvYc7adltw2oHcMR89Y5fKGVf4jHLCS5pST4sQfZDWPB98tkf7OftnE5n2xiaupLr4M6ZY2iZW14NoL5e8bgMiLSG9TBliV+fuZ7VwYWiRkm7YFGcHS1C+LbHpOuJRW70RJh3fQmL1lvA321op4JhKODs3Yr9L6z0nDfaut4LSo1PQlFZnN9cNYSi40zISbCCpzsqPWvuZQW+VRCd4/eRj7jdcsWdjrt8Ivlo/NSwaJWgF2u4m4EVmECts5mklO8k8htOoGQmM+ol7gcwlzv/cebXxfHK8dTXDPOudTzQQ2LRBaCRXGLxUJ7Isn33nGuOxcnYgROPweLUIEC4bZmR4AdK97TUxNNPEIScougFVKhbQUJGD8nvM08tuZadQ27CX6c/D7D7BW64z0I6sUPZVVhHs9TidXRpygm6yT8sfuR+8KJnLeOb6/X8zVg2zkClf3eogle3TA4M++mdC6OSMXFfjc8IQjfYHeJgxAjXgRev8nFequ92PLXNOzpj3VbXIdkgKWkHqST2M5uxJkhz58tWl36tvvDhPxC+xPwplhi9B4JpjwV7XPMHfx2edDMA60Ysco9OVajT8sN+rheg1Z0qZTqoav+txdTneisq3zq1Qxzi/6aTvnV6mycTv2tt+OHrvDaZLnBlocwWo350NH4mjXesm7+2kSzF72SxRMVQ3Z7Yx28gv9yZ2e5o6OMtz6FW9t2iHCQRJpvJpC7hPxx6zz80kqoylMKkfAhbp22FoWZUp/De8L/OFd0rYPe4aVjQEPGlsQC1mfUn/5Cu93Ouz8Ni9SgqSdvnbnw3sFRbOJGbwTrnNNTOFj6FQn2sCVetYc3qcw0v3taeNCvUtf5rTaBAfVQrjdHbccMl4tJ83hs1IZf1UkrJfKpUJIKaAhEt73dFSAk5ir2cYkIjAawR+zx7Lk6K+a6kixGgs33krancmAlP/enWcq2YjYBih0Q9IFN30KxBqZ31ylSF/gaYmVwDqFgO1gMzkMK/jUCJsQzdWeozs3tt89oyCAtwE+03QStIpCeFt5AnSuXmZr7avn4nMjjhnlrqxL+KEFE5/kf7LrSbsj6XcD93HTIGPq4ZRjvsy6dYfcuWq1kcW2Q4OiyUP2LPfnL0taHngDP5BrVxfX91BAuQ6RWbo3pnv7npiQfGbRhSo8PP4i+x21O1Oa3WxENhqtyunhLWWeotMmuB5XEgA8gqZQKqvYYxhrm32m6+3K3dk6+yGRKz52Auibg1BtaNYUMCaxTVoWUt/Eh84SHJHa6wkRR6hjWISzim9VIZKlvJPUT+YfB+ZN2ijryH4iWhSUMNYAFHdFnLNaBsTr5QfFVOHSVllBBsBS3zLWNtDcmqbUkwjojukAoH3ed6rXpWED+v7wejjictPF7S3qkYButYLTN53oV27dKfI8jRqz6nlPIaxNTh944KRFsPTxzbyABy7RHA980mGzIgUXZIBzybsu4FXs505rEz5VzrKBsk18ou5de2XS1kBVlUGpfNO4uTbSdRXYcikBbLlU2qR5lcpbrOIpQtILpDHwT6ZH5suvJZ8bd8YJpVEgPpdLdUcMx8k2Prcaf5hI8qkdVniFzcISLZNs87mDqbBI20n5aWu6aSkrWyzl0RNAO3ddxVjtpPENB2zG+fVVsn3966sfnHfcsWvYF0WAGySjBDxwTNJAsaaQ0HqLZn8Ti5kvwgxvT/BPkpHbzt/rlZi7OOLRK/w2HPxLvHeWC4eYYrLnOIB1qD1l+zY5X84DeW38ujLIFGBgRf17YLM4WGmfxQG0uPXoQMdoCCnY9ruoL+rJ/94hYZpdAaJ3YEcZHT20R/aB5YwbxDijU1rCjewyo8kEUwucNeBSaqZYqyFsuzYDzY6d1wOjN6105BY4H6yP87/SpxvZ8lR0CinH+AAZp3PGJq3x4m1LE4kNvWtfSUPvixmjjfjLpVzoN4PQm0fccfbRCbbI5J1N9atEKALD8XA3pA3Wy7LbBp4R12CWis6I8yrqJNy9PuNasL7b5Q8m9hmqnipZTjkDaycLIrEVeK32h4cdgjW0Pxboq8Pb8b31lQefzN1bv0DybD4cA0xi51hEYovw2Gp09ZDP3WtGMTPj7MIG5Z/YnwV4CC3lQyLudBjP2JLuU8/tNsXEhKZr/gMUQKkAkgEaOMMhCq3Ex/XE4e66hNVNh1qpOMiTX505b0a8E8JiqdFIGbgvHKO7iWjraKCujdMNDSlu2K+v/vTrq7xiychoUlqwISlYRU7EaUbuQCwXXhw/kgG1ocP7zqtb23J1JYqhv2FTab+183PLIIryp/Rvz0V7cdMwfJsoxnP2RTCwRpO+awkVJ9iYSBAr7LhdBp2X7uGqFaErDpglsciCQNtDV4PSKUWhvPKTyWg+nGbMHaQUFZyuoPkApPuGK6GQIybzSfkyFOtJ6HsBjIblVHTlfuf9q2/YP+QhFhyFHOFBHXB5Ga/TiS7aOgecIYCbHdFOxEhnewqH5C27Xu6sXCNTQTbQy9/m6cAcIYOs5PzNu565dHaMDxRDjqUb5i46xRJyuz5LREny4pQKENEgTfnafYSiTM/t1JCJuLLd9a7Lv7fD8h9fGBBeVLuAi4x1di+yBysBvrD8bX5OaP2JRJPHY5eesdPEc5cS7DTc8n+Y51Vhsam5pisa7Jcx1wRaqlTeyxfpfyW7USM8J+QaH/oazuMMQEgbb3Rj8dp0uPyoeiNfrlXz+m/oEaPh+GOOn22nBEAGdtbNGNAGHn3fgOUvAu3ZwD6TMdTtdt44twt3NlhlZ1YTbPfqq020sr8DrVzEoAVf+nSyIKfdbQpac+DeZmrB223y/jWpqChwkQ2s12qVmmCKNUrFIl/bD7rR73ygGjssUlgYGRl04U69DUkdz1274LVkyIn6zogBaSwIZMTxxUVTB8RpogXNHb04PGnKAJ3q57qtQTmRStmC02L6YgQG0tLxnW/NhxqdtfwrhU/lsxTScPGr5aw2TMX0bjQyblW64/YkuIc3b88RGf39uWnqu17xf+6elBpl4jHlfKmMRFyp+RGJwMdf0GE8HHR25Umuy/9XKjq+k+qFpNJgOEBExh37D1B3/IkkrWhfYvYSjD+OaQfyzvENfZZCmqRs5NToSGqvJdEGNpAoYnczq1TaYSM08IGXQ0VbjwzzzI1YFWThZFHWiQa2zScHQCF7WDoRK/rL8P7W8Wf97z5/v1pmN6VW7zNcXhPExl0oW6B2cSMD+iww6uCZYssuY0cg39MxhFWStDX+8EBW1kSCMrmgLc7u5kypvMPGsfZk6Wq3iMtzNzQ8BhYOGvRYpZCZEEjIpYihftZhm7iHz2nbnFciwYtwIEN8ybOhm+PlaWpKi3StisC6knS6G44HodWIR09AEtvFRZ6ym5vseziR2VTgldtqh3Yyghg9XNk+AycKFywegN8cxDoumDNRLrB3iDZTOCB2NWT5oCRWDB7GaBsxHLVUr8bfIH0mIA25keEAHUpSS01HaSHNrtFTRkAh8hec/K2ULa6tB34XX+Tc81vvKU7AUnWLLcHxeqHN2BBjWm2v2HhT0xYnKODpkpEDVcAbmBMlCR8j9e2RkosqWKmxujHavdF+Y5GTVQDipQQA8VJtk0Zbqm2x1Nuk0z+H8mMp9ZZDOVqbmbyWPzjvPW9qq9CZS1kyhKgXGaVOL0mWBO2Kewu6ndGmVIrszEHqW6yh6K7Gu3G9GH10AICQ7nG4+8hjbz9XVsh0MtuIdn9XpFjIdI01pEo6No/TWkCPJV5UMyL9lbcGP37mlQ4+P3CC/Qt9R7fiB2TKPKYABUwsP1wUyGEt0gymwM/2hp+Gho04f59cM37R9476d1JhB00qa5M83JEfhTE6NwDOIWaKLAtAs9ppNmX5earYDJ3bAwJJY+VxaYXDw5fDnZY4HJp5EjPb5F8wjtcDA5UgpbY8NLSGyw1E+ZaeNGl1vmdJ0+Iuf758XRy4nNcSuMrR4E5Gjrs2tDmSUeyUphcZtySIi3nOHTuaOvRUeDbpk9aZGXtGYR22nxrrd+GGl6652fE+4/0H8JPwQ1wn9CZFFc/ZrgxknI0XA0RLMvHl4rR5uYtjjEhOzivrNgO8kwoQyaNl32A6pSvJlxSLA59k4MX4CTqN9Muac5swEJT7wPe640cJZs484IB+wvQUEXhp+hDzfFV9x3x2zzCRAR09nawobmhWPYQ+arxCcdzw0l6G9HXZwyCMFwHKSAkgvr7crlDKZCHH9DTo76LArVHXDKycrpZQTZpDPlohUPhNCOhfRt3J4eYcKRM24DPzPqGnVEZBjsleHr73Ht+5/l24+7m+QrHKS5kA+SFa2sCHXQLc/EkvQteKEa9lHmyBcVkHp4OtkMl7BqE8KVVkL4AlL22U0/tbcxFZE0FasQx5vfDe+vAnJvLhdVYICEVk2XsLoe1IUbnfZ4NC90vzJ3VjUoJNx43kHhA0RQ4lEq/EttMM2o5+NV3KpAS3YUkAGZPDZbhrTvgb3g7RulCfP/Ny7uxeLVFuMJnzlEsYxAfP/dhUnwHdJ1ZPFLqIVV9eYn2fD1Mm9ctkASnH6cCRR7P3csJK3r2XMhqyaZtHR70/h9CaLQC+BBYSzEwHbFlM07kfjlEWq4eU8T4dszK6nL5zBzuPvSSg5ScJq02+O1WeZmQcYAASUgJ3cIO2Qx5NejqZ5gCysjZkJA/btfGxxTsjRRmeAxLMTXm5Ku8dGqSJtQ8mfWVcuh30jwH1do1KyFqR+snNDFWfD0LNS+VdJ63X7RMu0lSFo6zoT+qbkHbI148sqbgIlzVVXSBMYjrlVH6ulzclB801NrCwj/oqQyCpIKC+icGUN7kFA235RfbePG4n4wxa3sXRmxwtEJfQWNEk4jYNT60q/O61T48lCafMGtovZiCn1Jivqgofp2wna7Mtdp/sqjeZvmzxUliAcFyYWcZI69LuLA1ts1mb9miTx1Di9Loz2sAtGBdDqa3dFPn+LlKATg27pYkrlvL5cvHAkXhCuRRNqk8dC3un7ZlKdz4dc3KIolyUoKCBH1EoALy8okcTyoa4/Gbo0rlcfCldVgsOmlFyTwuDMYAaEeN4ZEVsIdAthlIW3JauTF+lE02Hd7KACZKYBYXqxBdJgaonpkDVv44UqPPFfEo2W7jnSTwbimypIU4L6WielMKMhLd+m4hpHaJROo0u8FIGgihOum33Te9CI4l5p82qHGn9U07LACjTyJ8IGQ1MfQiigNdcXmcMZPbzM0juVBUJ84lox4g2MiMwKLnfB1+1eRowXjhpZicPQT0xo6r+h2dUCVzuhPc0F+528Yx8qXpivlQ9oSUdI+4H8H1fDC1TMep9JTHJh+LgtDfGiwcHzg8yDuD2fvencu1P5b0/VQ6v/1RpM4f/9dWfUPb66yvblwFwM7PZZLbzClU3rFDogBlMYdNuaNLXtnCheziV52ZIckYaav6+1cfPG1rTiRcKD6LNP02vzx3jbPXE/Kj6knvOtC5KSycGq4AXaDyBa26w7JrbMYlcO0FH1zTqbI+25tKEb1MpJHIFvRJ9JuqZJxYF6zfziTaUMAhbprtDU7wjjJoIDxwq1LD8TxJP9Q3LifKi0NAPwl0Pv0yZYJAbE3pVtPOcLec0NXtpCFDGLNgGmFAjxfJgSZqxLwtpHGfnF21b1XUzIYGTNz35An+Ygd6ewBv1WT7g1iMoDM+RGcC4vPBvcgZiHF3yDRC5Tc6HQzL2jv0Y7jjW4332pE3de+qmmuOuHtSAUnHxS9UD25eKzVVwDs9P0dDguHVydXz24fz4sJ04Hufk/JBuedNFrh9rFSYKDeeb4JZHHF4h/At8PciltQ/iFHw8SlEwViBYPGUP9p+6B3Ywg+GMEVAE4P/LIxsUPrkzQRnyC25f0/ry+YL9vzfvF/7hyrmY1bQvbmF+P41c5eIjT6ACLQKB5WoPdx7TtitdC0y15v21j9AklGspyOQRDW2BNhJzNc5JDPPv7BNdsTv7TThYNL2eXkGHaDASv0rfMwcXiR/+k85S46n7yHQE92zWESRumsdMUirdBabOYhWM74H7jMJoQXmR2fWsI9wJj/DXOfmfsfv6cmY6GM93wXBojBOAwELCfDf2HnLBR8wHOUIKfY+NLpSPIUNEIDHa4/7sUdBCOQ46zztnHKzx+ncTfAsAWQFKryjt74PZqrMv9ZOtwQRKszdgjx+bBDO2R8TnDa+xJH3DbJRYQF+D3unT495p7tNiBMPleuRl5F1mYrJJRnoIunSEZlfR2BMoJyE1awPlGG3qTNCDhGR//4JePSoKJBJ43o2pf39tm6na5domp2SFE+xla2dpNFkj7BM8Z+txZPcS7fW9P9he79QOomY5We7XUEcclBYiv23yaTjgEDs32O2e9i6yXFME5ZV+anehnlzQQUH9mDYJw7kpgEEVaK4DP1Sh5AoWLHNSTSUO2lCpBTBi1Ebi9BjBlR3Bt/K7KPrR/lRa01htsJ7EWb+7WaV7iRb43ldigWP+ObMefgFvR5VT9LKEu2jiw5uh5Me/SA+MvUR7PboymgYYJZzNCLoXeutOdTpch6Ov0mB/DlI/RMS+IrRzyz8JhMAX/W1guwk05WjyAPWfG62OQ4+FB0menGZPkkaABtKsLoTVQI/ZfXGrmxZXOo3zkA6c97SYZD8PfdrYRy2quCCy9ObrpLpZ6RCW51MZOF7MGWanrQ4XxLTPjt52jo/4R9aaT7fQmvmmKY+XPinVMgfOWyYbqAC+49/Pp/lbXMiTSHAOnNr+nkTiiE2IOqBlqyB3pzWdOhdG7UiX37Ry3lhC/q7pBoJtVzk9CC2aGHtSMbRNtcgO+vpeol9h3d4aV4bIQa0ETkuve1N9xcjGZrWTFUKjW2W+MEVIDI0XEmO8MtloKWZaKbtvMuREHS9lsuFOF6P5ENgyOK7DcTOYn33ct3ZizXAeHOe+KbgsvLjaSUOMcvUsgw1oDoUfHWtBXX09HmOEVK0+OxxPF/MgZBrWZZkmk+vc9y2wUjGPXt+Ybk4XQYvRHiSVg80mk6AM+agfX3s3SAARPSf/FLKrP4nswr/tnnf8bHJCNDp8QjmBZQW4i0kCjnyBd3kFvkt4juql5a7LcoFpMJ40FiC0KIgLly0ZaJbNyc4rQFieso97GzUSKSz3gsn54rZLi5yQFr3GBNDOPdsWa+oDd249FAzBSTOnDfoNHRvJieT+0MC0fVAr8K0GiaWm75AEYi97h3geV4FlnZpTKpSdO5Mfrue4kTGABrbBuWVHgD7kdkPpe9f/KC2F2arELXwAV/D/BGTqUmOjAbC/aSe3TFfedk+SNCbTkV5o/psSIqvS/z1yjEirX/BSqzzKy3EL4NI4Z4FWji8HTmrfo+mJyzFIesPiapOBMNJeAPaSE/cZZ7/wLammHiCtGTU96gH97oV3MOThCYEqBYdaJrFrVGAv0UuzvGmtrbKntt+4Lbz+QRcC0hK0ieqB0WlN5JqzW3UlJNVezDDkvtxEmrKl/Jja7KSH409D9hZYGSgaW8ZCWbvEJD961vyTLXmKjEpwZOztmFX+jDNh0pIviLr8AJ0nZxJ+meUHZoYuoCSLs8kKuf6DEQYFCWXRkkqiuX5Ns3yamtKseO5hA8Z/BqztXmKZWHQtz0JGYahJn0iKNseBuO+FtFRYn1du2zLsVC922XuX/9DuHL/55ap92jo+QfdRunTR6nZ/Ou+gHXG33dOLl912Bz77416bsZnGvoTg3BEx626vdXrRzZ+c/3T15vLsqHvVOml3ek56Mp3niJwztt5rOCN2PhvCLODRMBcU1TUU0W8z4QctJ/TbbqilRZAbHlor53biWexJzgpCJcvOG7nJBdG1YC96UnsTWorF9d9pZKRuTgaPWcfes1b/79mH7FQmZscxjIOCga5VuId8SO6y3e1eTxjmcObP89o2XlU9gCXGEReRU6kTjYgScZmkyHSYuEPxQGBcUOZgoM9hFI1EkIQDYYG9kcYbTAop62j1J4Ap7ic69/a/jmScGFHHE3HeIZbhXaN4OOAJgWc2JhToImngKhqygjL8GJcQ4vC7WQByjFilNyOZkXcijZU41xFlFc5fu+dnOJu0a9OYsZPS5t9c0MEG8CnG8L0oiHiH/h4+iumCaWS9wgu2m49mP9E1uP+VuAbX+fuyZPB6FuFHC3gsP5MEVHbESFms7E/ALHddrMqGxepFBNDaI3CiN/xecmaVXBH9lsuzOPYHryL2A5rAR4DqG+MEdZGRY5YF7quwZ8YAlo533Mfr+Std3bDS3wJ7Dk1idMsR8RIDdq1s2GrVExVVU96bwnvHSVqHQrNyB6HLi4t257DVbeePznu99hGUKnAZjgIxUsx5eCu4POYSPeSQBuFIy3FSUgfD2yHAIAYTrfkQFOY+oyux2zeqWZ1Lbm4kE9cmYVjAXVGxD0KsEf6FabSJhnq4Jg+IM7EdyQxUkRiDr3KeIALQizEHrrERHPkK0Ixs71CBHRCQoifJodoGapCuYEBqCFHnpQ/1E7lDpDmB51t9ItTJCYqF/fXLNH9VbycsR+FXCnHOrrCmOURSGYnREAE5v/1GR8j/17/46m+/fTO8oZ+l2x2bgktzS6EJ3AhRQdrYT0N/iMxwkfzJssMXFuqcv3kjudxhLVREoh8DhnYHFvx5btND4EQ0SqJMTOb7pP2tb7m/XMMfVC2+SKu4jWZp7KWxM3RH9K52fMz05Kigp3qbHhdTABM/WrSC7AUIMq3DB+tJa7m3SWcTaXjgfDBM2klDX5G6jY60dVORud7Nbm95qg8tLiU4E9qsUTM2hqVWfeu0A9NaUf003cvXf0W3Aszs9fnRLxhH8Fbo2ZwE95fr7yEpuaydi7f+/Jfh951a0AKGzhlDepB4RO7r95JYbUIqfO4ibTNgKQXHRPrQwakxA4oLBqF1XqIo0gS5peViPmJAVBOzWeUj/gC91pQMBM+JOIZXuGjzCt3PA5pZ56FZE+OfX4y1b6STjixOJlTANRve3s2lMBPzl6w8pnaUNotjZjhm1iaNcZwhe2d81B4Mhip1tDZ5zAUO7ErNWdT5m8WMzRqFXBCdX3PsH9HYfetz0Ui0ZRpfhy0TdmEsWTI9FHZObm7E5Mj588eRZ0LAj5MFyrNTqN2UBG+pJffQmjrCzeX+DRYOMYARd2yHOw3ENPOmknDrju4RruJbb7QCL1ogwJHm3YyQRqIR0vjDjZB7L8pjSE7bffGlwAhVcd4gRyuBEOXu069smH7EyTUNIbeLm4uFdYRuNuEn2CfsVoCG1mvsi1LTGcNAjINTdo2bluvUrG4sDpQEtQUVTFFjnrHD+LnCYa8f2RgJKsVxNj8RwU25y2BwWCwOkn1rwOs3dlt7yn5VN+zXOcLYOLTzyS1A5DFQntGmjiJP2ZmkqgR9pEGtSqfOx6mM9EiF0GxKPdJIc0YcfCxpihq7lmUfcl7gfDYBz9gunQyue19hKg4c6eMhMC5oPaMpC9pNNSBga2UAdEIMer3VMTprAJ6/LbOvF5OYfb34ezL7JJgIdVx9Vr9d95HOzP1yCdnrHCdtjk1qJq7eu2Ma70w8WOYBvjwAnfncPj36p9Mu0dvAJb7eaXd7hdvOxWGB8zZxFGaZPJzC8TQ2+nEyQr2ee48qtWnQIpSTFRwUf86GyHX5VpyikrBvRwZZLC4tlgMHyRNgN7IZL516rvW9N37KAyc0gzRZwzKNjMyDPZ2KVQ9Q3jdI1vPmfVR+2xCxvmoCBAB4Ns47rcOTtjzgCrpR1EzuTNxBDq45xseBLhrA7NnqcgklgRKM75ReQ8vhN5XfRR2rTyLP8gbyVHmnGjkcMl9K9MnT7UHkvprm7dpWhmVjgn/OUGLO7Cxn6QVbkZCZ17tTt7jOyqzy/YR7WZNkuPckjFQtloDl6S60bwxWfswap6+dzu/o62TzIiVCeosi3CUKbVATCQkN+Sxw08DC+TxlZ+GTtquyYbtCQJpSsSbJCXLENYHdZCrQVo3md0/MWNi1TA2imhMWxgM/pwCGIiYvOudHYtS237QuT3qcrkDnK3x6TCqDGbSTOsSjU4FPsFQs7BfKxXLdKZUPyvsHtYZzcQphwhSStYVlHJIpmBwINd530JZ4N6qbDs/kweGBgsFj2IxWwmVP8OHFWNjvUs8mwwnGkTpaHggJ6mXPAqJ5JsE4xHaVuqezyWAhV0IsVPHzSvX9fCW/f1CqlZ/GnGpbrO+L9RjfuHRJTpehsS8l/hxfi2ChnjTv+oZ5I9EqtAcDUkhReL/mrLfJ3iKbXbqgke5Lh+2DLQpln8vaehV+wS7HHi7qpZEeOEsjZWmrx53OpZWWmcQpOGlmGgXMIrM8H3UiKahIKvBLpMSg1zgomomo2Rnu0NXlFBvG9hWNFFWdollMEpzazTXwEuEJhhvEOH91P6FKkN6u/QfTqdD8c87ZwJdjJDOCK8guCePx+XOjvukdmRfQBfY2kB0zTSW274FFDFv+C9GNwdUP77ocUJOSKqEEWjjcSkr+0HbyDd8A/CIDaPgtvBJaBjpRV6kCiWmmiUCahzN+FctcCFbSWE8nAyQA21N+aZOCgwL2CxdxEwk6sGJrrYgcZ78Haa9Mc9jXUD9F0M9BYPlIRxnmqke9Q1Jfx32rJvmwcxawo+ijq+4vZ4eA7YtQ4Qduz60Oc8mieRJZ7D+JLH6aDeceK05pcb8jFrOYcf8SLPmYe5oo9Isi070E80kwdDTcQXuNruSqziHJhdF/HNMU2nTb</t>
        </is>
      </c>
    </row>
    <row r="4">
      <c r="A4" t="inlineStr">
        <is>
          <t>BGwFNlmbbShQiyWBLDqeQu/LqFHbNBNzTt3xAhmS1qRqXRxnWQLekH1AKtZR+VDbiz3ql7POa4AfChaRAS7F2vC97CUuvzYASMFKMezZXjUMe5Yz1xTKypYfi6OhLDhrk3Hu02Q4kMIe4TkGpcOZi2NCuqkImkD68OQYgcOsc96+6hFben989jbr9F5fnbbOLlsnV913xxen7bNe1vlwfnx09cvZCndGuSQqsZxMbbY685KZlRMi1fxyCmh5LTwb02rjSbSqrP7LsLDUB/FgY7atdjdXrtVzbw9PgXcRL7VsGzQAX2UPfQfOVPY6IVdTsj7hcwrYzoVN1Gevty1Ff1pV6HUkaT7Ur5HfaCo9pGyH6/stUoTLTdHwWNveaOZZqitv21a7XM474VeG1Ku8abhdLm/ZcLtc3kQhyymRaylEsQWs8+HLMCqkcwX+DR9pik2uGDAXGU4iHUJVkJiyViYZYZIL5Ipof8sbLG3n1fyCj0V5hfhYGLkpZYpcnO+C530Xkm2miX15lQuzXMw7BrKTsemTznJx7U6VEj1npa8jTAIh3FW5O4u7zX6688ZxiS3NNyNyG8fy3iXmr60OFKiJ2ysgf4GhwdEqaS6uSiPnxXc2cB9JQt2R+BG2DZ1yQlrPOADARiPBR9aB4fYEYOFivmMzOt6N8obd+EMcRealq11Dg3k/Z9ZutnuFJi9BZcMSnLrcgFDRXtKWRCCZ4YMvODEjP8nxbr+1Y3JQaum1ZE5MoBSCsPwwTQlX59C+3Jp3Oosxo39KYT1jLkhOBle73+ZTa3zt8Hcx7BpX9dM4Z5r1Bhxpm5K4xlugR0MVr63zNnhvqhv2pjckhvZPTokFYoj7yVuPwvy8TYjUYXQF5wpZa0665Q/dwqE76tOBcDPE5ln2xVCUfRttR/ACqS1R36WdCwvLJwYlSomOlfhhRpXffGJajfibcGuftVzR3J7Ym5f8LTOPtXlfM2iJuFDgaNjjU1ahvmEV/kpnpo8WJU46YneNtDEjLsa5N2r7mHwBqJKb3OSIVUvpGons7kWXrEFajVsRADnpW5A50FOUpcf5c01gkzVbJ8hofDsF525IbsihZBdJSHz5TSdhpvaM41ynrZ2pyiH6E8MtrnnftJqmfR/LMIX0PNGJHUgFmELRMAOxFmwOlUwhDqpMaXeZtbfFBhuzbGC1txdf71TSmuY41Hgnb887vD4lhrsc+3nnPWpvwXgrRRb2+ZQ1zbpgrDAgTVfI3mTykcxJRNu4gUWTywOY2UvFS6zhcIJgLIAaCmZnC/iuxfywhZmeWaNdt2N/i+1QAbSe32y1EZtZjcq6cbTYC9A0tBzMa6YLFMyzz1t7gHOefCC0shZh07dsQReMYXDmEYmGtKvrxaMf4QRPYlmNDUtoODGd7PEABy99PjYVqkesNNKsQTOcQs1gnhZOj9uP6hcZ/QC8LysCSrXKdZGh3TfllT0fOuoD5yfP+wjOacJxp+e5Nx2nWD8oFnOlEqI7wv1rDkd3zO1Tz/2IABDdVQ7dVQrukMhdmW8p1oJbKkW5BzU33Vaue+kUi/yYSuhl3D12MgGLEoZmCiyvH50PpUrZyQdxqKyzf1AsHZRLTuuULCb6uJrFTTX8XS2aVDJhmzh+GVTw0HQ0wqzuqRBcwh2nb6B/6sPdhFilolTLGCKH8ifdfK19d9XWl34tkniXMP7Pn1OOzG6Ni+YJxJpgakeJFeuNI+I6tyO4Jb8I8yUDcc7FL6bdMNbMno4HJQv6j/WzAdq0+3xwS0JaTDDgAfQPN1ZSIqE7mPjgePducUVpDRdJ1f/Ld/Q5/1PCv6PJ+JY7EjKmmYsXSmbOrty0tMk8TtJObBQizR1akOTpBy1VWPlgozLrnLqfnWtdMSQNsU4iKMvr3bW77tPKAaV5RBmnXE0clVMuOmksufg5dYgHTqo1GmknF587RPk+hGaq1Xl31P6Qkt4jtBFBkZpxm/5jgX0UL0V1lYujqvdlNjot13YzrZcTHR3lr8PRIfGruIejBf0hJ5lAg5A70zgvc1ww1jq2OXLC4wIHFycPjT8hJ45UHfhG4Rc13tDd1L1yooui/JUUkEleSs4GgXb3Q5QT/RDReZ6zu8kGFNJyCoLIBiIMBcQX8PcEKSCQ8RsqWTkVy0zgJbsTiclg4huCD8thgqUu4xbg/wAdRmEayyPvXB/e8qmocOzdiK4A1GDnkk1rZCpLGQWaig77Ck2VVe7thSI4kuv/LfsmoAgy3cZx7U3eerVYcXrts9ZZ7+rwXevsrH1ydXbeu6Irr0/aR/DnyuskvsM5j7IF5seJAIb6Jq8C7nzxwqQuxwH+smFp9GKp1RkxJjpwAnjpaBzrhqF5+fVSNoggTl1ehRvTCMmg9t4PfZ82m+miUz8wO6cGnULWuWYTcinOtmfp6orSJtvIhoN284mtnno/0qoVhmsWMpz77TvcetQ0Iop9PSgnUlM0F9C89PPZW1F+gPnrHcscm66FT2A94QRWN5xApA7e0NYg4hg6gDOvP5wKNPDdZCwO+uHNo2TFZx2bFsVhRhQ4eGP9JbQfX+C0JnfBNGct5MwK1Y6Z8qLAUZP+tuTUS3Vnb6/sVGqlCqoyp4ii/9f87hpwQf3JfdYp5YvO6Jq0puTZcTKHWYg0KAntn1+DQLSV0ACopUleMzdJFV4lnDfx2NqGHe6SxpBjRSWYv9lmRQiTLbagYpxNTCxGwjcS8rpDc5OZfcSXZsGpS17i+NalOOWuacDQxFq8kOG3FMOrlCtnncPh/FH8DkANQtYr9wmHHTvSeR2GZumkj7vnuXIAExGsldQqWbIyLCZxVV6AP+gjc/aRpmeMbTMmi2s84t4qZqc6Yi61gcPEGMsmflLfQG1IPHKHedIpctzOTuCUpEYqa0B9tmAMoYD3UxmCrsR/0p/e29NWSsL6EJNGBLIkk5F9kIEFYE80ankpj/T5ceqlqshw2Pgp53xvw8qr6yZPa3M/9XkHbkbuJyAhdH/qHp8yMmOnlQVM4ugxsx5x/RnL31/MZqA8vAxdMYVB8hCIl4b1c62+9SVpmgdL9lNkxXisOy/Z/oYlg3Pr6qJz/uH4qN2hZeJi/6vDc6wVX+4en58dn7294huPjjuoiyw4od9edjUTGKFdTTu2pjWNdxivBNWDLRAzYDREbzpbH4TFh11ayfGx1VYb9y7qlNCPLuWjZZ0s3kmr9+a8c3p1eHLcJlXu+IjU0MRPuu3DTrsXqHUr9Z2887xNb2y16cvjhpa5ZuREHl+QZ/EJSHF/P2+eatp0hhxnZEqvLMkS/UOYT4KDrBxrQDMdTR45N20683j2/lBSkNc7y55xNFIrXnogkKKk0MLXhfaKotrLPnbJxDjs/HLRo6Ny9b79C+x7m7dpa3o1tOc6SDurV3Pa+seplHPXj2izSNRCGhWfj7xjsOS5gwqW+QHWEIZsUnt/fcUrb42jX19JRyCyc0zD16CWZOMR2XbnKokum8rXhjXe4b5pAq+F0l0GCzaxSawSLcujIqwAN+Fuce+Oh/9kR854zpV/qGxyBzmB91Ac8SBr2UQ623jYqcCNSzpKinHKPw1dp/vjidRQpdilHIITr5c0lQvp1bv5QiqJPp/KV+Lz0bXO8Vrn7s367O76qSS6fmLTRexHKn++saFo+E0RT0Vka3KTdd7ZndZRfZGKn5rp3Fcq5mrASTLEl6JxpLREFw0/4HEJeXt8D0WAc8/UAdmV00P/mz7nX2ELggeIuVeKznQyhIME8H8WfC73vVkM36av1TVFUSn8gHGHBwNF2bfNmmwe9rYJjXWbtljfNm1xbVtQYpRJDKf6dfiITya3S6WjzBFCidWMFwQBylVcqN4d0bewGuAHkhqc46jWYIhkU3du0B00WB60MUS3JpIAcOXjqQ93j3kn1MmO7rnlTiziATQp3i7KAGVd3J2z4KqJ7Kb6x7ObBdFrDohQ0qLToJEZJXdXsESecGXDhA91xbGLdNYRdMHeZh2mAZTJKhH4krLqGBKI8Bz68gv1GTQDcCrVbL1cdr7TgTiNRoWUaDsap1LJVhoN6NXhUTllYiBpQ0bftTud8w5MPM12B2zyYe/4w3HvF+k/L8+WspHDVqdz3O5cddpAemmL7nty/vb47OpN6/iELsw45mh7r9pEW5bFonCmMjtvVXXDVklY4BtHWjF+sU6PjUq1RGtNHJfP4NnkO7mSdWwNaOobvQlgY9IXViKVE1uh7+xVi7V6if44eeeaFD9mEuVGPd9Alsxl9yh6iFv30ooggMMRzHykOg28/vDehVc4/P2t8Sd5cWsbFrfLS+gAWI2oSN0dz1/fJAX9x1ap0qmRissILAK3DwxJhuP6U8r6YxAa0FPAhMeaGb58RV820XB5GHHfk+P3bWjYA8l443wBg7zDChtS+hM153L5KQtZ37CQwswZ7mEOIaIrKgntUsWblQbtWfH7rnea7r7OLXl/O/z+lr6/K+/nkFLTJvyMQyj+tiefa+AJEO+Ck9thBBttmKIoR6qRNFZFmxt55wgqkZis2JsQ4FkaMo2zF7SJws1s8k8v3AHCIfobQfVSByrtTyYpVN3YqIbsbdi99mc4/J3D7gep3uNf10vDZ2xR6G3fOaaF8JJYLHh82wEUjBG3qsk6tfy+c/o6q7yQVJHbMRDjmKfLQ7+LyE9xbqbLNT5KWWfPpONlpJhUOq5rzjNznu9ItPyXk6ax5QR7ClTguzfeqj3ey3MQ0BkQ87JmmTdDv7So6ztp5/Y27tz+JkEu80HbWPS9ZEymW8AW/JO7ndxy5MlT3/5ivB5S9Bnio4xsGX61OjmbzvcWAJqvl6F+lyr7NSeN378roaE4y4xUpQpuh1EOPZ8TH3VaiprHM2MZwZHPOxcRVTaXbLGl9xnNsX1Z8gEtPpdhmKTelml5k+4WqzFXQmvulKrVsjOVZqLKOPBibgtnEzh9WBcMySOHkSNgrjpV+BJGlIJaMRv+Ex3WiLL6NLjRkyRWY8OGk+KuliJKVpi3gd8ZFsfaQtbpMd+TuWh/O4HnQ0XSYLkE+KWsRzyefv0046QlAImnUO3/DXa4SCqBUbZah4fnl6SY5Z3Li6NWr80/dOlvIyVt7EmhEcnC5CpqrooJQYbZhefRG+yfsTslbWKucSCJ/hwPFHDQSaGLJukwtFtS16s1bMrV9cyiVUscekRXTgcgE4wOI2t6L/CbHkxVEdYFhZ7E0bVNw1QiMVAmuQsfAG6YWvgnYi/D+VPoJsEpGWcU4icdIyyoqCnMawHcCbh0U4HEGYoh7Mj1UGBbEUqSK1/fRnQC5X6KACcZJS6zeZSrOacu3AjmBJ8M7xnI9nAxp0PoO3923k2AEYvc2ON7sH5O03s9m3xk+g/wMg8X/nxyT9amVDUHre0NUnZ8wsxoyCwKFeOu6k9Z3k9g6mtbHtZriV6B2tcBLmX55cUx4BHjDoILb5YzPTz7oVtn0GNzxL2nKkXNTQXkhk0nYwvZmHeOxzcz15/PFn0GQufOVON5M0BgoifMuMW2i0CxCy15RCcst5j6+dTLuYNriW6B2h/iFoib/U56tV8SoUw6JD+IDP0zBP13tR1dk7VET0EtWbG3XkkxSMeTfBYokVyUn/liZpO+lYxPkg8pbh5eKqs2lyKS4EvFJgkFQ3MI2sG6moMV4Gl2vE5g4xb5EU3T8h0MGJiCfKdgGYfBBpQNVFZQHX2wzAYqpY1soLph6eOiPvALe/O7CYmay85JUE+ikv/ERRDg8fm+4YTNKGX3KiVd/LH3gNVmMK4D5+kDZGtraHAF0LLKupK5cRVJ5nWdq65dzj0XZBgum4VoZXWfWPn1Yga7zZ1b/K50ce+gUmZuSj9Va/ISdLbimhv3AWUIxGhWdSeLNbfatLW1TZwlUMMAkyqUq10HwvwSWSIDt78ZknPXLYUOIw2lcA7EgNnIfAq/DQf/inL6hLGziQWod25JpTf60vZKVLIr6Ev6o+hgmC/z3CttRcamOAAk9YLy/5p45nlN6vuOlGzGXiRpmJz5Zl8H4uiPQCp6pFcVw1eKCUe6uPFI1zdLdqx2GqooSccz7zNA5WmIuHoGvez0BfY5qZjNvKRWZDsMBzkvwqZEA6nUUk0eDZijmmu4GrLVeMhaGYV6E9sra1c/dT1RE6p/Tf1hwljRS9GSSCeYnOC0o1scB8hyaAIruOHqRc6ZLpamc0DQV3IkLFFiIxIKdzoebHbE/nAwGZo5x23KbDcl2yp659Uvb1j9r6R1y0B3gYMluwdi64naTj1Z2+mF+oIEIqxjM4G1hTpfQ36EeqS+nCIUvJrN12KpwqpPRaMTgnGVAzBqKGH5O71V+gvz4y05fs/1pmZt5TES3CXZ7XtmRlKIGpmkcFDxVEsZgDg4RQaIDNnjB8Z92555Vdxz/WUc1/VEJaseS9bRBQhrWj17SO2yB0RwYc/tiTm3XxKCc08VLqx2vCePPM8Sxq+vdL9zs1ruL8PvP6MBwa+v/sv7zP0SkMmditZn0D7oqjOFgGVJKUeo1bdKyjLJAFHYEpS1iG62RbS9UjYdgBsm7F7ZFi2osh4tqJ6oftWX1C9msL8HAKVw8mU8hJykQocanxiO/hT6rm+YajfyaOZb7Nggu/3LaBriEHiQ8GqkOc0NqnGuuRHfcNwfLQYG6V3aCkgogMlvyIkgQdvpSmVrwqpYeqpsS0+VtfS0l6im7H0dakoA2/fXyQIVUMlaSgxpWYD1+GshheWifXbEcHHn74nZvQeQ3FGCAhPggpp0DYFHYFYY1lsk4SOkvpCt6NkuqZzGry/3ZjsqMXuJSszeV6LE2FXO/V025xnKy16i8rK3wlUT2iIjtQT+MuS7+Z30liTvS0mA0aKJBiRezt/bT5vR8XGNKTctK++zZWboU2oVwkXiykv1BhKUnPrRNpxkVWlwpZrAGaobOUN1w57osYz6cULbE9qWYK9eXq9I2BhaSObTB2Gk3zDMdxjbF0l9maxzD8f82/ZZu9NCQ0AF18D+ff5sClUTVp5zWOmrGWvqOKkc65UcC3mYkEEzHnALI3nikks+LaknpDVoDkqG3UZ6rkaK7ut/RL3QIIL7HpocALMUkTzwPq1VZlZQSvapLqG9RJ1k7/fVSVQRsSnWVhkHx4+sn8s1EMkH5mxZjwFfJ+0/JFXWwovvgK6d2Eq2vv91BE1a3MvVIBIt9eNYzDgHitR0IDKy7sL9ueRbacaUMUWnzALup74WJ0mz2Ew4VVKwa7Om8o3r9HFmbKJ3Sr5ENpfpUcHYsS8WN0ls+Vr/Wlq+yqoWFJ/pGfI2sVlrbJpW3nZ1U7TWsx8VtZkvlrMn7zWlT6CZq077TafdfXcVWPkqbMkG7JuhCRF9l8/L2NicN7o4uLAVtg2x4iNh8IDwZIbWKeCOYePcm5x1QcIzrBhJ2tgbR59Mr7o3HKaWeRIjqG7YFj2PInHf4LDRsYrskBW4Hc/1Y571lxKvDT3hB05kCBFhmDgacbfgJ63tYAAUfCvcIHBOVDNHi245vvWQP5yWWrnDZGZCWoKPJTtgV32FeKslKEK1dYpQsZRrV5cSlYpxbEIuZ5m71wc6UZrwacv5BvOeS5M6/MLxebT6kL6XE6fP8fto5ms8X1CesBsqaTCsVAciEe1zOatVC2f09ZwW7ztGvD0iQ1WLxPPOa64wC65LHgrgI1ZOpymzVzxUuwBaz+iOAjL4TxNpIaEBnL2h//HA+YlbOQ5hzKEfyo0nEPQFgIYqaBHykug7Bac7/Cc+OTeSDyEvITA4AfXlekXXb4Ac3xSN1wWmPn9B4jxKb3sheuNUDsM+9DGC5e9KeA4tSjnBRdv6eoIqugtfZlJrPInU+Gcu+c8Fm8kKkug8ptrB9ph4JpEl1q1GXit5Q1PWnJhugmQnjlOlfGBxeHcTMM70fqlRQvwBWON93zkiRvE3zxtx+sqxU21U66SPCoZDbm+vnAOGg01vNC+W6ERou7VCw+aumTvp3XJvmhjNr6+Sl+/XVxkmD6nwJzmsdR4CWT8bApT6O6hBc9K3pXFzXxMilflIEc9H7/F6Au+vJCgS/SOMD1ACM249YVDdfXG7z0iRmkuUF+MOSMpgNNoA4Ar2luQBWl/Ik9j8s/6VNP/sqGu9RTzjERSyhGzteR9H0PNHo8UUazwLH3jSXgJWkg04SXaJkWSZj2SFjSCJ+uOYDIkMA0QJLA/tEH1l8pF5pGC17ejXSWzpWW98LUqmWeqCxjUKspY5WeMfgDXnf1cq7zz1yoapn0QX2UlXib2XELEt1+mvWpnh7kzGp2z3UvbvcmX+M7w8yQNoOlXmOZx37wBeMVds5Er1lBSV4B7x9dBX4/ft5crllPR4QUqn7EXKIjeZcsDiilbF9EHeuVjMrcAu6ZjyT9mI6kYaFKEpZ0s0Trwl6zzrUAEcdo7OJPzPlwkr8eLzUpeKuVL5IKRElPTFZDrkNNws3hklJXHBVBO8NMvKQfAa2vni3oGZolMqOenJyJCnnw36dGaaOm+nCKqi/4qh/0olJrVtz9b/hD4ym8ujXObocsUb2TUUdUOIgLkt+z+4N7jqDGK9c0KpCDoXqNAihm44uQeINWj0Uq2TZDWeNV/6k3MRWYo+VVSWqCrCtWVIR57LXnpTdaiio9u5+Mm49wucMc63TnRgBfGkFcbeA+/DoaJCyVicNEMnslivXJzk2q1uLxvSQMxIGSUTNfxde/sbBHF45AbcdDa5AfyOmRxPiF9pUvewSOyzxUPmk4PQM35sSUO7UJgVicowVsxHh5MAzghAk0QRrU/onuEhek2LjXYCpKq5TrlcDpCMTr3Pw/7ESZ/+nFFUJKdWq5WL+6UyHHgGDWnGaEjO4enPgpNEfy0GLuS3PiEClOSQpVUU/7N0F6Ll+YSupUwHpOuT8kPP4LTi4/GcueQFMSDJ+um9e527aB2+b71tA7WWCwhqTd1AgPi6Y8FcpLPGuzFW9A+cvRJDMIz4kZLS7BtDCkJdimWcLpl4WedNr4OCiHvRAM7O2+1jp1LMV/bSbgbeZZAnVzpdHL1Bl8Y+0GPvSbdsXeDxNp+alQV2W/1ZVTIftUkfuccKDfiA6wyweWgaPhPEYibKQ6RH9OdJ+8u5KwG8ltSsoLaKF5g7b/FuEXkpwdDLAC8m4E/QBJXKeaxoHArmFWg8hxNoAU4vR/ehF9i7rjy6XiqiiLAIe5tV1Mtu1vkRxaNgvEPN/ydmlcc9P82dYr6mR4f254NRNMNvl4+M+isHnzkT4pRX6NQUBR0LCJ9PCVGnHMfYGcrkzQFnVlusIft27A5cIsbT44w6wYuN8OW2vV7dI770PnLrPp14S86nEvg1jUy5/muoMPDG9qVVlpZrKGiYJXGnm5F76xv8QbsCjFuxzBQVeMQ1nO/GroP4QzWBkIFj+XIaQQFp8Ud3lL+lczbnOFVe6jzmC3cU9MX0XRK8KYBePHL1BMjm10W5WKri2EhDcZiwqMnQszoGxxhxwZC0mWZ6bOpNZl6+libA1pGlVoRaTTtlFj1I0X5FaUAOr2Jv9QIocYV/5JeGCNk5vjHpFoMsLw4vwv3Ct4lGyLwjVkwXysQFpnf0FnShIZE5o9XwULItefICC+0KPmTsonmE4TMrHpUn8YCmiDiC4j8SGsqkLPqkXMYUzI1cc42eUPdwAgDQnpQ/2ruqJo1YUgVpCi02EzgmvyF6uf2ZYYD544zgy4QOksHCBm4EnSZbTZIKEuV8Wz1uAAk0nlTcM0dpX38gXUj+NZGm6r5cqJXMUdqTC42i0KIPnxGNla0NYummipRRDIVnqA048yQeoq3QxVX54D760N+xUnwsFzMm7JD8lnb2RBvA2j6INgXQu/SMkw7N2YPa4zHvhSBeSLtmN7Gea1NRT3LM/e/px1ukWv+P867Xu3CqxSJXeO9Gh+I40t02/OvAxDWEEddJeyw2Ai6HKls9LURG6g5RB2dKS8a2OSN4dT5Q61ACFlj5pMzl/z69xcf6a64cv1DhC/+TrE67NzeGYYqWORGNUFrUp1tHp8fSj/V6MRwNzLeMLloSFPqFaPFW8S5FFfVD1CQPglwX1VvNQ9gwhBSKPKO8/FI+gGwPIQk6B10Ume3hjsKAX5rdG+8TJG63dXb0+lyL+rNy/ZR4xd9TDNvNUJ+TcX6VspM1yiWsLUcJoPuPBVkqpHRMyFIdO21iybXW66zz9nU2UakceTdB/4WILioiU2DwRQTRgYKessT6c8tcXwsKVY9EXr2oZR5pNga3VYtEC9o4sjCdQcFjbUZ1H6TgXbiCSI7rMab/gPbgAmmbD4tEEgVy8lXYMB4wPKtbyYbc/wrp0ChlaG9WsKZGSU+3ZggIPgfvyJO5EvO0qzAfUZrg2g+tFh0aBC2OlLBWgY4hFthYxddcxFdeLH9zyKqJh6wSOWSSKDDwPmWd6B1bnLweG01e7oabEzi3C3hAh6ZeQQoPX+KQ8RnjRd7loB1o9a0cNPExfiXnbBg6ZmcTHSPIhoEgpamlNbCVYUTO2FC6qXmjGz6zCFvSfuCMTT7y2USbhxx3CXd9AapjTjkZhzwmyjcFnUWpXFEzLcVmE8hVvHKm+7S6sRnXF1Voqs4gRsvqMr1cI/x2qP6Ue1uOuUI4Qrm1XSkXNUi4Y66Bm061CXpBqugAST+MCDZgJKdS5YDmftztZaLkzi6fMJm/4ZzLay6R6E+wES9E0mXnc9iUdmrO6Ho3YUJmRjiEEC1tFRb8hp6YDyy2TFj+yIEdTBTbQykwToBCSLsfIT0JYiBh8xS96L//h74N7PbY6eA+gIt+HxbXQYQ+y9jmG28GRTKM6f72de6ymyO7MEdTzAjNi/EHHm/SvY5ULzOlkYd/Leqf2mVXaTqifjISOhlR5nDgufT+hS9koRohP1SADfWAGPhH1t1H7liP8PXiFoyBxZUn9qpSlpNOrbVcwwbrcJ7KBCD69itYNP0aN0H1QlDTigTrC0dMPcG6Tdm0a4nIXAeIIHRcggPtcaXboyyX3sBvuAHq8kQ9rLwU4tGkQdER+y2kOL4xx48WxCitcgInwMP45KT3iq5XrlfqmQNBI7aKhAggwdoehBhcM8ifBiZknyyTg/BhEYL+9dUTFuTXVwIViKtyqrTa6ccW8RwAidqGk/C5ec6bNu37eIAGqh3mUANuBw/VmBV95jpXw3GM4f0r5MoX3b68pbe3Wn6StxfciItfaFUF6BCNHRCVl544qEWF8y7L/5TVKZw6VdR841Tjm1PKfMXb545mzCke8GbNp1Mp9of6g5GUm8Rrl+zv9S7gBMdg2OHbm0D6TJzzM+e09sGpnDSyRjKk3QAHXhRV/UBzR7Us0SBXvKCjNuaibe7onf139L/iC+ycT3C+7uJ3NXGH11xYxu2LuGOKLDYJ7gsyDr7R5lErHLTqQt/knT0PJGSRDoLIxVKuQ7LxsGUEIyji7HTJbxroAmh54Yfcn8IBI+c7yLnFJNJKwvIR499NR7QYbn828X2TioePTMtpIq/HTLjji5Ve16iomDcDpRKXWJW9YYzCmS3WNWuT5EZNdG3GPZsHK5gXcp0mkZWMewaxViLnxQ6bqmHAuFBlVnjNpRKpwgPLAWUkXBNk1HishcTM3OlUbUszefcaCDwkS/mcBo+EtNVVoTF8msCcdsx2pSGHjbgzTkb4oHXnbphgyYydcsPqpU1KdyMfGKGw7IMMNZ5Mf0nX45vFuB8kkiW4HktcBi4Tp49VYwIXw9KQyJ7x+pkVx8oBkvd5Psri83yU5SVvwApaXO0DjLn8yrmlC5X8dPzv5QNcMs1iHghWfrWChmzKgPiDsl7hW1axCek185g7jpM0aFcWrBJAzV3iWH1S86495VoSU5BulXFfATGb16w23bGmHNtl6YPK42BUsHu0BMzJr2Fl1B491UqNnwsyi2eUg0du6M9JQV/M5Rr3fKWtn3zyzCnPp+KWFm3Zox+0M2K5axiUrggnrXDJBC4QP2U+F+LT/rJ6l3darAcKrzGJlSon4ownWH5JF2DrxTwcG5sgCNyQGPgSnq8leut4uQd3hDYL29DWdDFfQV9qQv8/+tpAXyFiEtS5TyozlRBcJgWTfbqCGL4qZ1LHu4W+CvdKiNoHGm9kEW63gchCvUYPy8Q2N57iZV528AK0xm+Mk9nXRWXZGBFFyCfJ3WoIMOp7WDaxK1ua2OXSShP7ABDBtyMvR7ZKP6DhqbHMSGl64w3an532WLwyWadU/HhL1Fcj9YBtMsBIlorv3+La+7e4ltHs48CfGuTXzJd8w36wuX+gnR0xnnnKm6zn1RZzghUsi3gcITBjFEdNYbkTiwxbzFrDAjd5+KTMJSdt1OJtrGTF8x14/ZGrXZBn3g1R67lj0pmQRxo3puV3oOLRMQQUXPVz/f+lOO2Y4pRsQXNhCgwG4XbRA+mko1TVpgM3uX+MpHVksvolPrVMVtwUgtEF9DDSMaYBTmajwQNZFdwiTxLrg2uaF5K1Rx6PQt8SNKqUDlb0AXMB/qDMHyw7AHgsB2xiFeskvY7bdjaaP1Ws79PlCz4G9lKDL2EK5tJekS/ZLzOmrT54r6E37ReledaMh1zA8Mz3GyXzQ9lJm6yX4K4k5wPHjdgrro38QFY4dOoh870oRw04acw7HqvkMF1bjP9ajGpTHyjVTVEXguxoXxwJs0iQwyYYsJyygQ5hfFydmuJ23jljrBsns2FUPDPtSurHJmTNmKYyG/PlQVbFfplTwcLwMhCeIr3ZzkzlhW0cSDzejEISz5eOJLEpjq2Q/L4naynFVPaUeUvUCd+SfjlgjaJv0NCsdWtrgsJYX+AYjDeciUvxaRAksnuoQdKm9dz07myQi/tFiUwYShRCmltgukG+lB1E8C1LQdAkpNuLtIEdqbESLr4X14e+h/meFSw2FQtpBEq0aTkqtZz8u2+OQ8X8UDX5WhXzQzVkQly+L2jWbylnwQToFO6Dy+9DEeTLaF10PwXgPgOULLlSTkmNWtzvlMe14k1Np8gvW3CdvJ3vlr4UAOqEXSa0kdJ8I+oliTpGdiHktLJAy/R0H4qZJsOvbnzhC9KWoYWAbS4zycxqN08l6tWpxN08ldzSHdX4hRo7gkIX6v/+nqFusrBgT4LEboElNHOFtZpkzJhKLv0bY2qhmBZ89UwZM6NMiLbtz6XTnLE1vpvPFl5AIjYZMKZsSE0usXNuzlFiJgKljxleHolTaBwvRY7KlO/FfnPH5hRmlawdz+0Lu3YldKn9zKx5nGpGNY1bUgj9gM1xGFVXxB0Hy2T92JMg1YNURJpb3wT+I4+duUOfjVUyANk+DfVlN86gPmBW6dQQhxBk5ODra5fE1DSr6ODOjNqRnllDmdmWnTHptNZ2DG07Nz6Sxsqkm9+GDTQ6uL1oXN3UO4mFbGzwsc1203A7qwIkG/ms1SoHMIYZsoAkP0dVpO8qbrNqqpT7SZcJn1j57+/Pwp7S6uuuR/eBy+ughex2EvgQbToO2+88MWhzAKBqTUfqQNye+kVJZ8pGKTJRYkDiSrOStxAh2q+LOP/3ebhAYWqghKytZMtdjCyrYaWitnvqRRjzSp5sXvM782QnbdVvVjvkBmIa4vFVdiKmmL2Nhq7LmXhkhUkFbsMk/v0Sq/gHHN+EExpkxcoBQ7rjaNifb3L3VbfNqKlH3H3daBlReh1BZw7iDtgD7TuHhpNQLP+xgPBY9wxa+BEaEt/eOWSbD217F/7mgEsPmoHJJC53NZy+Xv/fv18B5fYeycTkHCcdtqn+b8zA+SMqIJdcaR0BaA1sD8bzj2SclnPtD8dHudOfc29+ztGJTFt/Dbt5pHM7546E8jR5xQAjQja+M19chxibc7Sw2FUk2A/UF7BCQtqD+sAY10J1gRtG82ahtXn527y67srGv2fcDyWTs1E2uRo1U0lWL0mOhjR4DrvrzibKyWxTKCtvQtbyMnfKOy3llaIHg0HBOOBncRHItacAt+ujU8iTWYyQV+NPuN9swPaCEE9CdaWimjwtFOb8uigWr/fE+a+JzU2T+p+1M/6zI9n/qZI+NmW9G9uz+OBcIEXWVH4GA7t3HzEwzT3OOz/K4iLNlKaWzHsUo9O5GC1888TL7pFTqjXypf1m4nfU142Zu17kS3vVfKPWXDuJ5W+VS/v52v5W3zLO4vC3y418vZr87TeouE144V6JvqImnLrupKU8KBO0CN3pAfuVlo5loAM+o2aPxe/OOby29yFvMEKPyfFtFbbRnOygVDPvdJEejS0OKkileZcWkYovJJK6LLALIsA4EPB+Cy/fxpQp9fLZ87uCe/jbufV60WNuOwoYhXrdhpPaG3KfARrKY5Bvd/YxY7yySvUPd498m+Dy2fIEOX6sQnBOslTSTMY+em323SkwJNeUUsacZdW4f60a969Vc0tfifnXqrl6/I69+IX9+IVG/EKpGH9qqfTv77Zbyx3pcFpdjrXQbEL5zNBoPEaVyajPT/MgljJDOd9Aox23oVpHOb+miGUVvw/VtMxtX0UnddE5PmzTTUftk+MP7c4v9BIRBsdnvXbnrNU7Pj9rnTh023nnuPdLupNxMM++F2KYjkHjezC64ejaIQWKIXb0cTocP1Jb4aSrGVNfirai7mDYZxTR1NNtDpGU9OBbVuSMGpMg8AW6emBywPjhv5MbaxPVxDV5pogI1HZ8PuFJHKzefQVGeOJuo71jZGertLMBJMHL7lmoppQjlJMQzNED29hE9AtYUxa6ejFHsCXHbVV4nsZYDSSEQuLnJHRSK1ZE1AbUoF0A2X/hfqK7IRsB7WsjbWEX2bUHzXfAiFHcXVrKpPL/K91cfS8kVM2iumP/gUVbWoqmgBQCz8wnG5HDds2dlFlQVOit2+ZwseFaKzhO+2TgivG6zD2jiWOckvdF2GUzOFyghB8vz1GVt1ZdIA6ZCvFGrQeOKLei0WZtpoYoq9mAExjlUjRK6QjBGyH6olEMcShGOoZPiA29ICO1NZbS52+Ta6q2bSZafU2xl4wLbJDVzswBghlRZKUb9JRtypquyFfCrY9GU9QEsxSe0rZPIVW11e7CeSJfQzQ1GjRtt49T/77OqHKj6LwmrWwMf+3o0yBwQZmKr8OWdUGRZV2r1YolnMOYC+r8TD1QmgoXdTxpUtyWric9DEm5cBfuR+t3Kj/F79QUSTKXKk9/mZyUEI57Z0JZIaPH1EOto7JmzK/VTEyGa/4/b9fv7+06bLG3q73O2xX3ZHHKpJ4ATYOS827SNEyWTMYgPeOLD5PZR5f7Mcf9T/qoW28eClpHCXAwm0wHpjsYcpTChjYHPujtoomYoAibrimBmGPbdI8zM41bQcnfclEUX3MCujA35TCKdoAuz7InloUpBiI4LCegPU6lWWlfmWXcYRXNbI44lUIsWNcqyDqGqFrPlBGzMiAsy1ktNPtN6ftslnOPbT1YfybVCZHxyQIqzGTgp1QvvtDU9p5MNprxiqzwySo2cO9+XCoJ2cLxcUkjFCfHOr/Hdl4NpTLOSxTzIIEdoik79Fy0uAl4Vjh5l3g3HcLFVD+wLCtLh2Q+5OrBIaMI5JbZaDqJbO/APYfzzBqfRi3qS6jFfRo1LQ0LXaj+31ErFt5UKRYTgAx3LKfm5/bpBYy1EAORVAEjztKH7bPuZTejcm2MRgZExnG6EJ3RPmRCC0j8LpXLOWeQEOkF1/rRQzNOLpfKGr5joC2JGIR9SOz3P8rZWrEI7Td+6x1uRfxaqsVnwLEtcGfWyczldmkYjYZ0gy/W0S0xztA092PFiWQEEtEBjZ0aEKqBJ8HksssCJ0gKZdMRyLxqUhhsnCi7k556bGowUMUzGVpKHObuyJrEv49XwvLiZKpaQVKIrsNMUWiceZRqEUPRX+3qBpLYulKXt2YV7fFQ1qr8O27e14/oo7oBw7H43AVqnsAi7vS2FTuZji9qdgmmNnpgw78nncPMepZjCg8Z+wvKICqqYE0lJyCo+p8NVH5S9eEmTaqyWUcGma14CCcscfn1cgHaCe/ut+pKivgUkAK10qWQT9lOrkZZYmFK37occ2pKp4oXIlqXZevC6J7BKaADgKp7i5m06jBgw1mv/D20LAkupQU2IOwIIjWhXcBWYcmPLwomIyljVK+VmpcEVS+Mo2Y0ub2NJhOxww/picHriK7GyHff5Iuob+uLqKypiluXV9SfTIeq9alfFKBQbC76zok3viUiKBD5D/jfd3KL8CipBQ1K/D9/LU6GywhajCSw25SUJFSXi268WChquuOGE6QDWm9WuJqtKo+MFbhYNSWVuO5AKwvMxeR70pokJzvo6wbSjj3asm7UcCJ/zDe7x91DhrS2Pns304J4EoQdrfMgSL989OaZVEJlE0dOiVRPf85dXuR++qmbOwG+pwBP1MlwHEQszuRQalp5urFT43al1Lby8Q/55a26I3MLTai079CEKvRXhaRe1sgTk06Ioxiz6uQNYhyZHZOyD6biE9pH/vWd8Ho/n1R8iGJn03YsNITMCwaGlSdtWdaBWXHrcxHQeiQYhgWbVGY/oE43jYo2YtcnaMuTcf6bJ/4/mHf093eR39fAYMRCrfW4rVP/N4TCTYhFKLWrwigt8qx+wBt9sIp1GFrXVNDS/0/el3C3cSRp/pWa3u0GMAYgAAQvcG0vRdI2x7qGlOyeXs/zKwJFsloggEEBouh589834ouIzKwDICjJOux505ZEAlWZGUfG+UWlcm5HwruSSkVmQGgrMtIiYXjb3XrLgmDzGwNJYZsW2h1G123C6KChom8GPoWpAoTLNIRDqp2jr7SnbHlzw44NLILj5Yz4TEKnJ6OUp5ON6DpCqUWA3q0dgHJp+l4iUtFQXrrydvScDIKreMZ95ly+MMCtkivSk4iRdr+7/amwssiwkYEkloCkCa6iTMkSeMCCnH+KMv+c6fgBWEPbR1bzgxP+woXgmgOENb7AZN+HPLhKOaq+SYNDi+pWCp73FbkMoHGfRbdbsui2yhbdlo1xchadBLdG0+FS+t+0knDgooXTuWbR1Ouwj3Ke5LVVqxmQF+L7KPrODT2LFggBbrX6kce7mLHgas79yVS6NMe51QCzHdYg+nz3oqzCEnyE7zySZUd1NQy/CWG/6OffRD9xjys+C/74GYVHvhqPBxe5pR2T2I9pSaSDZFKi9PTg9UgdzbXtJXz5PiNQ37g0eDPXYQoSrkV548WHKG/fP5ZS1BaX4re6j117+urKCAmOVzVku84npafjXekU6Hb7VuBWQZ1UtC5wQASqomAJrSOf6HY7T9Q1u3+1f5uNOa02u4v+8eKJNePTcT/JIXxEZPWmY2UCEvFMdQGrYrMTsdy6fGQrEihGOdb9RgCqYVzJkTjNBYNPapn8yuC/8I/vyDt7EdPyr6d8I9SuF4tZNnj06Pb2Fkifl8koedumy+yR7ZhxxYbE/QmPYCMmeJM8Ov9BJg90e/0Arbyhvl+eBOYujyynwi8WczXOkp0+Hx/pX8WQQ92tsAREkWiOideG32p95R/QlPSnSswqUG3dbeWcnH0ZyuSGIGzdPflWtNXeafXbRMRmdM9HH81Gl/RxUioHIcEH0fZ2i+fQ3Ag797r8t/oFDw0GoIoMGuYJIMQ+wW3TWxeH393U8mQ92//L72V/niXM9h9nGMMrm33WLmjZ+7X2hxB7r/nF5RPdkwVirj/gD+Y1cYjVbIEEp4bbq/lKjTwLc63RCbgRSahbTqjfT0FAhItKYROFENWN67t7za3dnUDLHMgMhA79amurubPXb1hDPOs/eqq7y9NM6u9l+4JGlbSgVLXghIMOs3E8THgJLEWxKSE56r58OjesI9iJrp8Z5yPPNXBMbEwRGJd4we/FDu/EDexdMytYcFDaRiq5Qa+lB3LDbo/U435zd2dvFXcI6UBNFqzcSWTwiSb3iz58RhN4VFOEdlRexucc7OWGah5OpSJteNuG8EIaOQ+vnH1GHsZK3ntmJqf4R5fpJDkIJ31MXM5CosreddbxGzINYogGGb7TLxAHnw9TxNkPEfxdaxWqHJptyPi+Hnl/S6YWyANeLi+ScqWIIfGLKfry1eOTVu9xM2DFFeN4GoGxCdlg3mytk6AUiVvm2s5eIEXK2gwgR+xG9+AcTd5/lefxcQWaf3/LbDtOEqB4sw7hlmPo7vVbvf5exAn70ILYoZ8Q8z9WLCHnT0t+4Trlvle1oHlC6DYKQzjjMBwn8cTJgBYDso7zc16YQq/OnrRQsytU5WKYTEit8ETxRImL2aVoW8FI0xi6QL4rbwFs/g19VadUOXNMWYVO0U0sHWys2N5BdZmiEmwff8bi6fXYfnNCvLPFBlhgoWlG3c0w4PAqU18MJTyoxRNyOToaEUFnU1Ye3MlFtmmc8oycAzli90tNyxTHFIBUOjEFmMLLSTt6wRiFUs2ULnJGbX6QnLaOzZOW+uUFnbNTqXP69+qcvophCzFs0zHzhJWlqpndh6iZs52Bp7oG7NzxXevOLzjqju0XbLkgrLWJZn8/o+5gDU8K64jG77c7GirgG2e92vBGyztz8UHIwlvt/SBMwXXdM2kj47IaN8edlritH9vhxb7HDIyt/Z0kSfrdxsCrClnK6iEY8Ww2RoJtGj07+dkDGJX0QiZgZOlbui82EK/F/O5hIyz2NswkdtcNLM40pSaptMagWETLLQ7idY2QR9So7b+it4xjLXH06jxnn9ae/YdhgwBmU4HoTs+fowwTgFeXbFWwZfu5VjEXUowHSBehqLmZr12taG+fFdvb3dDk/NEiim2BLY63a/te5tD5Bc3PHUTlyNkTVrgR3cnEYIUXrPmm3BAblLBaaKzQph0Wqh4U0oZqOmu5nSh0rUg9evr3YpDszLhLw/9IKOBRxmMRJgSRKZfIQJwc7kZQ2KflYbFCA7naEoTctLIik3ICtk+4UlULTaWkAARjqUXxRc7PulomKLDIR9+8zc449S9P6OTPTr4/ff6s5sWkjgr0fxW1HDDGv5KCDxraQwFKM8hQOzphBhnYaMCuK5YTvN+FjpfSylpjXGx+oGdQJca+Q0qeJ4bInM3a2vF3NZiDEFwZy+Q/yF+DKLtyDv017uiDqEbUrYmNpd4u8QLflJlWkdM3HCOOpsAaUWzyN2mWXnBFPGplwIJ+VJ/0eOgMNNgeAC5PbVCbDH0sBdueTG9/r6LW1bGqQkPqXjGPulesGd0r9sHutbaLP9gpfmX3D1dmuno44u3UtKH4okx7c+reoiz6Opx0plnVvDxG/1oL4QXZMSKlmWavgzjJvEoPVQto0EyuoPpgfb4L6fVj+R1pDZFBFnffjkeXpQj3z8zILkfqpcwPfsQt2UL8J50wCL5/rzwvDktj82/VtHDsemZQjxHntZ/bHC1Kfy9Lxi9bagQqlBpXPel9HmtZrcT3SCkwei0uXANAstuz7mHtdB2++RgllTVWluaNI+WH3DDUTNjZKOnCcbzwuNyNj5T1DXpd/SFy84w/q6Ca0HbOY7HcXkutSRcJz6njZ231Wgm+4EshD79/RYd/SBZoRqtlm4VxnR4fPaOfPo7/GdNRjlPihUka84/Pyz+OzpdkmR0dPqVfHcU3dNleEwse/fCC/32dxrPYW9lsbzTy4JtpTkSmQQJHpK3C4PN3CniW6wrl0kR7hmWor1DYDNNwYxZilvaogdly/iZVkDfhrS8y3+2nsJZMzWaFBZ4X9K2eyXglq6BOiLtTW+WmVfpVQyjJIcCylpQYWWjA5iLPoluBhMMddx1SY0fs+5rxp4aXxWM4SDOXFjzSXIH1c19Gff/DQIk5n0bWZZjJKO6svVJI4l6LTO8FGI62W8fmAF71b4dPmtGzJyeNGhwfMWqTtzHb6tJ4zdeRfDn7QvwYZbw8gx1/V3JC7nU8So7DRmBOlZDlHsr6tR/kt2VU8XcomdI5shSMcT8fNdfmhb0+ctfeL385/u6XvxD5JrWFM/xJVsCV0eY84S90N8tSp0yttkCPoEwWv6v9WcA/2S/an/ufYJxV71O0KNkQaOEtZxm+K0eQb5kOU1OKG3MErstbukWuolqOqeAnjXQsk1yLOqeH47bzpcyk9uV80Doc1yWifyS759VkzvVEHDxkR2+UZOkVX8W37eixQrqLUiGn+r4rK3d8iMDTPuWotcFzOUQq7/i7ICYPM8IdjNHyQZrbWw7iRapnaocP5A7tXCUPda5dClP/ktzKa/mJ31+k6REepT9qkBoAPHeCvnpxD4lluIREXPLUVTPO0V9iLBsRnO2X+b2DhWTWzAbmwdbWmsCnMw5ct3umk+ClxkJC+SNmuLOT8+dPfjo5jr57fhZxjMMaAcTHUmBjxvPTRz3SJnlSMpecSx6yeZuxVoELh/v9swFwkHmXUoTAmQoPK9xY33PxZDp9bdPUN4EMsPNVoMB4BBFkkF86nTndbisaFoq9B9ma5oOXjmqmO515waoTmB1GlZskniBKV+PCpPEbDo3Jd+sB8Axtv8XbR2U+DklKcE4LtLZnCIn/XivaJ49X8BKtsykzPMjXbj6YjUjluaFLtExIUOkB5VEPLL619qc3WLqdnH1CVO4Vf/AnMFi+Q9+VmugeklTb9RwUm/JBM9BNQcjr2fOX0dHzZ9+dfv/q7OQYURVi+bucsnJ36MfjMhEmUUC1TKcA27s0hqsJ1IYaTAWQoJLIyNYdMNfzCUp9nRrh3+hNEpyUhVxqz386OTs7PT4+4XjKyx9Oz6PzH05fPD159tJHMZzSkySg3QesQib3iP7RYY32Q19vScyDKYRzQL9WRmuQkDdHCnnsYOa+/pHsuudc3VBsfl7Fa8EBrmCzC7ILRxtx1NFhyFFtgyA3GF8/r7FIAHkzpjvfXCDgtPpd/IbvH9PhcwCOK0WWM8Xwk13I6CiOADiqTSv4R/Q2xzyR7R19mRBqODMLt8YTuv7s7g12m7u+7Y5+b2J/KPXh+UQPTLGGiMLHh8BvVwpxpFpXvUbCAWtauu/VN3CwMrHt5j5LtLupJboOWMzhiRlQ0ZgMq+WMTOSrK9Q7MIV2WqP0irYoIEYWJ3exmmCEChLsiykMlfnnn2D3MynvhXI6QKEKXmVHhch0/rgqBvoBna6o8jSrxEnKus9zVVqU+gaXYFYq8ciTCSYJWNiK3J9FKrWAUX3vqwg0ywLcrqJV+ESeLC1MQtsDG8iAGV9R7eiwOOKVpHdP2cHOoc6d8nbp7TBsqaFdiRfNHvw18jk+u/u+GVPtJuZSP0nESvdk431Nwj8BPq9BOS2EsRXFyYg5rbqhJSnI2SZjFKmAor/ukz7gEDUXLvBj9ddseaSTLJm7bxA34EU+29gKJWhm16yI1rTI0rWgFmgMIAGo05BdfcLUwBXy45lZmq655kkgefxCVHXbESg0/QUrPtqKypHEeGgv/fZOr93rMEYa8c6jbBYzeC/nmZ7/eGAxefybTrw45ud3A6p5OFFXkPOgSMp7yGjYmlq/Qp61BxBeS7911Mq+zPCWEEFpUCJB0Nt5HxGElQuEcKgByrawmz2wIP9iz7hV3wPlLRTSKwqAQpxi96XDfF9P6K7kAuYphKEKd+Q+c6S3oTkigKjOHJH73a53RDwkhicplUERoLO2193vRk+mjDOfDrPoeN6scTVjZj3iGblvHFC9uYk/sf1hMapz95VvCrspmwv6mkfu6cGRqF1YNBIKB+TgCedS0BLNuM1vCSE8YEMVtaFcKg0rPWgAzXRgfVD7UES/qDr9zyCQ0/vD4UOsrEnKyUstC9ijwAdW64+rrUpo/PA04xQITdNUVU4uJCm7iALyfKqOrjbgGLHenO5YuWw5CdGeXhYLxxU/7JQ+5/tp5fEExIOB9i5H4pG88gcS1c9LmpGrQLjAiLb9M9lDpJaypBn9I0nGqJw9jfr7/R1rQLNsvUMPyKDV9R54QkvqVi5HFRa33XOmTbBJ3qMsP+70tvboCiaf+Kdufx89SLOsuFvs89Y21eYT6z7i//aiuts+Z/jIa3rtS1RQqgzQNtG7B/yOXS05my6RBhOy0Rs5+9l4UFm+cNwmxStrslPfROoMA/eCx4XXnA1ovU0XRMHXwifxhR98qbM4p5Pkc0owHUTZyjzSd6waMBJdmH5QQnD2BhZDNnebhtGcA2j+KrKzWpFHKlSp15H4ymZjLnG0Jo6GhSTnxUL4qrgAkwFrTiEkmLg1Rg9aQAn+AECOL6fDZRbxjNLM2+/2iGI1S468Gp4iVmYDsRsUcKOOCx+S57LxSB/puaw5ov9IuWYaCXCvXkxn+PDVdMVyPnU1dTc/M6hbnNrdLU7t7handndtavcfOpqA4tNAgIwv6uvlqBfKUaMpGoE51ksSrihmv4n1OwdcKdzYk/Z+gRcsMqVx7EdKbaw4iGa4oxW7sQys29ZBaTOC381V2xVb+oLqTt+fU+4/zhxzVB8kCZgd5FqnduO5sv01gJkAQGYDhqz1GdzreDif8hATwZSqaa+JZi9yY8V9zxQ33OYx3QN4oi/hqi0MKWaEQmwfT+FWC8cbXFysNG74O/Yx8Le+ic6rznCza3fT+5V81st0fqNAtUwcEoOplH6QmKJgXNIfjARf48FZxFFKj2KjlnRQHU/9NMg1vMCcKV1r+tl49M8lwu53OBp614vXV9H/itJL7Wtr14xxNmKa2IBFF4ykN2dsslIPXY4DhYFsTM4VX9WAblB8Jt8qxdbuEPfNvRf46e96cxeu4eI8wG7/z4AnievImAp4SIF8NZ0w1c6rNZKvO1gE/NvajHVbm3EtKvRdtylL0mAzHmYdjkrXO2ve86oOJaOCoiKxLi6qA5totxY2wHO8rOgSkMpcX0pXhKxSjNzeRzIcNiPFxyGAzuTa7PrhCpM1VPgijZTPQC5UQ88VVdW51w+nkBA4R5SDYO2jNGPcFl6h5ALkfOPokm0FgeThXkEvS8uZ9ORxX73dgXPB8J44NEjSkukNQ9VEhZ6YC1pMnb9bk1nOaAPXwRbnDJ8ikzezmt2kbnwsDyOcZjfJIh264uDc/Vs+DjQCOTSwf04v7jP1tj8IkqaN/AaQEiAy0LfnRizCpvrh5PDYQdEEIBNaIHMZjxFpYrAGC2+9kEaZNSiY+wwvAs4qIEYZyiHWBMFgpH71uBfcMu3QLVZAVWaFSePdff3LficoX+hVli/o/nxUT+cSIyrhMBxz/TcM8jNKRTXznLJo++1bSWFOeCbi2B9uwdSSc82jjPx3Ovqf8lF/O3t99XU3an3DRGnqHGnuq+SnKnKkxwYBXhB9ttfp5CdDizpoRyeMffooD37qwNWQVZFB1TNSC6Qo73hWwnARnS/m6XDxFKnTiSZM3wg8WeM+G2pjHPAttO3hzKrQGv8b5/Rs+j9F+6rqMIX49xxnVH/ba6xGfNGv23lu9OGAABVm3x+pPHeT9MfzouAX8LAYVMdhuQqAG9zkdxSPgnSs0lKV4tL0QFGr3uubzr2kfLrUUv5g7zu9zeTBn5+/FT7IIebk6f5j/KwssGei1q3nh7g6wPUNwAjVqODYcAhi17uHKvu9dVTpd/pRHUfUdADDHUYr406khun44hXgv99DFQwRF6By+StBoehwcdkMe5Qnif8RSCWp7Isk08EnL5597+5K4IxMWPdLJD/z9akOZhrBURtIrKUPAkzHmwsAunHBFeDaKnjFy3e96nIijmi8R1JttN27GPZ2LrnQlCmG8tDWMJ0Pl5oBKSJdGY4x+RYxT6Ie6zfDQfC8Uw5K0BbbPO3zjBED47HAoCUKWL1x7mzT4Tj9fAFLyfQcADAb2UjWNct5EngN8/jWPIdzV45/iyp4dGrCUAS7/EskBzyg7fX+wBN31w6+zjeQ15/+3c3e3d7e7nX2ur2tfgm0AH2YR9X4WC+K+FgPm8F7EFVM4D1wQUhLKGrzWdO3NAicSXIjCGQhpKltLhyr+qDJr1Jh7D7IaCzSAn/SenHosD8FvoS4O9b52NCj21slo/2QYRdI4q1dx2FaihPnUUktoMoeCtEI3hy0HnhYu1yrg6EPYn3RpOqlTziEOeEFyFFpdT8/yp2ADOVix+b+UOT66iSAnSs0YUcpFAz5eudA5R8p8igdtC15WrETnugnfc5Alp5eXhY1I7RXCHTLvfFThkADFdsVnj0/D7x3Ie0So+lvjPOfcoOVC2SjtQlRfg3GgHhNDPvgdyL/nqvJbJog4tc/omdFtKubnsjXvrj3/DaX5mad/jCW1itArngSSQUZy/eHq+UjlfgzRb3EzC2YjsuJXZFuljej3wqeFN8ywG5yFz3m8GgwYZkhGCXoS3QOk2lrNmcFaDKP+sAsLASsZdG/nT9/FtVrWM+vDjH413QE0Bf5MfRqf5uUdx8zo2oNNh4ASkAmiXX8BML8+1j69/Ikbr1HrvLikSs+WsOLHL4Dy12mZAUTywWa4H25zKHyCpcxyPM8GUNVDxm0ltMvwiWRNlIQl1hhWhLf1AJQvoGbzmZtxPQVTri5N0jMI08IVxNqHC38WmAZbr4SVsEJBgwyiOxXAx0PiUDkEOPOSNgBUevCYC+1YoufxFYtJjBzJH45id/QpxE/JvbR4nLHg8zEbLMCq5q+6LG1a/bsGpvRZPSptEj8jzbU0g1dxxdpAfGZobihpZi8n5HTtJaNTaGuZWdL280TOuKB4apX8y6Y1cNTIyKViqrN8+bL64oDvUhI+Y00Tiw6x7ICPEJG875AdLJJn8KoiQWSC8ya455sBb9mH50jo7okkYee5TrkWj07OTs9ap+cnT0/47Hy4lKlwTwK0Xb0mnhhwH1aYh9nNnMMjCjI1QpCDeeFnjNKuNJBFmSIhHyFfFpo6nJaZWegQG70CmZMu+FwnB5OxW5/FrosvVmKptPjYg954OvHXjw/94GPChaH4OYd4QmR9ekTLOAxmf/f08du4zthXL15A7TGqoubUe3gQkKL6CzuNM8N9KGZQIo78xesTucH7GxfKRsaxD5coLXJqOvJFK28HdVd0JwnwoYMLx9lyG4rpaF/oXuJ6ZEFY0RkjxKbbry7045wwjnstadiGJD7Xv6hA7HRSlnsVnQwBvI5LaWIqWpkj5OHueflSWf9snveb5108u2ugot9+OJ0IGEGIoFBiutkNhmowT5lbvQpX9u30xbrIrHtPciS7xafsjPZAvA8iefo27ybviJkh6yJ5gYxN3h84dMy7NW1V6wUM+T493iY/VKnIcJXLnuHh6Tt9ncLWwn6T5sR+tp8Oid6KyvSFM9uj1jyh8cYGbFtKw39xdPLPICoB9K3wZCI8FhLnfAnH1u9jynW3Q4/9YBToNqcIvVBovERWCD7dzQdZvYUHhuQiQVFn8W25FVZ8B6vtPMeqB5lzw8A2Jekzrb/yW4PYMBx5dHRIslzi8dlltlg5Na/L8l7uCdhQ68k8uzv5pI15ej55+1mfqKBVaslzmKGK0WHWAJqdYXs9QRLxIl+6vP7KsPudhP2pg/0ia1NiOz9Va/UV2z7+TciFfKkdnFJal6JmaMI9wwH3xTAwmb0Wzo7AvAvf/EnRmo1UdQfhG3u8CfIsPiPibiEbqRzXrYiehvGdSD2QrYRCabiFbuNxzcX6dUSYwl1wE2cwX2C2YkhJb8v3sgmLLKCvnKmq+8CMlIWaaAHBk55FCj6KAo4BpzQD3Tpqg9v24e7nQCZnbMe8pruym9u2Td3GuiI3phsZLi/SWRACPoHvoTRSmKgsKKWOAwM78OXJ8c2u0UmtshVzR9TpR1kVK4AXq2Iwhwwz+l3l16quwtPUd6zVZzT7XiCufkaAaAf34djtqqSgGnYACWrm43XniScjEP4NyT9+NV2MJ/Ilgkfw01Wc1xbYtqB4xxb/5ammnZYtfg0QQ/Tz3mjbhmdHfcluRZFHfkzaUr1lx8/kwHP8qxvcDd6DNY9spgiHis+mpaP8ShWLkWUEp/ctrTWlhnU+wzgWdmwoKfVwPc1Ng9qtvtIPCXpQvK2CDdK4m6S9fkBWlXE3/JnEkzJakg5h52LEn8H63PZSZuTDeLzCmTOrzbTRjzu7csYJ3Sv7AzyFDNeM8NWZoxtbSI/Wzm+q5C77XZRzjMpAdVz9lLV94qWpdJkudt5rzE9o53LYbwbfRXFnd2Li7iz0+AusRG886geX13Nkyuin1W7yaTsRggdyKcZ8MhX0U/d7U5uJKEKjJZq/QrhsAOCurOOrqccUZzLINufNAA8UPYNdIudXb/dUV3So789sJtw78NAYSOwRBrg1Y/BxJSGVcrJhxQXW6LRXOSFAkIYFZIuPIg0Oa6VE8ZMNdfwzv4u3HjmV+Xjz6k3IgQgsrl8XQNqOCeXYk7K7sl0MiLOOyHx3j583Ij8tIe6BCjfSAnfeyJm07shHP3dluQBuy4wjX/v7bScR0i6n0f+dhoHbtDdJEAVKvqD59fahBjQUWmICkWUuaWXmj5o5ONdQmO+wN3Al8txfIXoSB7Czuy5Aj7BGSIRC0EytB6KbiTfAboFv2AQvQOnBQEd2w/O4r4U4yY+n50xMcUjpQNWCOHI3hvVaO9T9yF+IncQZ+imYj6lz3JaP5yMKfaExw8pMFCrzDuKmioYQkfhiBBRAzx1Yix9Bu+k0IjNTt7OYrFhEKSZ3moBiU0sAkhya5WQmS3qhQxGiezUSXDgZHDy0KHQ6ZhxvrCmKFQviNunneKrGbO1lM2r0M+Nts+mq2hGeqVIMqiX6Gek+uhMHI4AB8WCIKRdIqJeEjzKXiI9bELjBUJaiJsJSiOCueM737DNH0sznHErI51O5sUwN4yMLEQ63lSqYr4Ej/GdWOiea/kDaw03cOgj81UBdSObTScZYweg/odVgaxKrhRDSsecW1ZAA3Nr2jdsrD7h2imMjzt6fnZ2cvSSITtxOA73F5ViVv1ltmtbGkAUyTyL/t+77f8/m7n8x6yFWi53Di46PeE1tBRozlx0+5Sb6qbZTr0mpEMBwiOHFqCact7TdZ+zXA7W8dXaWrfivBweo4MSNUVoxIAGzgGmLEKhKqrkKq2CQkJM94fN82kHFAvJpQk4Y4UvwlHdUKqbZr4TFWRcTL91thOWKt4n898/bkYvf3jcenF49OPh9ycI+Q42kfxmnjLvKuDV0sqzHrkVixX7z4dnz/TpDr41LrM5Y9pWiK7jg+ZmEhsylbtAgupmnUJZlrKFwNi/h0u+24mT3s7WDrlu3WRrZ6/bueDhsSdnh1InVVVPfP7z+elTBLrlM9cx8eQk/BBdQxkdpJvlc8JZHnNPp8Zh6pSQDZ2JSyIPdpjNnq4PdLY/0NwpDWvxeulMLoB80NJAgszDJEdjZ68ZbQs+Qq+HaGC5Wd4q47da+1pcJ1G4q+U88SWsMEUkDeImzn2+tcr3yHgzejVJmVV/pHMYTW82rA02bcMfL5YHc+SwGf2ska6DqACCQD+YzYhrOASJyVHEQzn3fk0l8cHm7v7ZcqJBsu62j7b1EOVeLLkJYWvv7c7bHZIPYpqdPWIJzVz1ENJ7EZMTOmCWcb8gne0f1PcJ7W7v7f7bvjwIvNW2+6zMMkSQ/TZ4sa3cuNPGd6oaCQNOu3JT+PAzQffwqRqJK0FY63gBc7i9nQd7Y8tFNOTjMgYCibw44FBYjLAUvkolCYFx/9SmnJL8COcWiBl+6E7IDqEmv2yxkzXXO40ZIkt/C4Z3crYccRB+eVZroA+shGThj4UWzysKQHxlD4IPJWcb2fE0NQzj68XUl2hHZzEuKcttJvENgjWibsxd9KohkkkHrhirWIKo95ZSg9zO9wmfbBfLfkG7g0iiKR7q433jJ/nJZt3iZLPup5hs9tERJY6LvBGUMgnpta5NPQgOwKxTlxW+uoAt3k4D5ZlJ+yoyVsBBeJwTdyff90jPTl561AVwcjAiNppksj7ZTDMcSxpn9FArkNU5BOlCnAF5/SMV+0cq6VwRBX9GK21crSnrllxVJipNJqqvqhJEvxfuBNCzL6X0Lq9DMwFXD5alhaD3EzQc9RiLzgqNZhuYXSQjf7Dm+SnQZ6JnSqfIPCjqNGQVx1GN6Cp2qIQFXecJC0ZVxPzaQ9jnC57IkT/Cwb0Evc8tqhTZujMnmiK70lcpfuwHkuB6yRkSc5drvn4OHt1U2/xnl7ANhX0xXyaNpr81VZOR7yKcrCDzK8XkHlSJ3sbj4rprhnTIQLRBJFgTfCxaDFojBQREBDISidL9X5adzmh3pyaeiXyc71HUZGNisUQ1qtEkPp2RfgBVk+aYMMCOxxfg74d7wov+8eLJ6WlU/0dyMY8bwdYMe9sfWXVppB+0hrLicDAHMIJ0lPaLmKsS+8TSOsuilPVys8ZlDQqJGVCMjXuSRQzv5n/XJa0rI33d80szOvwDdF77aqLbsK3gjGq8lPqbhKdZcfVXPJ817h29du6Q4n9PmK5e548PwuUGVG/CtkU6wZYqsRG+XmSBtzvAQa45NsKwUO0q+EjmhJeAd9rsh9/oF3ErB0amlOZNUZVJXmHmzlN0VPFUa3SsqEnl82nosfDBwvimH3yYE117u5VHUPXKt1uvddLJ325u4tffbDynDQQb0OlMpxzbjl5Cf7mRW6zlLnZ57lbNAF/Fz5fQfnIzW9yFsAfLzGXLdIqmokv9cTvpe/ud6DGp0Qkd1+Pxm5Hvn1cTrn506Prn+92d7e3tTpfhRQr988+fafv8yylzfaFr/un2T9HWE0QrNxm8ipEXQPgkeg6iCnqWL+YTEDZvDlSOztLz11BzaX6gjERs8kw+zEUt9S641UjtFZen6JwtDHEfjxugR9Ni1818nfVsCtTWkbQxz3Cu4AIlaRFXG1MIEq4wRvma8Gw8i+cL+ZqS6wBp2l1Dzr6OYbPZTGopB2PAKT2Jbm/PKsI+j4u9mwuO9LqFaAn94E8QLdlYNui/BVXXEi3nJzQ8Y51QLymFhtcAHKUtSH9DhbiuUtwwOa8/f9YQkdbxbSrRDa8vWFGAp0VX1L2yaOQZPHpuuWu5t0hQGVGB8WPgwcFLAZ9/JCvk/Y/dH3lwvHKWeoLB4fkj86cVHtCBT+4/8IC+DLjMD3ncVbee5+9SHALMLcGIkJtdKscIQ8rf06bX2d3v73R4ilmeTCoaopJpm/oLkQKjmNfa9xlG5WFYO2XDaKcEJnmkoz+yJJ4PrwdR7a8Kj/lrTernebwJEZ8n02aI2csn2dTRBMeNjhRzU0S4Glbr6Xm2cSxJ/psKM+g8WSwQs/wmsoXUH2X6w0f6wIbd5dFfrV6AGbl2joWoUMilyXclWqalwCNduCQML1E6HtEQjrAOG8K/uo9W/ZZu+1/ptl/7kb/mf38EBFSZD8Pr00ED0XckH2jphD39K+8EFd16Qpl7yIGCqKbSfblwGwf72cer0MdxHPQSnqTy12b0a1PX3+RFtt0JE6+xreJtSfoznJHTQNUBM2z95fUUyNsX3OlMxiKLDkyiJ0+Ocl+pTJ/Jgm6k60JzORwvYJsCUS41Vj0F2WgahtukndOPfgXjBRZIxpbWcq6vSHyfJpcK1dyTM3m5GMbSXs9bZzoQjxz5t/MH3UvB+2i9Yy2in8IURykZfyLzFps6+K4Z1Vq1Jn+J2/C5S1RnOsr2pVqLnnizRBf4Qpo6ZGGSleUgJAk7Wj0nIj5k56HirVhsHEgnjgNz9aTjw+QHwLYsnj1pE9RfcPquJvygzyCmCJ9i3OC+35WUls4y15lJysbaIM5msA9ksscxKHA1rxQKLUdV3kf1+tuhTngyvaLjVcbmMiR6xuvkrqICih9YB7RcnOknf0zuvv5rb7vh+iDZxN3qN3d6Pf4EGhlxDv9+2N36dZvvBZvswD852+YyWEZaveGKnuNknMJHoDU1/X3htqRLmNsvyq/eled9GJDVwGC+Xixmg0ePcDNf06U02O7ubpWUaNGWDttW9SPfcinN152/sef+dW/7bxnds4/vvmZmxt+PAZBLa/v68Pzob8LevE2HGdnDDn+ZVD2btLJ95deHfkG1sH2ri/pk9cQav0yAsUBajzNgTtMo6FOKa9QVC+lPb/juHqevE4ZXEDRqwVE4//cn0ZPTH0+4YIddQdfpkWTDGJM2/wqe</t>
        </is>
      </c>
    </row>
    <row r="5">
      <c r="A5" t="inlineStr">
        <is>
          <t>+bW92hfZeDIgX8iAGKA/9+XPnb7+ufOXh/shvY3wY3+HuvhyYM6ZCCT+TW9TmPoBkiSJBKoqnL5BCr3j9BUjEin6MqgrNV5sk7CSu3k9NolVRqjST8DreYsMxHRzzQR9hLXJkj6SI3GWtG7jMbqXF1GXbMa3e/3ddhQcJq3NNMpGl5yWw646YYExMutOe7B5zjdwYzMpFJTJG1qX+l9cGfHldO0yMqPstWkjGXWkHv3GzQfM/Hh5OgLuIRd7NlY4bZNZZ0ENyhxtuDtyVbF56ploQ1LV81TSnmx6sLMcH3SzKv+ygrVC5dpvJydP6Cs1N5+SxSe8fQ9EB7ayxd04EbRYkrXo+VnUZRjaljgnhnYzi+8A3yo8qS9zHUuKQOuPOTTtb4PD51Su/7cf5civksLZrdbZduvnHzrdxsBt223UTwqXrQSPiscC+xRNklQsLTsm+7dZXu6GCKVBMXNXS4KAF5Bddf7i7PTZ99+dnjw51tX98pf/WhIvjn75S02J7mZ/tKNXGauo4DgY6yxrVJhThr2Wm3FtDKl18lnea2MDVk0mfqw4RpzIG4uNDf+oYHwtZUFyz0i59mT6z13yAZgN3SlOi09E0w4vduXBfsYV3SYE6zUFQv63AKlIxllSUBIhf4MMTc+gxMi/MiOHp23MrTyQp1wVUdqrjOAH2ry7ZvM2zehFRfqvZzt2jfoadYja+xm+uS3BK3P9hqKRQqaalx5aIZ+qwoBAeVcLJulIkdbWffGRrU3jI9uV8ZFvSPuOlzcTN25jiH9aF+l1SgI6aSJPBHR1zIbz+tDF5Nh0pRcuo/rJKCXDlI6XjLDGe8VGBLdX18c/eMUdG68jQWSRuKIGlFyQyrcIxEMMTiOaBEmpc7EXubwY0bCTbIgRaxzElpErtIdyDOJY0k52OOP4joznA++EmtVuEYYyFPCCjzBbAFtCWk8u72QGLp6YK2Hg/TU0oKnIf27Gx5gfwqfAPWeOVIqyuZzIb3xYAR2PDrY0U4NA4xMAiarIrLAbN9GnZ8YJ9mwxR6/mqQK7y3PpMxLwu07ikZZW8/23kl9+WfZ6iWcblgMmATMPviz8wwVHMq9El+wANK2HKuFr6izh4hKhirNZlG+EKy/mYDlpVpKfM1DAh0/zvJvXegaFb2lWtH68TpJZOI8RJ17PMWAEaN6b5OYCiH0WQ+TTTuYNK0QWPpIRc3Ym30ThkQFPyA2bq3T+8gNae8URrr2t3zMR1fvMBohUy4iIWSApVYzoNemDJcZEpZ2nnb7W8feNMvanAoWSjDOrOU2qvuNJRS2+QjEBa3nDHJpMSEdyS64fEmH6VJoNR2nGFYu0Bkzsix2V5BLDdyBFOkOADlvOvjWWhHRCm+O/yulzY9ed+FQFCljzqW80XRGabJfEDOkrfh6pjSpCfVa5Khzje1yzwX204uqqy1VHB2PE82U8MFWiWu7m1K8h5IwUkl6PNbnxwHrFKy91KRzErws0oe0vpnMFjs6zaouHpyFdwd7ycjJjA075oBUPBfFXVyTqVez2qK5wtFkyixkoF2MRIyjK3f77zP7oJftbl8O9Hs/+oMuDD6wlmHWAMtO6ZD7nliEGXy3J6WtH/0HbTOYjHvaYvpWPG0B1eTP1a33415e09QTA4/o8wUzLpkJMuYnVCpFEhYm2yNyD+vZ6/Q1NWQEwLddAPYoeS550lMZEAuIutc5McBsDsSS4DF6nhKU3XCrGkng15xtGTMHMZamuoQtiFleg4TD+DxI9B7AdMRtPwSTey9Y9H9KdqDNgAYmrPvHcwZUCrjYwnaAkaRtieXp7uXQcLs0onlCvdfr0Revx4dGPx2fPXzBt3Tfg8kp4wmVqkc/DX3NWs3/fypPM7UAvA6EMfxnno1v5prxovzNpvy7b5JrAkg8dFDZRtdUDt6dge3VDAsniN8moZLczjREayrMI71uSNT6uQSwiPqgFZTJy7AAzTboNaWatOuINDMwTpP+wdngd1Y7lU4oPkn1bK+L0cBQFGIN4DDwCCP9RTFbkmE7u74EfIwddFTuWNHxw0U5z2NpXiT6FOxOyYcE9KPK85BNV3jyscjO6nA7pApDCSWWEv+swygZHwLXpfjNhDN7BgxkYfMGicYp2wN3eUx17VfBIOLLirwdtKQchGJ5jmi3unbFMN5MY/L+rD/BsGg48RPyDi0RAiwKXClkRMsIemA56xQHY2Nf7h+2urrCEruP4rXqhC6m3uVzOhWclE5aJ9zDFlHdGvRQ6CTVi+lME+m5mc2mqvYb+71eX3vt8hwqyjDgrZricZ9N5WcuGQsTR6feVBzOKhbPxCmKNK6Yg1Eiq3qIkyT6Ve6AKkq7jlNFvsjRbACnel25n7qrghlax5DWot+WP8HhOVm7NxHhCCiZ3us0Nr3k5spX2Q3i2qsP5dYum0z6kC0jH6GgNEcBklC6gmQN8IYF9AclhjyHYOnCuoJXcLCcQb7sBojn3C6Mwgy+a3PO/pVemzq7lm6Hw5XYk3+K1Q4XAeiGTt0Y/5Gcko281jXbOhvQj+fzn7I74u/ge2jJ/IdKcu1cR4B4x42h5Op3KtzWh8KpLlktFLVFT4L6SSPO1huEJ/Bi9k30QR1nKzxxwZUOpGiIKuIvKLqze9mtouLK7xoHOaODXPP/R26tteyl/5+9uDK5dzYDSFU7Q3D+dDqYoWJJQcabHY25uF57GdcS1ipyqAQC1W7uGmXSSDAnzZUrXkc4bcSBXQNqZtEiWc2xmy1qU5MY2LDCcuOJ4RHUrqvSp4shpkeFdNJvSWb6He7WT7G73k84+g5JK4eULKX9/Oh0Ri+O/59cJI//onAYZ52gTE+e0YcMd1+mJRLAHTmfobW/oBUlDZCmgz3mWQSEkr2Z2SdE1o1ywnqk8vbxsqb6KgZ7eJwt89pboPmLOmYymtwd6mcD4RG0KHJaLO1Z0U5nC6v0Y7vA2+8h7R6+IprHxkD5X3vU22ut3PJs5Dwo7SQDnJ2R8oIOFNkarmgxdKJ3Jp2PXLWp+v0/mlng9nae/sTsx1gPg6ew+QsR73DCjoLb5zYwVwog7axd3QZahqhiRiWzuOwOSmd/voFz1+D1tBkFUbpRbBReVLHzruAZxdIXXEDewgXZbEOlVu6OmkBbBIOjx6Ko4KELXmeGM9bhzDz8oEaWeC5TRuSMxQNSzvICeCXhW43szxJccfRJeCHkaleQxkEZPJlDYb14XIx6LoJbIemTHntPnMg4ARtaRNbA802uf2YepQIyF0bn3eRqnv6+L8XNRzpor5EsNr1xGUE+5HvqOjaqzsulqRWJ4nrTDc9UJ3LR2SfdOEfJEX01ct7jO1jga2/lsxHYxPbHd2ir+oF/8wfafJ4FxDmvAoY9kNkZMyngLI91w+KI0jsbxciQqXYMJfKtlYlpl0tZQy8DqfNOg3qvT2eZ6L5DaLpPcaEBiWhJT+aTcNKpXR5Uq0m42QEbSC4KoM7yGfCiTh+CU1cLBar2NUhW0iHFGzMDjuF3Qa1oPscx1mZ/Ymbq5CzE+FCyFFU4NFkcNEUsbxbUQQG/gDcVctcWXugN7RHLkmsVXIRsvTInRP3F6jEAVZ0vONjoZPX7+1EyFnY4QEFqmREch4ECM27Pg3nJKNgXLvI2623u7re5Od7uJ+o85W3v0VTf10hjM56JtoKGsds5073a295zlYmZZt7eHNdL5DGVerZ89auYSUxeq3pO4bNxIIkkv14PctJeMcxx3BU78nB0rFr5+v5cTvup7wSMi52iqMyx8KsFMzkYFbbf6u1KUrOc0hEFduiw0CoBzhtc31+hInDNvHFHq1+mixWrTpxOJMxsH/inpIkvGl5YbwhezqNcHPzgzySzEnH1iPhIiKFX2Lnd92NzYFTn2IH+kuklgRSVz5NL+aVD9Vf8AKaP9y724m1zwvDl6P8n14zszPdlNvp5OphBn2C8z0qQpTpA/i9CEttQZ/jv5r+R9TeeanJ7NkxYnlOQz9iX09OLxV8milGRSstOHpWOHR27zhh/mJe1smivqrfSSIi7+h0HsrVi6yeYjH1+ILTuPq2XOKoITlWI8NpEftCasYECw4DIRf4g9mA1ljIrHhma3371DPuSnu0iH2XsllA40m04P1vW7mPhypvuo5xcXFFwVvyufHCX20YG1UYF2a74IBh8A5R+vTBXm32kRya2RYOerp1Y/EcEahkwuO1Sb12KdxFICRc8Xb+nORdzgGRH5vB9gW8EGYpkxEHZ+SZwC2wpzOjlGsqJFBofIn3rNz59UqsToY4MqYKFouMKv2nIijFVT+RKS4gihTg2ZesHlCcqDMti9UOHlmD1LGIFcFxls1iDy3a7VOsyRzPr83F70KOqmylrIhWt/v+hPx4V4sEtjcMQJtXAqEnz1+notWQQHwA78CrQNk/NL7ejobogrQE3BumfVZih9KFeLQ8o0xIoMh8vibVIFUtgedvKpPTg+sJpRxjhB00ZZ9L7NTwF6l6Wi4swzo9zDWYmJ1zhmO384p6pkPb0s6Ci+94bEkQkHkhe3iCXfToVUEjRjvqfDEh4MvF0zqgC455kYU0Odvm3aPUQapxHwt4PwyH1qOaPPBI+y8etesMrKTLx+hgP1XpWXCmE5zS19pA4iXAZmeYdnvcA5CnIp5kALnE3swmAZ3FBRY0gd4KqGnWYbTxfuQsNQIHcZBVkpkYUV7XyrRer45PxIlJyut8AXJHJS7Eqf86/L3TW4WQ50ZMZYSmBZf60jw5cBeLAIZcDsoKvpSsZv5JR5qOMFInOexi0hd8i0uTs7mANDPpsE6TDbKx7PyKhPMA9gLBlxvUwmyxvS9fLj+tZWf2fXYgL9zm7jYIPCuLAgji9OlC3TW2Wi7vri/tKk5n6nZOX2O2TlVuUC6Fx+48TXN9FLEpDfiE8GAchB7cfp+DXZTjL078e79I01TListDNtcSVbEw9PSOR8VxYdZmn86CgeD8nHi7HNk+WcPIRHP6a0oY2M1xAoynelAxFpEqmjkgU7ENgAXnoVZoGtpep3vEO1AeTfukZvaLJILCyMGdWO6b4YLqBcfnNgJJb1iuqWu1BYw1PixRgfbpRtU7f6LMAywC6abs1NXaGtqxjoF3CuOHstPioZUaeHzw4l01+v4e91zJ8+FIZ99Cy5/fU/pvPXjZr6A9aZ576nFFRGyBGQlgJmBYYTu6JM9XicxpliCvhmfwMHWMppGH/hjWT81DL34onAgsLkWhQRAHgV2jIkzOgwDxwFTGNzp1ebrBA9uZohTeX5sf7q5dFXne3BVkfbdvhk3WcDThUNnac+tieAKrmnfqJaoSrUqJcmnYHvyOFzb0/kU7R8jC2cI3/LhTRI8V7P+WvivC6tviQg+Br7bhf2nYui7xYD77vaFxD8oF/8xJ8o8P5DPL6Uzry2sblgU7FMBCwpIjURAviaBO2W5FijBB9UasJy50qJ+eUv/MFf/tJmuO6c0LuoxU2aZajm+igWHbANbJXgYpvBjSYsMgXmE9VRLLu+jsLm/0oXs7Bn2ErubjVzuhGZLN9UuUMIVMVB7ooEhexJAX1KulKesDXAYNAv0BjTWhpSM61haDw0o+Ld5U9Yusk3P9qmHah8ccPj1L7OhUCv1bi4/hb9X1yYLoJjN57Cs91nVO1talT11xpVZ9IdrniGXFn+j9MXX/WDdjwpIWrlZi5PZ8ha7YfgOJKBUaBQReSRFhXGJOy03EelHqbb2+pvt3Z29/bf18b6DmqDHhB1o9OwHHTGn459yznzBz7XEziv7+jGUGOKLHYeQ8S/3CqcSdCyWTtHcCXzX6+5svSdzk6n2+Jd8W1Eh1g2oOiHcpqD8NM869MfY6Md/cBH51P6OPNBVPuO0TbIy8PBsbnrT5CocxO/VXJwy8erF+e1UvOmUlbjRCACwmWeUnX/yIalB4X81ug+HCazBbcNpJLY0LlRJAw3Uk6z73CX8Oy7mXZXWqpUejwW01uUkpcMqJeotJotpRqQNkXO4hWpvn0JO6NU1/gP+qTmTrKmgTiwaNDUibIYRjuIaiFsKdcxTmqLAPPh1TkOJV4oQtkzDnBLNbj19aiRSJ+Us5znOCUQGqli1BlxRWvraTJKlzehwaUjez54h2aVxSXHmztaAIta/kDO2DPooHzGiK3tBxLtyK8amDldCKEJMCcw0aOCeEUXtIfXbcXjK2JHceHMIFhsd5sR+idDRKFqX3XJm+32GtH29naL0SgFurjw45pYGQZ64QP4kiWLF2ssw728mbdXtAz3/oAdo5VmjqcoEm454SQFJkOoMlEmnL7PNlFYqvmgsXhK3SMorjYjQ+Z50EJiUFyMiiwcmwcz+Vg4QDnu5XMBYBI0Y7BCKIh1ih41X5hCOfF6PkjZfJCT/E78bXomnheT4ZR8qaZd5e1sGEqlizlo22QaVXLs9ZSxl/M3NxPv4INRwF8k6P2Vzt57LLv9TS277bWWnUbwMil6osVYLI+jgRdEL+EIFVxRjTboEfBELhUXzUHKei15GwPUY0dCjRpVzGrRGzoi5gqSU6Av8gmJHVBrfEDzrrnGpGuyDcfXj5pxfXcAPj4mjx7mQ5sHLtZJJKJjkrBbPNKSi+RODkoMssPcETrjj5ibWCf/y2BL6O1Q+pweV8X1/v2QG/2Im+i/W6u/WW4f1KXTug+K7+/21LiVh//Lv0R1NUsy/VElMKhjC284SZjeZ9WWXGOqZQAImL2eCCyHDH+Lo91WqOvAfLqoNHO1+WXLz5+2ih1/UYZ3zvUBEn1ewYjtWlAHxgE/LL8ZXPcx/x3V47hBmqtfxCtdwdKhoenKcdQl2gldoroaU3nq6l2mJHAHmZdA7bKXkje2jECRhEN57tS5kJsHG0KnZYGDdmuT3eVWakfHPzzhIfJQmDkYq5s0gwE8kGOvhR/Mqws5+CWDIDsjnw1lLUlTC3v19+EccHGfHmI4LA53lF6gdtx1OR/6b8Pn7hEG4X6TjNFebRX3RDOPpETu97esC/InhvYwrmAMZkVo5Al70/OUPjJjaNGlzB6z7mw7BBLdi0SKipVrAqB1OXk04bCbwjd8FpT1mzS7n+C4NZoKczudLudrTOD8rMMezzrMxUL3i1XJ+61+8ROfPDj6O+Bq3oNuqCQeeCqwmXiPXqtWODygOZf5U7UmueBcaCXQsuqq54VfoqQFPlEd1irceIKn/GCN4DWwXh73PKaoGD5yIbJdeS3SH9kya6kaVr3oMUpdQ9vQ2VW41jxRq4kX1UNi/69GrSCJrCBmEivI2ae5u2Or6u7ADzWyGB6vLic406jOv7dj5zWY2g6CIw+gUPQzlx7Y/DEDhMHdf825geJ0Rg5wup4dfo/FEZkZi4q/pbuT/6LC+9qcmHnyT8FWRC6XNKWclwwF5CmBCR/ZZDppqUnQLN4dXNbFlheb/sm8aOcEd8qXgqIaXiV0tL6cM4CpZCaVYBidEeYMhf2SgqVyIzOBWVhTDtO9AbwhNFh4YJtyeVMNiodrOiEFb6vW7dUeaJo1S0LFopSXodY3ofwQvzFojnjGoRwN5AJ/ysFCx02GPP3/Oq39//zv/Wa39z9Ntwzc5DMxsMP721iZXsx/8v8aTX8zy4bBnrW8mMmgrzqZGtZfGiCuHj3pkENkzgzCueYM9RuDEqfbzQN1HWgGeUegG5qBQLBIjZfuy/nPemKYOb6/yrjTG0b87aUtoYKLwvM9bP0jbv32n//dlVOeTI0MnjANaIvdfmd7p0v/x2t5TcrEEcBq1Iqu7CX25mIuri4e7eUOQ5RvUR55346eppPpnJMjEnfyc5cA5+TdR/nrCJ1gUoweBsn5A9L0AsZgEHv/JLA5gs1W9296smGtqnDmhvFSx5qDMu4y4Y+bu+Nqr+lZmIpqwXx6wVWp1ecjo75KkLzlB3GHqK8yBVmRtqsQCeqVljjYrfyb/+ZI//80gBYrvUCk52aYBMahaBA36vYHnQ6v0xpjtYfWDRXrbg+29hjb+P/Nxku60AZv0kUymL4d/mf0ch5PMmxfX9Fut6NsPnzE7yHe4EWI936C5b+g428vsreD7jY9lVTCiQ0jRoU0Gk0iGLOaySIGmHO2O+azp5NlJcgnwUxCrsyV3Nai8J/G89ckW6wB3qPVYivej3f7+9xqQSz16LuT45O/O5EXl0Y9Fr5mVW6nEx3H+pWXza9NWtW/FU0wu77LtBBNsyWsFEwVPKh7YqvzoQNlCj0wzYutbR50lhx+EYSnyUgg46XDvlSezRJanJbhV8aeFMrEwBUMnAP4Dp9ZWnTjeJoM550yRoP9JrhVdcIOV4XkrpGmR0e1Vqn8KQZQukKllq/s8zUjw2LZomi86C5Z1O5Z90qErqpNFO5AF6ug7XGNbX4nuX1E9B/Ye5J9kjnqXA/ACvb88Nnx4+d/Dy/urBSk0/17PC7mHeaYfGtO9SaF3XKwUg6CxDpV9SutSCNF+GhLg4CIZd/MaEtZRQTPeoj4K3wRmjFqKE8k8IMA5CoNawSG2BdrUV1Bs8Qj+XMVrSLfCI/YJZBKXKbdE9wbOnKIXnOeAzqBCkws4hKC8sQWoVK4DKaLj+rpEHMfrdIcsUBn0HIgepx1Dq/gnAMmQT47dmsKdGE+OrN06CCq1uaRf6/5NFXRrmdmYniYL+HMA8+RDmAjTHRxJ4Zc7e7kVTTE/rkRjJaLZdiNtry4SRfoirwM4JOl7Jr5nOjEvLc6jrXV+cPBeJU7DEQzoHdjLNWUjhJskTDoxPguFMBqJSEsvYmSCPoL1suqUphdLWADf6Rs7XeiHsLrHLupV2pzJPU4p1e9+oZOi6MHyknrLbnmOhl47WdXvRspWKVzyQuwToC1x5m/Uvyp8ty2kuZBN65I2heZ+8V5aNji4YaDWWgBrtQaqhmVNroh2Wdrbcb4dY3scRl3IAPrEsFb3Q9t39YCTVlDpDcDsIuH8ppOxwsyAWvkE2jg+up6zO3sbLDIqGJ4UcRYk2Viwd7J1Pz8LPzG+1iwB7jZzX6VPAmbqMBMmhRN0twDHmSP+imOZR3mL3Umn8QqBEWPnZ6GM7JdflaQj4pWKzCb1EcLCOCK9FGI8EaHnpNJ9J4m6EGYrw4LCB8ayS91HPu+4HIIyNINrtPX6vBo4+wbI0x8Qx6qABvMDYSNvUfNeeZTyoBYTxTxD9O33xZbgIOz5BYyYmerVORCHGVlST9syM+uUsyx81wfySjuPjWLhLLYMBIRUqQNydHJWQBewffkVwSB6M2sQWwmhnHYnA0j7gkehVFaHIriumD063Tp5qfeZMn4TZJ9Zm0dyt+Ka0+281hQhAUhvW5/M3juFnsDOMcxCUyOnmFVvdLVZnlC7sVeYbIlyYh7rLWHfY012P3jW4MAv1qp8tZou2YYuZWWVGK2MSz1UHYfkDISdTQhz/faifmDL5tJ0OgLtSAFp0Lgj2RQhkrHJ/Lg3U7MxNaF8ihEAPHZsCo90YL24zy8qZYWXdGlc1QGHdUqa5CkscBfQRVf8L9sCQa7lg5M1ARYOGE1tyzORHCtAZldVS6Jml4agNpFQrcM21pKxS/SsAyJqSZeYPQJBQunXV9HIHIQ/FnXVxClUbYS/Gf13/nPC8ccBHSqZTpYAlS07MymNlsu/8ySyzcqO+n+i/eZpr1NTdO9vGnKsS9EZpyN7sI/8/hWs06oz396ePbjqxe/np38+6vTs5PjX797fvbr0ZPTk2cvLY5Q+wH7Xs5qJj95gxMvS8KpSzIjsMIG/SZne5KGep3OZhbMDeLqudrA4P2LaaxhyIny7TkCFivx/g3Zn5N4LiJo5cx0I0Nf3ODFVTV6pi/o52PJwU/YKBjpePdxfJGMMykDA/zXJWDgBKQpLjxfAjiLA0W55fSb9UjQU6Z8UHrgY54xx3e5/ltXUeyBPWePtPgStlRym1Z508Mla8k60q+SCaMz8Xd1H611zIBNovbgNs0SrRBQ9Ad8P+Jsg4+2CjOIdfs5FI29LACGcywtAV63hhthwOK6E1C7zF2goFE88s3uDveLjcWgVUPHC+iErMvluHD68KYkRxskQ3FNqMkes65bY07l2yK2eq3SD/54fRIrE5kvq5RDDi1yLjqEc7opD0jHRzIfuAuMetUnkqtccFcT8I4yxVXb2nUlSg31fYhPRoKZrxIFthI0ZFnFBbsjswVDpgmXlPnA2dwMBbgkhmD1Aoy4n6dzDPQSCCsY6z7pIHgrLgSSmW77WBArdr9YnQRUjSt/GXiykFK5R09tvYOe8nroPgUUKGctaRLtrJPAgER+BQLVxCaj23GNFoQqsFEJrnXeKegv0DYbFkkpJS+9FbekGzPwEALbIz89jZsqPlNyqvjXreioquCn5+SJR9l2S9FL1Pdr+yL9+iYWK8Z+XJfIMqYJcKc8hyK5kXnyuoHIccEEiycyWjfAUGG8rszfJ0PAyHrnXG4b1RTvXoOANTwV5sXwXDpm9jIZKnuwTgwuaSWTEV1b8p3kLfdoHwS6V5T1w8oMtn6fTmvD50x89yTH7NOFRoa4iYguP9SFMZQAEGYdxh9kvMaNRz3pO5LWR/7Btv0gHDlqUoPHBpHR96kweL6qJ2u5sl1aqzjjoMdNfNTzl4cvTwa5HWknVU3irJM0u9YZ4DhQZWWdOMNxtIq473ObNqZTReQsMNxXbst7+r7PVq30nnFeoaXbzBWJ6eIGmjvQHHJdE/+rG3IERSIMJMqoWcc7UvpKAk8r0FtdKnLVyxtNVTXZaOZBMJkTYchJWLqCiV4gFEiytZ3rLW/KT/MN5wU/QM5JfdMKspoXUUJrEO0VcLL7xrRMzGYI7BgvwlkyBW6nM7mdBpWAODkJt8aLxTwl6fJD3KHIfBnCJJ9CZGKMxEROwkOzcUhsZX+arpSQ8YqexrmNRmtqbTAzRjs6nYRiVZ/4IhpfO9PQGwAnpm6uGZZ0dEMUvcTD+VTuFFcjH9VRvvsoQhlZzYH8ECFD5mwcVJFWeHAiAGhKF/mNjWvRtzR9VEuYzgOtgAFwQ69xXvLgPltbhQ6Xra0/Q5P3c4BZh8cvCkYmcxbsDOmUDK6wYoNLQXqhMkhqXH2cPs9xVTAywXFkBYxLAGQf5FOET5vs+qxWN4Fjm2dbrgg23g3WlokOZdBLEgmOg2BKKNkV8SjlCANHdqeSZfgovs3zCgkJPRXboIw4WX0vNm3CLG67lt3ZjoJy01hLgV0Pg8p7gLh7wVqMzPdHmPgyuVOgQJIzrpeQL3UKXzoiLWe/LD4Q/MS/fFjLNb77j9MX9thu8bnAl1CwXrkWVOmz63GfpeQgKvF1VZUhXlVsDDUvGGXVHDtk0QoB2YMxckwDXGWu6Fu5s0WateU0q4hNOKUqtje0MjIg0st0SFuK05sv0P2rvA4KvQ9RnW/foK+dXIM1nO24Ghzduo+dm8rD9OcyFYb83Fj5nhB9/91C9I9z7jL3PEySqxhTkabzsLVKM99+hJYEmS/uNIw5fwPTiWWjdu4m091CxLjgUQNjbgyh/F7jjdMAE2MjN6UpQ+mcFBeM+x117oNikBfJfIi6xUuWosQXgrS22TT9SfrDpecC7s85Axr7mLy18C9cEYC4JBfDwGUKvvMAl+HAvoLnZrwiFDZdDCsxNaW67HIpY01XkWsm++W0QZzlM7xaIQUzMBb65SrG1TECEcjILXX3uMqOAGyYU4g8uEobI1iSfSnATIDdYwHzn9iODMgl50c8ZgdYDwLGulaaGKepGSvVx/SS2TzhySp0A97MtOBArU7T7K7eJKSO1J7GmP/lN4hlS/2KOpxzOAkc0QUa8mgVc/sZIwv6elQDP8nM9wsOkYI0RirJJWqoL9cyxUfGWk1P+D6v4ncDklrnWPCiZXvSH6Ic9TVqxd2hp5MmVB3wJJKZUMyIJXOY3sTs5cOPBTDr1DB/QkJpWQn/7U7D4piGk6sIoWtP2v/YtIx57BJsGYVi0Wx2PcNA0+VczFJeNglmY42nkEf93OoX0xx97YX/Y8NBSXF9CzcZqztf7hDAOYQTrjdkfl8jgkGgXMqK4a90J9/MFlaGJcIHDOokGYnLzg3GXKPysXA/3QmgQQChdmFO2Wj9r40ALEuOBs4JiTWPeU1l9OdDziYUFq3tzukoURJ+7pcemkLWIV295hIOXBxTlgrPjFhuTEbVG6dZoA+X8886rVDi0fsI5Yj0LoxbB2y79Vou5stE2/KHBvkfKjA8mVaWJYJTbsj86nBOY8P217krkthwrRDrrx2djqYxeP6WaKadWsZNFEiOK5ijjFE3KN77zMntD2FOOhYWoMUMWIrHUXwDJwsHAwjyidSNRTwseAbkgP/da253mh33/71+e3c7rEv63z38Xv+HX38cw7GpyODDO96Lg4TaD/7P2ZO5mPKLs5OfTk9+5vxLxSSgp2p/l94mtmb4+PwKDtwhX8RcEMG2LR1OWyYS5RFBg8NHBS2dtg0emy4zOopsUHWwFY1f9k4NwCCaJG91fq8sH/es4waZ3KhZOqmYleWAohUkB/bzOH59/Yh8Ys7QKYeI8NhenO2EUWwHruLNfRzN3iwxH3sUzr2GlFX1eTj0i0TFZbF6cjXemhTCAfpDCTa42hDjFXcxhNPdJZqhhKu/4pb0u3EiuZJqEayrwOoHMd2Qh8rRn1YrAM+eDx3uOVKKpNcnyR0GW8655oiuKU2wQjlN3kxT5gvpqjWzt9Ik287HareLwdvtP0Pw9mfjirJykJY7lc4gQrtC5EqyLleKagMnP03LIwl2wfnxxyq/NdVBi+127P/+KgG8Cn2DHevugbZe81vEp6u3p+5kWc18wbNqvOpwuDzglkGeXfJniTN051fbmD/aUZ1MHvGryBxR2AyOpeScaYkSRdv0phaXF16hF3QWz2Egtxv32CQ7G9okvW7OJsEUbtHHg3UGrsYbJhMSj6GEK6qtrtzEsREsNMt0kB6XaRQsJ7pdRDmyzbPveQOl7ka8foN54jq6kKvGNJSECSXW1O+b/33/O6xRrSTgn35ftneapVhYdVRrw3iWlFUH68uHuOg9ZePEIXnnel9M78CA9XEk1KjV76mBZk+Ji7TDFutKYgG6JXOkDiJUvAoJaVWFqTDtZfMYURguG7uiXu8GD6INNmTlPpv7kWBU2zfjayEOArG/Ir4ic5QksucDI0lEzDVGRvg6nd0IjM5ECxC7O41S4xYH+RYYiMtcNFW0lQl76Oj9PqJF0k8ATkwWJtgJnXDKJ8/YQwD1EdtsfVN9gKQzfkwkQilFWCyuMsNXi+fbtYMI1vg56YShD0ZNZzLFdc2Tz0+enBy9tLPmUANAsuKW6aeRPYVO9flywYGvY5IDUib46SDS+nN7p4ovKqvWvPco+FjQBkAveUpsJz0LZIyy1Th3zx6l2Wwc34nkrzsu9GyghTH4gnScufec3HDA8iWRYsww64PoLEHhixkR0rmizu5P7Ppe8C31b+fPn617909szhp7ypf5K5+oEvs+M5yERwMDKpU1DFrLU8QhybuiGuvzhIhxMSxkw7kfXimoLYHuSLrI1xi4O/kQ404x5rizuYHL04SBLk3XYlf/3JI/t+3Pvv65o3/u6p97f/kjYHO6sfPtyNknRYgpsU0m5TtLAzAakHmgmt9Mk3vdnwMZdgmWdYxm8UCL6LlAobrDVjDe8BiBASfK3mAeTqDJR6HJYhbRRzLz2a7hdekwUHdPJlBNOqyuxtX38aSFH9Yqo9Dz0OxNJxxp8QJ9MkFhveoiebTljOtM7/87mjLCZUNvWEf3PM2PYGO7NkA+NDHwSOdtRPOXq4OzAX18hNbRpsJ0bbsjixlR85KLFh3mnJ4eCD2cTuLh/715PW7Trdb4cuAuyUwwe9ahforFSmYFszsfVyiz5TCsldDCGdaq8fcmosh4xR1R6MO3LIZNY+Wa5nb0GKhqgDTQNqCL5ZWGdiTrKlSD8+SHIeSMdY13rww7v6Pa2sysvEgkb9MK96bIQGoepohhr08pBM6WR7DeyJtqly1b6XYaNb3SZKyQmykMWDZt5goJD+s7cEWnwSRtyTb6nmXMQGZSoO+FNvA6aYd+26uMi3NyGOuCGWITlEYjX2Vqd7NG39gUTiT8lZrhmMcheUcaikUX4MYULL6wObvAn0rD3B4NjuLQQNZ4uynr5Kka87Q/a5N9zOeEZdgLTXiwL+BFaDSg3/0qGBrA0tt0ArrCqHxBIp8JhO0KEdUCrAy3fQ6e2mQ4aLWaJ+WLdm3HbzOqPY3fRv1wsot5mGUx5zp4yOkR+crj6RWdJZvzL+Lha76RcH6rdvo9y5vAZ8mnY5yQeX8rvnUYDcXXupi+hROTOcjk23QE/uJ4BR8Zt5TYsn1OLFmhsZx7IKuOo63tXvTjYw7iTOWEpBxIx7NUr+4Jf9hUiyjKHsnfj4/p+aQfuJ8ekSyV/vSGvcfaJ0UvXXk9MXqpV9IIgZXk5JsqfBotQ1ktIoMPyf2F3u91JK5waln4V3q1g4f7tM0KxvL2uNRZ0jUYtifWK27HRrG7UgFkBxXW/Si1QXSCBBuWfyCqUYXXSkI3zxQU+d7Cu9K4685OKSrZ2SlHJWWOg3aCIp2PbsrpcsHyJUGn1igBwoQZsYjegOscEEa0tcfFNkuWTdxyTdf5PiE2uNIRExxXRLKIwWQ2i0WWsXchHOdD8grFdRDQGyTdNK+qg8olYMm2mpinPpZ4LBuqp4tQbVwkw5ihSQP68SUDiZW3snABRo3XjxQx3id7covHppoCmRu7lhEMGGacmCI808V0wcoSGzBL7DadjKa3FeOwcf2uYnndJy+63+lHM50Fjw3UecrjkYGFENHfTFO4bjcmr6CySCwuQNTTdPYHW7vNoOx4Ivjmg245eDopjJMJquAY2UNhR7S1WGbiqBfJFo0Ngkgm0o6oVSIZLms9Kij/hQe5RuxPK7Z46q8QwrBZcqHSMzNeULp/p12RBq0X38Z3UAN3Ubacv+Frjx7Lh3eRLG4TTD7X+ms2jJmTAPmjNpWMhVZf+I5fMHzNeoBhwG858+gFxUo9LLqJvLeogXZ0gvp+7twCFH7AHi1hD7IQJgzadelBLT8N/lIxfPW9ZHKXwyF7snrQ9ZopUZRUF+EY2rUGd4g5NtHiSjWM8kEsg4a3/IgasVzsmW8sNYAzx3hD7RlHflq7YFlq10S/dv8E9XTXCtFBNorY9EwdUwGmSRDP0VbbWMaojjDCJ7ZJY3TIiasb5fuZzkAhzjsONcBSH9IuqDL3EcdlJ/6Wsz51RYizImFGLxgJG5W20922jbSj07BqbUYiinnM2sjjb7ovsvndXM2515R6D1QAd9RXR9w3cd1dGSEc4JaTbrNI0S5JkruVdOK9/d29BiiENIsnU+BE5Tiv5zgvKMIR3zu4X/i+DLSTFSXKgJn7wYj2NjS4OrsVDdoZI5jR9TcI4JU4wXIjfqchYA2n4+UNY69cEgskTBeuv6m5SKoZsQFshnyFbhWp3kk1jKAAWvpAQV6c8K3Lp4NqH8Tt6PTeyyr7wUNKygbzrdcK2+VzwsGHxoFFZPuyO06qFl2V28sfHlsfr05WZ0fTW3f2VLQ+8Kq4PIg/zVkdsgjskBxkxZEeC+zFFc8pmWJbatllNvee13VQfIcc/BpUy6Pznxy+HIppONsV52AHgcbjMC7th+BsxzM6RAToTLxoQz6cViKm2zO0LEc36gu1Fm4ZvLxWdA9DtqMz9KMRV11PJ1NGlxjkCGkglY/iWfroTdclxGSx7WH25tuM/vL47mt21/7Gfz9OORRC/Pv14fnR3+SEv6YTbjtqoRp7Ki6cTr1WfP4gjpQibsuq1XmhlRSib1plmsTkNKPMQya1Y86Eh8HbEmSPl4v7rK9/Xybz39nyOpPN+oS6yuiA54JsfMJg+4d8ISBJUxRzr9MRT5pNBI1oXLK3a+A+obss2TcTQQT8cCe5oCcz3lCysNbCw6d8yQD/rWgmQQigmcxvLJbHbwtisqpXpzkN9rNNoMjc3G/Xns/4BAw9ZBzAxQTgKwOnHMN6lBs5AJbH4V0mLMS6pZhv5XgQvTp7kgvjjmEvjKbCuNdS6mMyO+NgNvGSVMJe5dGRQ16uMl3/WHMO18JccY8VNilRBXZ3Nd0kWid/x4ad1DGPMl2thJTa7eiJ+aMBt8B1kBQnFp0FPFHJCghPr+QGVw9nsmxV9JWXuFbMTBYOK0J4tJVvouABGc0cHnlLamN5wehJEv2skbvQJrDUr5dXzdmJHrxPZG0Mb/WVlrs9fOJ3OTGR/sjzF5+hJNU08lgTdqJMeIsWTEWJa5a+9Th5bwIrSg/Q27KwAjRRDL2oHAjCfX/y8sPcf0qnRW76l0uvz7Xj0ZiI64bIUJegAXeEv04nQX9OgTa13CxFh/upZoYpYrvk9boF09xqgpch/7UlWlcwJ+t/PhpzXICeex+G7meZBv6BDwWelHYQsqQD4U1mulQwed7DiUbzqaKDKNcglNGSm8ssEv7Oc0QbQ96qNHcdb9XttmV3VMeVXNyRazOZ/rPxEM5DlPCIXfwC/x2f5Bjwb7pDsGoTCTMEBuZ3TRuA1JS7oRkPJYBvZ8GKAc5AqDBZs9WO+FmcyG4e6bOOCkOVmud4Zi16FNVoFVwL/PJ6ihDzBbPid8sxg/cjz/rkyVHz1XmzeXj08vSnk5qkugNiSKD7lmw2ooEdPpnXcvZNuYMtyHgHQ9PIK/4MLC43JSKc0jCO79gFrbPtkNcWCJ42ivYpmVyVB4o1lQ/WE2nVGUMYtWkr1jb5BxxvOzrnhlYEVm+vpw4Rv4JFfUzzKkFXleoBV+Z6o/qhrGQCfSJLhamdzBZNSJWyh0RzR8aIci2P73JiZeBH3Fd2NUk1ep+yV6OHqLlKf3K19uebzPOFM1nKNsHZdtubMevUTf1DMFFQpMWiGpyzoFtk78FYnJEr85B01Jo0LhiepEL4dPIB6mXCKg2n+nQ+ZTjr6d2BAIejy9Ew3ubpi2ZJ8mnw+dvY4G/ttNUa4gxUm6TgJ6HKkyS+VC+13jhApiCB3mCMFJ46zKiGmMJ6I4MMGe1IGqbMGnsQWOD+pi0Ja8ACNf43nUUXrKKH8+XNhdUeSpTAnCgfvdN2MIBXcpkJHNqodkOczi31M7LfWQBlOKhMRzBkYTjUDrCVTcv3AQZcMaGzUUq1+a0pr2DDGs12H/K7krMyUD+4amm20Ci2A+7J5RulQaJqRRJUbwThrurI0gsgUJa+34weMoZUXlYF3REcwuV0PDYodAFpk6IaqFWN+sqoE63mrJVJUmsEVaB2ZAF0oOW99CPSAKy4CXLNwMhmJcC5iPhC2AE3D+r5cZPEZMcu1LO5oLPjGgKUqCYxo4JeLseFMNdzRbHUvN0MZ1rgARtPzZrMcXeTaOOqP2q2SYl6O0w+zekWnXUYNCiOmtt8yJPj05eRIoUiQxvVlQ9qYkuG7GZIYgUBYlKISY0XKOvC3xtqvuEjN5RWYIqPpsMlq5u2MEC6Yh8fhK3X5O72/3C5u429kpLiskEqtWd+mHcr8no86GQv0coeuUphhldDQYIqyexoGsCekWeJIglRPSp2kNowjFMheaqPPmIKMTzboKH1HQ7Wa0vBn1F1YQ88+dm0xaPoLLlifLa5PzChytV4ekG7CIhjV/TJy5enz74/x0hoU105EMRMbOkQfdMGLiymuVbufy5RaWJ7+iJTmisZcVGteFeQ0zc55Kwjf9z+MrwnbdgvjY+W/GA+bbjbOunu50w1NnX87GQzQzHwlat5iM1Onzw5ffb89LymlyQdti9rnU15PiNq4XLYtVIeDb5gBpVgpXYjaI+8v3vQ7rbeSgvCpUVDzf3KT7DjyjyrB/n5h05XV86mAww3bpzoRrv9XnRCC5DU7ctkTnuiXTAGXnTOi7xygG0CC/qII07ECwPpJrWD4Q+88Oegv93p7Xb6LYbGw+8Z5C76qhvVe93dRrS9vd3qdDsdept4N9Gr82AktBYluo2VDDm359w2m0o1W1gzJE+woGY0zL21aMeVSQaQR/GReCBLAsyiTFEiuX0ny+PZznPY04YMOYxnmSKs0lN6QZGxlq6/OndvBJX5lWpDBhuR2HXbgXpilqZodzQ2xlGvJePn9DzsW8HztQooYO7ieBkbPINCsoIJyKO5oQ4srJ/nDydGMoNwOyyn9kXJ2IXitUrBqpXSMsRjMwpYqvDAXqfqKYrm6Tgji98kPnoTThYPmLvpmKUWTlhBkWABQ7uAio7L8xaZt2sUyZMCH0K7ghKYcSlVfZMACG/9wOcPjvfmTqOU3DwFtttN/FYKyNUpYQQPvjsHokO2SUDRBNPb3m5Gqjb833vydygMCLOwAX8rJF4vEPMe/QqqYLsDSLBZMm+FZM98WKKphRSgQeXhQ6iUppUYweugOkWdoxKuHZ0VKrV5ESbw5JrluTtX89zIV9NZYnWO2xYdCClK3lcb1v1OrgO039GW0D90lVz+2hW7TyAvA9DmFpsE6HwSwEg3Cd5kVnDACuQpdg0WyWcVVDn9S6xxmdxyBdWBdV89e/7y8B+nL46eH5/YJGl5X8jbDmislvupvqLbqX5H6YYLp/eio0VjOg7XSKbGOKbS8cPyg9C2DPQhywFfBUEPznTSkhsB+Ap0af397z5S7JA4Wy5WqTidyJ6SUaey6ECLpU7k1g9ECSYUSTQCT8e4ko/jUJxZr0A75JGoLMDaKfFg3qhkCv+4hzGB9fWVuEFjXwxPpiQoostZWU7QyVp7KppGMUrv6XWsbCURczQ/4FK2ZgDK3iJyWE5f6KTI24IJCSRqGMs4igJjOG56b+1SIjZwdMr0/VCEZcVBHPtVPzCAwxHPbbozovH0FhcxLafG3dfB73Va93QuyCwAF2bNYp2PuLR29+9D9+l3N/XP8uPPA8fnm+hwsYhdeFuH7oxS9N5JrkOMgTAIrlXtOn0vxgOYncXklDJb6xDVoWqMV5gstGFgU7fswa0zceh2Opcuv0MUZgIAN8QzzH1SEoGHui9xbKIrjjIvJbZTc7/LeYREua6bnuigLwpTdm5y0ff82nwVKPIA4sAAb3rKzX/aEouv3MjKFSvODE3lhQ19O0c6oAbJYUi2usqDU6bw40jdokuMsJA+lencabqqueVhBSeu0APxqSfhFm9iQcsjk28Rv07wZWmFzM1xw7kCbbwKdChkW3EgZP4S42lDPUtjjzlAWXo1kQtaTkNgSPSoWooAwVkwRXev4BaNP17NUw13ZssLiXLKtPUTy8z4rVqhsxmjNXdqevJ4J0SSJ1qq+eK4n6sCswI/NSW7w6eqTWT8DB/TO5F4Jgf2XG5a0n3BqsRskhxIjjRKCpvNCkbEcPhEkrAY0L6Bh/YdOXnsn8Xj391De6nWgZd9RtGe0/LoL5HMZc3CAXW1zBVLuKe6QSkZWZVch+nwEoL5SsEXW67XS8dGlxhf+46ltl2T5TqgimnOGgD+BeQU7wpGX+QG/rg5YoIgvtpB6uYdpG4BM4d+8CcAhTxbqYgLl4nOAUu8GjBwvEA+nYgHIfcXfK3YQ7nrD9+3EvSC4oQXcMc5w3hEJP6KhBaL0snjxHeqj2yiikQZD1++PDz64eRYvyZxSTYt8l+3f/LNSSvTf7kAsv5b3wDFelt1a/S+rVlmxAqaEZ/GuwPc7dhekYz0oW3rWtF2Nw4RtGTvaFFFozz/cIF6JX5D+F60cm7t997u9Xc/luuzjj/MxMVN6m9FxwUflvbCgrm5q/iGaLMHMcKX6F3M11Fi68WT1snh+UstWJesa7M0DUfLE5m9MZrK0EMeKj/kkNxB2ZZekL1eLVjFDxckzPZA0lVPJy2GcTmK6dYakxskT2hoOZ90EKc8jlxvs1TbfgxKYrNbjEEAlPsQbal7q9YdaGDRRnV9RKNdwyzURSL3ndk5taxoBHGvLHNmZs53qtVEgrO117kPKKDf29DB6XWqHRznWv/Epdt3iocpgsqjXOWy4QjEr+evXrx4fvby5NibRyJVGNSJOa43ZIAKtIy0oqIsBuHUGIy6qV/jANVL0YlSZQ4/8pnOvT08Pj47OT+PZtArGuC1hIU4MLJNnb2TxFrxg9GC+BT+yYHczdM/KzJalfH+Zi4h9Or8wMe1aJ1NWUhTFlDhYYhikAAd6uty09qbzjtQmgqMfyxmq0WWnR1r+tR1edP5FHwDNLDrSwF8ppf2/zk6PDs7PTn7hqQ3xxo1692Rwxim8yEjTngOSSeiAjnJmZbSSbTwqPZsKkN4eJItd8iw4cnb/D96VPxSbWOQnh7dbYBgVjvQ0WsjSaOfHVZ8yrBsCu860HFpbmgbLJ1LepNCBLxOJhrhIPKMY4M1QfSeb3dfdYlZyJPljc84u3NYTK8Ss3glxOHLjlzKFqr94w4BXe0ZvHh+7uvOXULvkZ5n8sjkrfUNAHgAf4bbQJoPBD3BuP0gzLwxhwrPsacgVaVogQgAPBgaGm2hHi+KG5CVVXQ5rYC4AUUV199iiFr7Jn6Fz0U2pN0CcSy0QHPxrohMC9645U2iUCoEtkpcCwMu4GHYaxyL3p8DjsBdKDinwOKXqcU/nZydfnd6dPjy9Pkz1iGR0yHRd8/PyAw5PY+Onr969vLsPwLIoUDiVisKecF9KkLNGIc2MZTu6ovkOpW6hWS54BLGCxlKdTmF4GpQgQQ7p/fsnqy4GKGEEaRZfS961OEKYPjfy3ZXAkG9BTUAFuPB0WL2Z3C8Vjj+cCKSlfZe9GIrT0hVqyBSQB+dQZ8nj+b6A7Jg20qPLxGJP2V4lgtiO1LPAxM20C40fKZuDG5gSn0WRFxDQ0WAvJ+IIoxccQfjxI9sSSd0TywxeKBU41KXbOIyc5HJYCuCByo5ddQONCqHCtxjlG9tmnXIF/AfJxgdGEvYM5escVGzDHVC4htdc5hgIpOwJ4kYuD5GS1+fAM/Th39Fx+Um1cIju0znmvwR/1BOKBuS0npIJuKFJA0KNntsmIdXCINqyrhjAeDAI+JWCV+PxbeqNJuwsXQ1fkBBlnvm1+Sc1XNx+0Zl6ZVOasdUSxUZV64KMnJAk6O3jkSJ82XdD0IsJA0ByXGiRzIZZ4hJouKJ/T4XwUR4WaOTNnOrFdWYh4GychtU4c1dwyE4wGPpJxkdH1OXO3O4it7cW4zVmc48xTMFkCwV2Cc295DhQ2H5cgZh4JwuURqntiy5PlUYEbWSwH0uf6IVy7YXunWfafqLMwbZa0uK+bSNixx6RIgbGacruYhcgX6BeTTI1N0gpP6hcbRW280cwvNijb4aNEvodG2ceTi2DYWaNmAc7J9OJFUaIVUKPqzXSifb0LFH0ZK0gn62kpf9l6WhkqMVq63VrXzUe6sYBv9TDLZ/yQrIaq5VKWWk3eDeXJbisHUXEjKebuC8XWDZ6QyvK1tR5Y9zcWXGq2KZlszI+C6Xnuz6gBr3hTvVgMsD+oGjYr7KdKGAyqG6JtUk2E0Cp2d4iraukUVZg8Cb/U6xmYKgNwINpjyupk5ztC3VxgbwLfd48lVF57Lh7tBHaIWjXK034dKb2kdqHjBOyAW3mQlcBqRAeldQ8XCyy9M/a7J/sdBoOdMizFZYQU696pQb70VNffRnQVClJaCPEN0+1LHVwQ4ybgQ3sW0iHJ67ydwg2vsM4tIc+c5e2SDea5108nC2gaV5qNY7Nwtq/pxbhbNB5Fpu2SoUz8McHAZiD8sXfKfOVRIkpGo6JXjk69Sju2RRU9R0CRTlQ3RYBqBA8Zn1VnJu7UEjqUWt+Ofg5Z/jdOEiujOB82YiLBxSgSGv5XD9vM18llzSE6+t9ZXtPlQDycP5uqrEY0PYvmxe07EAnxUHq4OSFSJEofYlOopnMDWqbev8waKQlNugRgyB1ozSS3U3bDRB0+VLxKB0dfQ5wCntykeeVQo72JvnYu8WPhI72FrIjT1pnqhVOSmWwYSoGvNkmM5gMn3Le/u687cs/S35ured4yzXSaNzkrWZCwuX8vBqvmqjEpBvCl4PgOBYan/5i8HexwG//PIXlJKyz7eYiufGzrxpBZ4bNdHCQPbh0D5fQH1UNNYVEI9WhgZgAO4z0wBslJEdyUAFBQjHfnw56u/GlzVFF6DvG9fl6Rhm3Hh2u5LDELi0cge8Q1ZjgiqRcZzeZLkYOGQmVRRznLBDxNGyLzQV+zInMXED/CJH8oAKPC8gQDgCeyl+KMPB0SGWXIgfSI5+15qcUBsUfYgT8NlcexBL56PnPRkFtbQqnqN5zN0gmR8CAXXWjtbweyT8HhG/t74Bq9cXt+kQtySfDUmo/dNI3/LEFFQuHuWADyEHwOq3oWVeBqvEpacrFvFfZvb+rWo5vSDKmo5cr19Z1gBaRXKlD/vlL5q20ftVQZfWrkQmHyRzerokzd9vRSz9teg7FtWWiKpM6k7eLlYh3+fl0+D6WdGJfDFMqg4kaUenl2ILvE4Y1lriQzppdSOh5sUt55qX0l8KEuEg2u5ubXeGnZ1mtD+KdzvDYYJYq7Vd0hvINElyo1Rur/knKpI8SmWyRNxDECRYAyILmGF55BlmquMvfB8MNpkJACbQKde4qv28Z9r/M7S0bHZtSfZFri5OzuXY1cf8iuyq8btaN/8bgDb1ip+uSciUp7xAwuvf/tfXj+nIJ5yYpr/vdHY4Nkd/++233xrFDnAVRm+9yTppDaTeP1JCZJXJBkNzrcassBB63JoWqISJYFHZtkPTUgpuNSazmC8X15fLcWEO9yjNrpZAb1bl/kU6XmtPmAfUbHTEmmGWSwk9Iulw8XQ6ShrwmcoHvEoVt6UIHcd+ncjRIz8wV5x/1lF0bx3KjIORjF+YJE0X1nBcjGIBZCHK0iIG2H0+0vamPtJesZXcnSPP+Mi9uzjhNi7M4svn2GEGCeCVQqoHeDLAVU81mO2y9bA8PpD3cxS0l+svXXM5+kH1Ho9eslNyZuzhmoR6+51IFU70ePxmpD2iR9fpML6aWp/o6ZN8n6iqJdcRPkn5rPDZrDDtOFjUmcfAjjV1YrJe9qPOr4GqbzSpVe+j1qzagS3+9ImttNw9fijEEUeHi3ngqZVJL3U+aiWYU+XwQB3SGfTAbTwfwRWL82OSfRJMZsD6YiJ2FKfLi4Ufffam6GPlSki8fOeuplbOvOUoiVbP+wZBrSYe8uXKDii7THB4PoyHY+ZNLX9N5sCzVkQM2igEu3MNPmr6OD8WdNLRzwL86S11hfjmj7EazAlgahWB/T6rIwNaYlBCMCYbSVr9JX91VrccHxKKWmI/nM7uJIaqtCfz7l5v55hDAAwgcTX/cDmTdR7PKlYR3d+U/rWH+DDtiDNcrsgh9owVTm9aWBeclwvB4dZhGh4wN4lenQaD4FSY/HzF1VKeiToIeh+1I2q1Zbv9J+jN1rhGTlXW7RCl5D1U+l372c/xndOTTk02VDy5IG/COOCr+MmZaaFSGbmoRThqxEGe8b2PK10AK3gmjUizDQG6jDnZa7J9GxtSGZcOqp61Dpk0E8gneaP5MR/J3pXpxcqpW6V79f7CVpw3F7TSrVQTdNr1gqsaTUBtH2LtKRR9SKRmmRpBU1nBNEPspGSawYMVam1wd2h3hnqv0TzNXrMDO1oKcJuCf3yRhrk07rrgYk4INyFrveb4Rlvva97Fy4sW7msrSmLqSU1+kTSoEBXS5KbKgATtyKY788344hUtza/pUV9X1fBmS+3VTI7Kp2JKOoVTiGst9J0NcTk7ebAnMy11WACmE9iMIbOTB/lGNetFeA5UeQccpJFuorX8BPDwpWigfqq33dkMg/ObPPYmQurWjXssC+EPFdaCC8+GCHddC+8qw/+bvGGff0t4QpVpiHIGwk9fQN319GYWa6+4aykOTWRUtwRvoWOLX1sVTXgm/lxRpGGwoEBFuJpOGR1PkP4XGBiSySwa/i1TRfo9GTKeByq7qm8e+Cv3eoR2j2LpTYHKOQAgRXXjOmPSCYmsjsyLlgTQWrVoNl5mpH/pEjxsRk//3oy+f9yMjk+a0Xdn5Dc8o5/T/w5fNaN/e0F/0s/Pv89XRINAIQ3wtt52pwhuJI2wC23yuKSdtKQz//T8eaunszkFK68Z1JFmuXkuXAbuRnSw6p5PpcPGRiFg3rHMrJfCNjMYmdTxJxjRUgWPieMKrcGM1ADDjs+kG4CTQ2yDKyh+9HOQbiBOQa0Zm5TpRTLXGNB8ITJ1aY4JGsSZNRysG/J2KSok00vmUMns3tKHr9nLYI0IYCCPFdFU6Ok4B3GLEdrgOs/EJY9Q+Njgtv7wQ0pWAnO+MhTv9hp9qBNUVUNvOUaoQ0who6HebgS+w2o5zD2UBfLjztVwGw+LSFU0DcBHTJSiWAM5mhiXOcvUq2iTPApKqFGsxrgObdKQoEWgZDhLgtFgoWY5KJ9geM0YMICliOkMWwnO19ENcntQVrl0DRdInEoAjaPbsYC131xMaUHskUP3yTpTM3D8NnnVab4NyxIbXOPBG/kS5mY8i8kEu2XLG3EDrkTRapo8Z9hQnQWuPuOFhUtf8hVYebXUq8Env8lzTSl5sIpg6KhwHURi1eboFxoE4o9dTxnOhsEDTVKjevFuPT0BIOtjul4P6X9HT+h/z5vRixOOP9dOh8mY1leLrlKurOFQERKRDCOLFZUvX24MLTOtB+e3BqOJjF3UqwZi0AuXSkuTlzugpBw8qEz5VqB8CUrR/eHwz/SAuDRCpkasNX44yqToK0ZD5scFBKAZaXKPn8v+geLRBadaHEdkRtMKtagSzODhX9i8h9V8bGOTPAFkupBjUGkFBkfV2KfxvNSMai+S+bImqBcNO7aCyR0yVchHKxmIdK8yEP+P3+A4SWHhT29gmcyjR9FjjmfMa1wGpj87ChSlRhsZi1jfVz2XvSCyVVPl6oXp6zx45T0GQlxc7iT7Oxc8EMI3ENjSs9tYB/vIzcN3jli3KbArrTpLhUW/di4HKmPH76JHMmMc0MRf5fn4q/wBPGgwRL88FX6/nCLaJwd0K+eAvspYdLTwQq+hUXJBSx+y/pYY5OvkLlsAbU8KIuymy2GDxTqJNSghiy1lpHU7S0bMgSO31vmUNQXpIA5py9RRDAW94YFHcpXWNKHMn8AklIhnuo6Bg50gh8cWKu1qfsMTBwRHMZslwgalsresOIe0nK+R9xFH3zDEJy2kFtW3A2i16iYS+dZtzFImXUczpNYUGy3OXnvUbg5oNNVIuMvV6PMxByrDTRhsQaXauc9QuMKFgSOsszgUFHFG3S6v5RItW24Dg1zsDXa5EOBbHQx10+Qrzv4R5/818SCmmmlYFdULnvwInPHtOL1JF1+ba+m5BfrJoNGI6LRj1/SZBfTA5RaoaV/eeZ9jSNoMOJXswH0Y9xD7KjqG21v+5JFDHsazBaarYY5unNPyNnOvAE8mh2McIZ4AhHIdC3jVxLYYj4WDKxmMGAsGV8qszHBU5mfm332Eng5RFNUCHmFyIxQKNIk36pF601P1M5yStzEguUMCte4VMn7z38Jw93bHZsi5/iBueL8h6xi+/Way1cxZ24EqgKMyRjHo24bNU2XBQ0vSBea6GMJifj7dxxrNkKdJ5aGvPPDmu5x3c91xi3oSXaMtWsmkZafJhmOLFWvL3Z06hDblmZwkzRXN3J9VOqBw3JU8f//ti/yAxOn4k813Y3vN6xaoERCg6ToqYcsR7fGgXcbNip7yLY97f8FuDTe/tUgISJel7DJxceWr/3j+/emz49NDMppTZiH3db61sKn7SnT2NrS/ujs5++t08iZdCBMPBL9KXldZpbPkQjGBWSUJBnle4mawPhBBLeGac3RF1poBNE58a/i5Wm09B8iNPXZCf79+Z7tMKmGCzThjjWf7xpOWbIqugBPZHZFr5hG+AuBMralJ4Kjy48o2mDyiFj6Zdpp7UjPiiyd6dX5yVq6IceXmFzq9UHTIRYKkEV7KoVFU3nECl3Umum/JNgJ0yduYxxJHtZOJTGxBF3uebkgfisUirzEaFWe0H/pyfJkPM7qPqEpTJDkmiPfLgRjQb4y6SLiuSWFVimxRkx+2NvlKzTfSY2SPnyBjs0QkYiDWQTMYhgpnQJrvszwLEtlGLaPCLE7njhc/LqBNpZH2bBoO7cyQ7VbrSPKiwBDw0wf9kAaNzVgQXaoMEUEwyEFiCM7XyFk2V+SVW4GMWL/gPAkQ/mWAPbTqDapK+BVyGIgW5MOtRrlscTdOAGIg4ReJaRXRo23a0spyk718IfVesed3T3t+gx/0i5/YLv5gp/iV3T9c3/DGo72MXlzeNp3PBce+FRQUBnA5GJMp1JuqlS819vm5VOv1iZZPLN2IOYbJ4wD0IHiphKOC/nPXQiWFtqwnnZqM6g9RSQ1FxBwmNrVmjaKoP0h3NQJATM0MBLfRV/k7g/7tLo2PVWWzvOA5zub7B/enEFTKH3IXnZBfGk2dLQQaDdbwg1Mqm10SwH2+jtFNqpFaN8SeDSRca9BJEui3HJCxWMDDVwB+tWoPK4cZraCxXRefu3Uc2CeVRAp0dxG6slwy4+3gljwSpTN97cUAraUn8EOTmStViyRTIB1nHHq7kWnDXmJvdysY4ZGzU2VQkw/O8K2opL3Pft7fNH7ZLdjPC/Y9QHQyTWYYKrLQXlKbaxbOIB8l9JJUE7AwAKBMB+TX8KcVkIbuSbY2L7ifSvFDZMypRDoX09Zo+k7Gcr5Xt7iiwrzA4DdVRTRPmZrBG5i697yg6jFnUxaA4DmsBe9b6aalOBwjxwyn+cI0CT+qEiI/OAdu3My8aX5rUKm+X4xYui3lhgHNSqRKjT1AsUzNV2MIBm0ki61gkYNyzdKOSe4OM4DbI6zJt4RDglz4lBgxjm+Snydvpkjo2oRs4R94rmJQAvq8HT2mlVwi6YWH/IqUsQaHL8cCyqMHOokni1Y2JFan38Q8UMMtuMAztGJywvWMyI/mWRDkilhUf5xcxcM72QhZef+fvXfhbttKskb/Cpb7TpPsABRJkXpQ7aQViU40kSW1KDud+XyXF0hCEtoUqSFIy+q++e+3aledBwBSlGzHyTfjXjOxTYLAwTl1qvapxy4trovxjmjapgrM66FTejpWgscHXPoSh/8lE0fDwGmv//LijCZrFN9zOHcy+mGWjjb6vf4GV12gz+9wyv0ra6F0C2XMvsGH3w3m4dLpYycPjQ5MY8jSMxqGu45fplf4BhidN8RbAsaM7mdk3vFvUJDwtEHulw73bBzPWWVGd5yjAFAwQ3/O2T0DingUsY9hD5Sk2CzB+zQO+n8/lnerV37/U0zFEySOCOamQk+B3nRUoC+tykvBeXYpbJyVkgTp7x9aQbnhbEq2Lb4VlVwPThH2s6pHGjXzdcsYawnqHWiFLS0ceqNCv0QcdA7upwtlO5tKsCSdWXK7/G7TfMnMdEYzrTANmZsJt9Lp6IFjz27+yLJbPPbsFo89u8Vjz27x2LNbPPbsPv7YQ8awg4hfv9FsPPu//xB0atrVidksqTIpyuCEfY75gpijJJXW4YhKHQWRWlkuh+IyAJCmIRqY7+rT5awDV3LlUxRzKBbav92TNFSopjlXXfTJuinYZ4f+JLmT453aNKPr4fevoJnAeE7bC6wS2I4zd+zM/Yb7Mla+0HlpH82M4N8oriKEoy4rWDDVGP7nMtVi5egJp4v5AG1FBFXbRYwCa+rCwKhI+luvzzkxRk1+lIFTm/VoC5XjNFDRNfLMUypRZreRGOHLZw/IpffLitH1Rs9LPq9i2MoKEazIKQ9BRnZf4awn+X85WTQiOCkJnreGlVwt9HrJ/GOVXHS6JteJpdfk5poHYUBfQqT3nixXe7/rLjjxMsi0U5Ke+jhgSUIpcr7myNlpfFzIZl+O8Diqi79MibLo2DznMihRrBpI4Fh8Np0YxGHojVw+jNg6iU3BZeyxXqLjHTjDbUM0dZTJFcy58gnZNKWoTchFBCxZXqfo21K7txiCEXqdE/xwjV8BrXR/sdBnY8Dyg0NtZIdObbEXhLEahD7kuiE8E5BGCGqzSonRqnwU1TeiffHfsVAkytj+ppGbOonI6oBRPdj35h2T3g2WY3C57cbOzk5zGF92mjvb7dbWzs5wZ3N0GTdH/NdkOGpsjraG2+2dna3tRmvnMll6+i2Ii3b5MSdVmRYCRslEQgcaC1WeI5oGXoHpTPe8EyFPSuGh4R6o4hFZPrvKPD65DyRHT74VTVGMXEEPHsIxZftZ+1ClT1PH8KgFchZWCYy/mhVDh8h14vJwVqEm4ipjXzG6YqG1bCGtfFEKHY6oCfOQ6SymuUNeUzAUOhu6JG+1GWbqlGs0x/bJ+Ce71Ex1IZdXXBYn2Ba88zkERfclQip2ngbpPDQrRoOfoqcf8+2lc+WogP8N3Wqlxl4GIP0kbTHwl+0Kt/SQuSqY7xdZd8SL+YjsFL4UWdk+ycvlXCPesj+0TaY2I0axfjrJcvrWuDcDRD1uOM5B++iGAbs02VNWi6IjzXS3YbGyZkz5jCMuhfHsnFLVCfc3C5S0G0w1UyuhoRA0kGjL1BcRrgKbwYLTFjNEc0tPnJ18E+5Oo3DipA82ix+0ix90cgdM+mCreMV28YOd4ge7xQ+ajeJdm83/cTXojw7X5RWsYFVRst2VSkwYAJuNjWZrg0cTBlvd1la32Q7OXgZ6tYjzW0ANY8Xk3XwrVnE8m35rSt/uGkXG0IjrSuDao4Po7T1UXsV26NImQnNh43LVPfFvpeeX7Fpr92gihQHRV6Jq/Qzrptcwd4kNFEL1+fVqOIV3QHwKmKpEH5LPQ+UwFp+cvRgox0aUNx+Hq4q3aPmDCcKiX+qQzPn/MlEmnFRt1SoKNFkMvGw+dojf5eFXaPNQTsiW3XM/NNuZ+VwmOfkwhz9D266ks3s6QuisT0zXH0PPOXlHRln64nBOpKVWtQjTHF0EVbJ3z0qFIWzCM0iycuk3q7cFXakx3Uj825G95cAIYyR3pWHyRtzNbcRN2ogVk25pt0poXp+HJa+rIpIXLFYAZJxRpuEMmIoW2so5ioKCbRgkCgbGhv1+hQ4RJZPJaVDerS5h23FyOefHZ67+1HBPkOQZ5vw7OThhjPY6REsu0Qb4j3toBrg3Xre/u+Zdb56JPGxGs0701/TbD3/dSL998ywnFtXlMVkP/NdIR5LBf0R8ttVoGvavQ/B+lXddsybKPhnlBb5SjAk/UkpbDZXSzW6n0e1sQ0rzMsqNCD1pJJybgnDBym61oqcj6Es5a+n2kl3Nl4fmIzlbk3alJza7mx16Yi0n/rrrpeGFElAakvfIfOsUPTZwvV7/rrRvuBEFqpWlKaOzamhRLwDZ9KSHzg/N3eXTw95x76L3wJptWHI4vxOk0oTwi5S3md1l7gVow9/Be2ryIDih9Ab1/nKe4P3N4fmuELbstIOqrYxJ7bnUtV2x4fNsIRkdJm/uvehOmW65V4f3k9VAauZMJwzYqWS0ritkp/lYr0cr5/W4uM51ONEEcYBdViIjS4eC6GHEk8hTqb1LaIqNHY5t72UgA8A/11JPb3KfzZObj/Zr+F4FWVA8X9qpB7+cvkJjSNuDM+92ZGJcacHCm0WGh84cqFWdzq7gG/MoTKA7lKXUOirxsyopRXpirSJ0yN70pdJbsOy6kOFuyLD/dkNKMOUwVx3qNXTTZslR8HQ8bplXYRyDto/TuXhb4bocIBIHot9SW6tOXKJn6FViOu/iaInZ0KC/kw07kequkBberrgpP/NLJ9S2+p0lthKGN2yhqCn3WBSx2TU0f3sOxpgQbjpxLdcs351SH9oTvKSy4KRu2yeRcuIYuedgtauB1WIvacxFiMhFp5WXODvw5cJmPxDANXl2jzjH9xNal9WsagzQJL3tE0/y8NjZBWX8LnXceHFTyC1OZ27MY3rX6lwPGKEls2Ga+a0ZFQbd67xxXoiLMMfKN8jaNNcFcmpP9iD9tYSBN0rnxNVyKhKaHsn0/jk581tv2tzdqwVTpXBzPUL+KSEC+GMQhAAc5ipko8VAXZ9YQmVjz3xacBUYkROunn3gJJ/vFt8pdovv/K/oFr/cfqwzGuZMbffwfLbw+v2aENGbZ79MF6ymKnN/</t>
        </is>
      </c>
    </row>
    <row r="6">
      <c r="A6" t="inlineStr">
        <is>
          <t>f95zrQ3fySi6iMXX1h/jWfU3z0IpnIaCzCmkR6l/0fE5pSWhErefDk9f5raTbQBtxFJ6JXDmdWSHT9K7p6ImtJpQ5pFV5pGMDb2cnIK2+1CrvtWZsMrgfqEjqbfwa1dcLOhvuuBrl+ficdNe5Cn4tMn/Q52yTteiuUM/0PiIJat8/IpV+A0fNFDMfJrbukW7UQIjq7e2LP9vueoP4vPWY/F5p4TPxUBLfHcmPm05v+iRqZsL51gOd6GmEWwmsUzxw69wPdgcVTpb4Yk/EvKZ8vlxfbubtcHI0irGGpiUMfvMLnC5YTBcZ5bZUhqJbeFlqsK0FHO9gB/7whzVKkUOZ+7xbtrsVODwpIO5kgO6gsJK8YixYp7E36bX0ITOSXgLKbC5OGYuQGrmFHIcgz6C6TRIlMtnBp5UN75ubn6MG5ewzslp/9XBjwfHR72TC95QSNau6VOVYDEzfjNXNygzaSlr/TbafM4Nbbs19h1PZ8mINtD+xHdsPRiHlQ7f7FiFO8K4qsxBUE4j9eLZBu5EX5jlRCWxdYyd3YjorJyCv0fadHKrVJ0Qe9iQ92NCnonfqsRPPiPcfYOCC1NZDIhY5bTWp6dbeNBBpVTS6w3nDt25UpLVSuG8s9Ir+FBg1JBNTEaeW1JGFZZ3tforvVsucY3wMRA5m6kk0+ebeBauSQzNOLcwkDzjGzh+J9OZvcSTG18g/ugxz2IgM9dRA5MNT62Zbb/DkXQ75Skzc2CTIK5kKDbMgawWDdRAdJBf79wcPBWGEFDb1Q+n47HUkCEZNs2GMS/JA8eVwumkFZU++F9wXCnZIVcRXjWhhW+1709tmbYMZGSs8XXafMssZVw2ycN5Ox/IzIhLMcNmu9ve9WKG4q0tDi8/+mDt0MLVFl51QmXfwxgstPb2lVzHGMJeINRzsUWWSBZitgnG0sSeoiCwyHyY08eobHEFcM5ZIlkRXya6BsHgzejmlF7GePThzl8mDuftHDKD7ayUuMJ5+Zd6os3ib+ri73QJym/uBvsrFz83opIILB1O6E2xrNWqZTLLSwq17t2ZNA9Wlx4nP/tjE14vmWevyblsfQkTmBVFqTqvKZn/XCxyxdo8dWmilWtTW5LSlYVKwWaT0O9YEm0ASvMU1Wm6mNR9WOkeqq2HH9jUVqAv+biWmxmtEpMpWWUcW2IeDff2nj8ORXHWl/dkwHFeComQYotNBgXUhBzZxLFrkjM0e8dvWpKZOMu6M9pm6YzWLJ/RmqVixROvO2M3T2cS3aYkjgQIhu/iK1OHySQCH2hBwBGqfK8TW/cZBq810u6qOI0DW4gnDLHyZOp4cFy7xVA+x/4oH9pOQVPn5Xh+E/jDpzOcI7Iz5zf+XGxOaItxXp31Q6nUgZYsNRIo97W5mM7AA396ErzsvA42j3dDDgDGoxgFL8nsPfcOpPsGP09n4xEylfn8RofEo8lwynxXWXC4fxZiO5AI3AhRRujICNkvPePfsQ4g5A+6kjM793zv43hG2Kz34Rbhue+ZIwsHpQoTJzZ5RcDAptFN9hZUFNVpU0lQafFVmBw5pLhH0PvxU5qNn37gmyNIuFQQanooSSdIQeF22FhbgQ7uEFmWBTnOGoa7STLn4GowjwflE6QCBRqUTDQti4yd/+LPoD/m0pkstd5xIcqQdANsS0mtk4Pwh0g8PYTPB7RhlMtXOmzqkVJxsH2nVRElZ2NdTOmHZJKo327ASZVZPcAMSQ8DxFX1dlr0KB2DmWaUhqDZle6kZY4z0jCRbpZLDbCsLhsm6wUea5uqqdEmtAiRFcMnlb5ZJMUB4isQRawZoJYxV8KWgqF05GZC86Et/FLaOzLPoDrecllhaMNImi+zDUzosM6tgtIPwtY/pIFJjsiVsM310cqeZ8AJr0FwS/eJUxmW0pCRgllCD+pK4H7dfHpBe5kfJ2Aya6JHmQdFiAzpG7ormlfYg5awKZCkwa2IxvLM5YVW88I+ofVnuU3IgR96kblIxlDTBTRf7ssdSJ2iLR5G+9LPNkWZBu9onnKYqMamSU/MqY0JzotTby3V3OaUUSZCwCaeBBfKDpSCsqMibeYr+v1OEgH/yRynsMqtaKC3kL6j58i00DQuNWbSZlcrC8YsQTOn8WjgwksQIPzN8Ep1kXRlkpM0aCUkYUL99K7vsV12L9gavJuAg8dyPtnFjdjrguxuG/7NSI/QLfgMkot8Su/aqQiZx/yj8gEJQ08oyOSLZNT7EPQmQkxA55p0MqJTX3Nzt/Vhp739xVgVNz/Hmfq35pM/TyyDkWIcD/3jCdb7Fme2o/UVmPeX6yFLk6XSk0GTiS/UF/eub19z+79gbCWLo2xoTVrSOlUWGt4WZxOsUptMfZ32WGW/RKtLpcMf+Nj12jeUU5BAs7EU26uUz0wzyHC0Gzhk8jiguBQWLgGDTPfBISXtteOJiQWJBhvuBWuR4QOgUGGju4Xnkc8jwIKqRuFRzQMvZcHzqIAcU1PlYsqe78m9Dscel9zZIgr+SOq+XueIQWbc03YfLcdWgqpsgzQSl+u5MqpbQ28SRETlwxBMsjtukX1hp4l2E1I+MqU8UwknJMqnHCThmUY/SkEy1eyRmFEmJ+vy7+nXe8vw+SBBfwu37Cjw+wRm8p3m7uVm0tmudYO+p6MiQnkRr3Yk83zF0yT+BjJ172VC0nd1M4UveH6cCdgLGMAQ1ETKKSJGdIZOk7u6OiK4GWoSvOg9iYy80y51wyqej/NdsFS49jVy0jVhNV7EuYKBzkanEsxT05shUxYTEzeOhcfn3neJMEaQDgWiW/WQIYAvsbmIi4mZhDVNsQrD9OOYuj8klGnrH+EuyRY3BOHvMfbMxAPn09vclX2IgiGw0TAhAC1qKgYJ+DnR46B8fLsw15rQk90BUz+fMpRWM773qZJBFdhJRE2A3/SSTUjhnJdfFn2gBdB2CJhd3ia2IbAaeOgA0Sw4LG/y63a4xkpOfVhjRMPutPrNdUDFvYERj+b2/KbZfnxg8dIO+C66C9P5knRBgRBzwc7AwOe9/cNfgovToP/j0ZnIG6Er6XBoQuUpIp62D4WlvBcQffK6d3704qh3GLTw25h5iVytpqiG+SyNeQOrV5yXl3V98Kp/1t+46JHqU4IvEVeyIAIkt9uNzlaT/hdUXqu8VsTgbbe3fm508h/TzYKd7Xazs+19DtHnX/x9n0Xg1RmN2Qo/Eh+QgudJH58EzQVQhzQtaCsFqsrBvcfKpMkhIGnh5+iXmGFz7kgfU7z4mzSUNRv04cxH6cXO1pmhVjcQDa0sNcVl8ed75d9z86vdea/G8WSoHjrpSckixjN7pzRM45RmyHSAzdPaCLPJFADiauqZQqSb3N5OM/Z6guBTb8/5L4wCnIDx7nLnkfZW4zc/j6w+Gvjni/IhZfNJh5Q/FoO2Cr9kMBbUE2/7blHlbLLKqRZ2e26LY/96W5vF0khbzai7gh6q4gdLFYuqgs3zTk5QCXW+oLlg/++3ens9RD+3T9NIicuImGaJad/0szk3c3mOSi2OxuYEdjTRwlpQ/tgHi64Yzaa3twKQm6GXrWCdhO/9EYl5GGrLPXqI/4qh8ZprI7uc6foEMNYcJLuDnbhDYCxvDUXZIYsRmyZz+Or58+cBMuOkNZ/Uuxh7JqOO9AU3/DlhSXka+uqU0FfrEeiL4Mytsn/UmIrcqB0tS1OWN1GVECZ65+Oj1z35JCZsEdPe58XjJjx+u13X7zFXl6p+TmsWpV0M7U2gAxtZGqP3whVOMtxJ5FEYzX+ZZTAtst/mUNhKPsaXyKUCOMvXjuAL9DQi+EKgM7Zt42ybR2RLGgPYQ7UMrfChnOb1kJ8tB3XsljUjNQviwJ0ws7C56kIpvD08Ou8dXBBe6B32/hEG/Yv9l/TpAae38vd0EP7xGJu+COmck9etu1ledLZz3ShDs4jIdNKGk7HJDJjEN8bra80WhyFcGD9znnovg9T1veLLD9FO3cQZkf89VWoEjwQSEBFSR/pH2axBcZQydyQk54Zg/j2bXeXJpRNbJNEsZBZaYfWQJFMgDkCpG9yqp9CuAJoeIILAm/0WjpYcrrTSEAwQdnSCAEtui3Ywsfw62Ejsxhz9M0Y02rSG9IubB8n8Lkls51c+RRvfj/ByAEiWZJcdSzQzlzOwYaZzw658O005/Fjg+jHLZeh++Nw/veJJswVemiCLp7M6wGsIoMDE86uxdzWWg+QouR1PmYPqBXJ8tdCGu8yVBZn2H+akulaOz/qmPeZydDR9+MhGi9PfPzn8/vQfuZ43pgWvPUeIn1ikyqdzyMsDk4WUAO2P6dX1b1zDU1JjD6NaeTtJmLbZyl2RnuWbHttDTo20rNKhQJVxgWRRu7INFvcl5U0H8cUsp8Idk75WdzEqcLqFpJWHyCy+aAZQLsAxNLBeuZaFVJoIKvpGKnXYC5azOckHoJZBci1ELF9B8G8Mgg+0pakUZkk52AyFwH4ufzDQKhocykNoRN6GLALq/TRiCcTIgJaVKZsGzV5RwyqIRA8735ESwwdQTza+sBxkGLhjwIaMj7GlfEPHW7mDAANN5g9exlyCvJhZfTSdTCTfUhgh1XlBWk79m5mxtXVTuy3FzcqsxbwL3rtU9uA35RmAoqVHM2jXlz4Xphz+hDO16AJ+ZT9PIxOP7bXmIGf0FPbX4u0we5M6ofGI1Dn7Ub0XdDewBcYq7zRuHbJJcvV6XOOMnwVTUgnv4/EisVRuNjaxR2+pGe+mL4YGoHmVPOqRusVINBw5FCFPHHG4asV8CSNhjdN3fHjpA/RL5+sYXlsGHeh06iIOjpKas9YWV13x1pXhlrNOa+zOA8bmE84aw+Fu0hkMLwmUO3sL88vrp9pN1aAZFBNgc3sDQhKc90OLtUcbl187AtHtSEKbV1NNReEbCwk1MqnULP/tbJbsL2jiZum/kup1nJ3bWuPa004kW6UTSfvBEwlv15fxLVgPuU/pOI1B/sWIj/TCvWvn4LIcOLFJCrwlc0KPFzbZySbnpC5DiuXcgkm0YVGXsPakXXPWMMPMnTDow+iGPtSs4KGfFqW7RFZcS6w4FYT5MefxILSpVvat/dQ7EkpbYoPeSnx0F1DaOz+DC+H10X5wcHrY0xpkV6OisUR0li6fNQq5W3y3TIcFKMcPCgMDGGF+OQeLqUZov9K7P5ALZJJtxKF7rwf2xSR+T4dd7OAIjPq6jIYBesIspXYxdWUxGaxf7Kr6bTKL7WMhO3PpBV7RYwRzd4ByzUTVaDjSA6ew9KsLzEvxWFfvxvLIQszdVWYpXZ9oEp4XxkvzWXpdGw0OXdaPvC4+uGZuVqT5E5gBJ5Kxghop/lm8y16TcY5Sl9ZK+wnzYon7gdfDZlNBSwtP8QccqQqkeXBbMnUQOx0XHPec+1iMH+BO/pomA5M+W9fR6RWNQLDwZ/Lzmv33MCQ+PH2p/Md2p3k9D/NLq5oEK6u0cqmX4g56cccTaLu1mXTSzaZZsZyAyjEKql70UmTbcN/F2g8e6twFqaf5RqBfoetvCl2dZLDqsPtCw8WCBYygdJfpaT8Lz4SIXvAeiydQsdiy34jrTDbrnLGnEPqOlKKDB1CvWMLPwjafTO3+01s/6mYSAZWNgKwxLejTRtdkilaMtBWNEyZU5L7X7vLSE4JTjsejiJTRo6pyzxqIT0Hgdwby3GrFGEKZcxQk1iuf0sy7kWxv7uxscjNvZ6pL+53mKMPETljLRvEdknd11dh0oNZDe9RDPdNgsfFvwS05MX6V/O6m50TzacQ3eCJYKnXybm89Jnh+qPo38ysJeVzvacMMFmP2TPrNxzmsJRlN0t5pZJpOCSh3DeTu4Ni8yvcQ9r17LB2Pi5y7MZZ9spExIMXWM8cIFqM/M++neOB5YA38l3AKxPTs8AXnjFb4zyr2bK1ihxn819nx0RG+p7+hkwA3NZVSYD/v/dtCvnuYa1epaA531VfDAcXexY0bxcnWNuZeTH19a+FY6RFFlp/S4kn2EQ64EsU3Tr1RcimJ3C5jxvMbDrxsmJLswMDhGSw5S+CRfYhEhmRhNrAeXL1UWg9zgSwJX5JfEqXrde82ZYk0d3pPM8CtPzI6r9/qHStyq+p/JYNZTJ8tk1gFTHAhGDTu9DaQGaLxufF6DCFz701zLkTxG/IjwRjk7Q/rVETnd2E2qAceRDbORClQiUc2+2Iu/HxTXXubIYGPvR4mGZ1ch2C8HNKAbwAVBsmXbaZZ2sZFALbUSW26WtAPzZRZmUs1r83XWqpdEZOPNI9EVYNs0cWtVMGG0s2aHRVmo+U7IxxwL2eU3vGZKJuv3LNqKHPVLxoOcNJlCtU/EyizJUVInfqiEO08YefSHxSkrUwfPotnHIb2iHnRIFd0ILtDbBe4weIKgA47uls0flWr//Pa3+hi7MNaXhX5Sq2gw4Kqszq10Pa3tOp4iuZfaoNlj3v8umKDPSJPZ+x8f5Ozqt/mjWXXaRexC2cnP4gupj+rMzRVojHKqTI3MEAIucyqwFj5ymVMvbPjVlDp8dv2xnNaxQ3tJ2aULwJ59HWF/1PlnJ6b+APfR4IqpXmw7RGcvvMzrcy1dK4/OH358vSkdcgsxjc3NBH012o2p+OmPvZ4//ve8dvD/Yv9t6cnx78EFZkVZCaBrdv6NPEyJoXcJldY8ciP0uQ6VOnibvDD0Qvz1DDw5CAMvGkLg5w8hDxte3hIl3+Dr/GDMPjPsx/YdflA7OpbjFJfJr1hVSoLXRHHqDKRSRqWQW3VpeYyLMhAqIKri1crJJBvLd3y7bVbvh1UsbfQgNJucenZrrt8+ym7/Hyr6/uH126AHBSJH5accL3YyDoXkAHPY26nQI4EiaxDNNWcWgmlP47VLmWh0uVaJlXLt6HdhXYDktXkW91JLa1F+cweji1tfqA7gyTLes4tPafDP3ZCl20760n76BNcu5MM4jbybGQNodAj2GcTKZeNWhYFu22rPI+SnQKwGei80b/ojZ94ONspHc62HzycLeY0kVnw5+DHKSdg32ecWnMtf9eQzxDXBLPFWNItcWweIQVipIFYyV7QzAVlSyRZuA7SIZc+LkuvWXMgK40rdyKTb7Er+0Nur8aA8ofxdECzZgbvOrWMpCXMHYkWsvRb21GzGUktPCIRhu9Yin/1iZZfG95uV8iafzlLgDQT7Ooyb0xmo+kxvIQIX686cBOcISFJU+N1mzkMJ3n1Ms0yBJPDQ5POipW0FRvf8olt2Qvyj0WWaDK2TfWa8rDo8q5JtUYijEToR7F5ccvexSEcCUYZnELGkaMAvAd7aIuH8o87pRh0iTsaZjXO85F7jEvE4bOKn4KTZisSfUDLaZJ8Rsktgn3IzCscEk8tk2qJfZmbx+LG8HkLXss3D1InLIHXqVd45wlKBss3QTSR1mnoL/ooVXIBLLxwumLYCAJaeIUAIKLB13ZXMAz8hQ4SNLWHMWu861nKzasIAb33aJNkNAQ5Gbwg2eueflTTChKXdyR1TpzJrqvoJ5RULAF2NEKNCV07iums+P29ZEzEekwR8QkuxwYJYpnozPOzWT5xrcFt7/FFYHJ0Xh+RiP3ZffOiV4oHw54l0IO2AzfNDLHp8b1hL/AUD0dvPJWpKSTJ3AB/IVUSN4b12mKN5vE7dDk7tN0J9EYkeOmQhClhzACH7yQyVOTYZvHovaZsK3k3lthcAm0mLVFt1PyW10pvD5+Ap/fhlgWZiNutt4tMaxOX3Z7Oq1+9/b+ptx+9E5w6yfzoOmcQ/n3fLl/VGTifyj+v/E0HAiZuATm+JjXqTb5jFny6k7UPte+kdE7UsHmU0/V8ZhqZQKev2yC15mRZkpvASeRooQaEb3MnhCgmGQI2Xk2FR7j/jun5mUBPB2+a7dExsLqUcF93+IbRnxtbzMypGTZu1NxgFFOdmxp/V/+pufVd0Idbqxv8/LJPekAhXhenoMipum7Q9F8Tr2hObzCrrCRQtui9JKlGY794ziLr38Pl6mezoRTtIVyvIAuVSwlpEmSOQptMIJWJDBGwLulkTqbvE8BvZ6vVGQ132hy+ULj2jYNrnuVjSV1IXfE8vbyv23Q58MMvlJeYJSOXEvI04LtbAr47DwHfM7jiGGD2JqNoehmR8STNC40QoIU00mQV2S4m4EGWoNbcQD7pwqMQh51Szt/npSwCTsWmNRhH17XhM+JStnNv9jAgXjZeHxKLa7FQ3qeXYqPixRCS79rDiOavyksLgOMDXqj2Oqjsu+FVPOMtoQrDXVrIUJ/FV7P49tqWBKbz0LSCdOkedp51QsuI9cTPBdXYs505KUMCObo0q/EXQd1UdilI+ZHQQBtqoLow6z6i3acBjd/ZmAYd8ofo5ZHOZvyILEXTnKHpp1WCrBIwJPm/ho9mcm98fBLvUnqHqa4HQuzTmapPBbPRwwnovJsmSJnOcc0uJsuKCH3elttZEmmkU/P6VkmBP2M0wuXSgBitnFAYrl4uxmPOcKMbD8bMv+LvJdPC60idP76H3aukRPUpUJDZirndVb1S6hxknkyi91PCaKOat9SSZku/m9jtZzYrvxiYO2Tmgd0yWneu1BGXB6tE2oDxKPTEU53r6nW9Nf1dbXqWn+8/B2wrLrxW8VoobruF5RJ/QW7zQCK9LXYZj9cmdK+DxR+T0a365ePyuGk2MV3IvYdjQUMa8bLiQYky2c3mEl1dHw8pumLUWFa/NuilqnppCje4ERiQV/pc8AXXhoZnKsaLJHvHlujmcmqy6/hWEsPyiiIYkJIDKl9WUYRFfp/ivR7TvQHog0TJlFkIPe5QCoy/4u0/dmK40yFeFrj7UPyF7h0EcPeHdGE36L3unf+iulYzui5RqQnaCmfVSc+kl4zqXZGBn/fwRA2acrYpmICO5h5/PLs0Jv4+1PyuVenh9h33chmmxZ5ityDGV71BT5UWhqZlo8zD8p9W6l7DrbkrQ8IJKb1R34Khz2QLSoqv1JpXNZokW9KIIy7CVCZqZzq1PhOrRzvYM4FWN6vHKUfOVDQChoPctNZzMSYO95m0cSGP3NMEUwM5xRKow0C9iZ8A2zc3R53msJkQbPfwoRPM5Rnb3wgy+EbXqupPxPvMWtKneau3Sh3Opef5KtDOzXgsJjYlUcgoQK+cKbKqxUxIxhh4emL2UUk9MNKJ5Logu0Fe/2JANo4TsBbKRS6RSI9w7UPwqk/2kuZhPuUrCB6gF9UwTcx1jDfsZ+uSss2DcknZ+mEev19rroV4ZC1kgi/aNsZa7vAlAYefCsEhbm1kQbSiFS37QLbBA9nRerWjnXWJdSb9YaZczfYlXYNNtfPImhYLKq5TwbxCnmHpN3hdMh3kq35kZvw+uBzHV8WEHjuNXayQNnY9Ow/OFsmMhOGcTp5h8PqI1+51Orsi3XaUjWOQ5vzwKvhhEd+EwX4/2L8hGMUlxP34ZhqHwcszQnczfv1J8DJmJozY/fDVS77dy5T54E8X8zFS8vVb7oQoipZ1JY2YOZQqnuTQ8fI+YeC8YAoHPc84GFzxMxYhq9/QfL1dZG/zEyHayYLI0q/4u7onoV1Ip87Pq/5hGPRendMcfH9GcrxP/zw6oX/uv6K/9X845DDvL/TFCf1nv3dIP5HRYnTtFvzWuDN7f+es92zAnPOS5XjT3GkYZv98OvJsOnWs3u2trkVJN4gb5l/EdLoyoNLrUAmUparJRZRbnUYEOm/NmwqXZD2aa7Mkng2vkaZEinIwHSgvpJy8zFFLO2SQ6UuSSJJaaR4icI9adp6hAgWDaS3F2e/EI2I2RhGqHygFwUoukS0p5TeJR2aVQi//QvLJDfGnQC5pi+alY/J5jmxeIj9Lnfb7jMlHYif63I3mK4J9yGMsipsRKMyehhnEIpLMZPXltkl+1mrvQsFsNrdonJ7ar9KeHS2Eu1K8Qawd+0ptxYjSAtKy/VRMZXUka0WpB0J/FAOlPcWT0wt3kh5ZsA/53LlcJNnaanmp5vZOUNRmeCdSjsDg//XzD6FItUkm1xf0XzqraZTvGjl6ZoQAtTPjGIBbIXQKJTQKLIICUyJaUDQqmFG4KW4Vq6yuhfAPrx+J4kFgMIWbFdqHxF736ydAw9fNTpPMDv3RInSIf2UEHR4ShLKhln4HdH4d1fZwK73Hinl/GmBsPg0wHgkUxHYDyemM1bMVQeHN5Lkr5n1aks8S3LRRe5nuXaRxTqLFLanAkcmQHV5/PhBYHNqjsN6yLGwfbcyT8Thz1LGucN2Cw0umXv5Re6/jzqB65qgBndNGBmUzcDOtWE0CI0kkIuUxvJ62ro1Lg5ltn0AWU/jjjEZ6u4jsXjB/xQ0qkQ3CJ0N/7+wPtlLEPNLaeibRVTErYqJAsHTLHxl4+PHRyMupmL0g4XYBXA3S//uxeM3B9C99Bhje9j5wmRXdnVTKut/5aG010so9n1ufaAF3zKwzGPc4vodBR7kmvnxrpKtu7la3l6NOWk53PWbaDl5K0SIP4kxLR6Jvg+sFexkytCJgezRMNICkP8ZvzU+F0ThBbGMW39nj4218zzl12fo57IPUoct8TziJXi1mtlY9M8yefHJjSXyndY3txmZw0TvZP7l4e/Dj/slJ7/jtyenFW/rk++PeId31e+dZBfhhsj8uXIxdx1elNuQDSgjaZt2t7/jieH7NH/5n/J5zTuJMDjLG6UEvCq5yRK/mvCYaJkcHCNgJI5umfE7mSePpDKDkYGREfhbrCYxOJtkdRzk1dOGwlE2/PDsKjtn/4LZ3VxLWtaeCXQS+csYIJyLJv9UDvrlog89xtxx9I3Q7AnQ/mlxyRsdsQXtzlpg+NnuGQoDPcCnSg+QAFBsGJFKGXGO1P064DNX25smN73AxA/qWfhd8KLhMJZ0PPxJOsEtaZ9YmIdNP3tCI+73z/TC4XPB4atLo7svVD6wC1uXexHW73LzUGqGy2VbAewLzliqngMO3YlaS0Z5/CLKFl44bwOZbPQpcGyuKhllPRNpNi7jx55b5c9OWAYSuct7kHfa1XKyvvp6+mnD6s6N/7vxfUT7Q/n3LB847Xa3F5X58Hl8RSDCN1oh8YPFRyLkWLjFiOYcXAoJLzQY98lwyPoAmmPjDNwGiIY0hEFoAsS3/8mxLvgim5qWAsIwydCFjEea0s7pwjVLODL8GX/uRxuRBW2KT+96lCIFaKCRl8LZfJETRUThklsnDIkVele6yPHouAi1Gxq6T8S1NMUdxX+92TCy8QiDbFY+SdkeeJBfl83pk71jPc+7J6zSmK25NBgn7oSpcOSs014Rzf3rFxl74oJMzVvVznIY06iSqTcmi8UAYQI7pL24xiCUZu5W+OB4xrYfJkM4RhK3+k2xaE/fmLk/p1QyuWr4H9CBvyYj72o6D/mKAFbodx8OEz698IMyu02mcBjfm2soeiakugKx3loO61crh99Fohv6ZarlSaS8Vs1ghzemUTlFkjDiPRzMgznv9i42r87ODjf6LizOycChDoO0hjwhyKd6Vk1EmtziAlFXImlbOaWxmYOZj42L6mSNJ6FLCG9wkqx4cH52d9c7D4LT39uJ8/+CnI667uPj+7cv9k1f7x285Ge8lN0fl27w+PTp8+8vJXnB4cRCYICan7U/Bi1k5Rn6fcrkP7ukktslcm/RHO+R/dPi/be51pW9UgckVd1Rs2oqymZsF1c1IyHIQ4qap41QkMsD1uqYVHoJKDZVnJJ8wKszy2rXnAVaBExwDcajqHZz3Lvq0pw7Ofzm7ODo9eftT75ccj9l79r1ymJTZ1/+4xR5WJ1vFu1aBVh+F8KGKV+hZnnJslSqOfdmSXcKHrspLbk8ijUrsZqk57dg1K49GsR+jDMEf/DFSQ7871RZXIhGnZ3TLo7eEUI0ksATwdb+taLHiepz6JTUyvWEugqHEfJCQZ/KjH9LJzAQ1k6nlqv4oeEApr9KjNNSirizpvM+p50JWX4a80+F9OhmeHPbfnpJuOu7Jb9/+Z//0hBvaOLXI+tBexXRfy5Sj+Sl9v0RRhtxiOJuO34PVZaJre9h7jbxr096JT1uLG9J2PB95NVhdof82+M+2/NHBH1CBxbMU7dFPOvvQLQunn2rlMUca3p77OexgRnbMjXszFzheiiQqfKJmaGUbUmh8TmZySDswV4ei2hueFc1PjbSHkf0RezRl+tF9w6ZMQf5VO3+svzFpbe+2LreYAOOQ/q2uueFsMRgY940DtBtLFCt96GnWjVUKs+Tde5rTsfW0bhH7k2Ax4dYek8CdHnn7MTpLXIXF2Ao2fHDLCNqEjgF5J3Llq/NjV05V4ZWHpFQs+VLe7wgWrjXnWpalCEOL2E0X0U0j0FAKRM+F3eJZ2TVpME3polvO+8ZY14wAYI9OJTecz5xkHmW85OoxWQDSaOamod5Y59LzniK3WEm33b1qS3iL76bIfcE7sj3ArTIpuqGtk0zmXg8O8NUsJBPthn5wD21NoL8Hm3phHlTKI3VCoMvOmjwDTTC/SSQ7HDOo8O/OMDTZTJDQtWa4F60HbrAYKfTw92kpE7t9F/MZWwNzMKKzSfKh2IbCyh6nPZDAggDMi92pm8ETO39pC45axJdk8jgnicdRZoB1gSCTzFApSrnX1teTIUlQ4DFw/JpEYMm9NdFvanoy3SLfOKNTSTavF7M0MdVYBaQpiU2WrommMkdf325J7ueoZO9o5GSaGExQJoG3KcKEyYJbapA0eYgjUz+havxBzO0VEk/MScimtK4KHzR/XKQNvMba5YYA6Lt1nBmfvcn8SvWw3g2mfpBJ/D69isXvx0/hv9V5qXCCpNevlJfWHZWum7ikJDR1pm1GVR9a7nAQ3hRMFLamyGionXagPYygrFMfX7Msv0SMWnWIlR3DgMEcgC754F78otgT3eAx9otFaKWVQSNSrXIzagfJ+9ca80LbUaNNuSEvt50yKeJsAYoiyToktmnCleUaueIl/RFcZAdvwZIbYoRUUtEmddRtIQ0MznvLwndp/+V6PM6dajM9JewMMB+N9JRGX0pmq6FxfEr1e7K52dntMPPrqxLg+Yu2mZggcb5fmkiO+3D1YzpM59iPz988+8ubZ3wUHl5Hcgy1U82oWXb3DLX+aAQsmuJpUK7cGPtBolek/fOpoAurPYkmC+SLKUdCOrIUw51GI7DRZoGf3vjb9O33MeekapfrjHOexuyIQCiVmfwRNk6yfP435zMuJnwEAtdoXOqF/bMxr6JWlOYHCauhje34bc+VqygeDCWNUHJ9YKWXXNbEnljyxa75XxlgnercMJXAYMi5InbeamEgd7Q/p6/lqzAHymrluhzo7Cy5Upr72NYKxGp0BTH8UxizYmlyMLJzEPEiWECl/Kx+mThXLt0krNgim2rPCbzwcEptCisPlPHuY71vkhidEEiOh4k4G+mMEbPN9uN30n2Pl3iQ8MPM4WxUwFPLVyknYZKSy66Fo5OL3vnJ/vHb3vn56bkW905p/IA8d0jEQgssU6MCibJFBxwTQMIauoCR9kZzRDqjcCVezB2FF7c4YGmMEPhwmASbl8moOdjZUjc4F5SbLUELzrz1qMmazqSevStJ2fIKKNenKaOFaMt9KyIqTvnVg/5UMwUZmorcZwKGpIQEPyBQc5vMOPNAjwWxt5uQHf1lQNLSLVWkFJO4x2A6uvdyuO8SzgcXY8qZT0n8zrE+o6ScFLGwPDBSpH8j7EF/2mAD7wfCmWgMHMuUj2PlLDPLBbEYJXOyfEjPUL3CrViV7OWSrJJaG80NkzZ/I3ewc/pHwuDmHKZ7yHNams3GiSKjxM8BuyKMHbGo+Vpqz74xn3oU6n9FWJ8XYa3QKmKcRbO0jWaBqIrncv/4xen5y97h2/Pe31+hCYxKg9Gcb5jSTBVmBTc+mVaCG5bGQQJTeEX6hgw6pNlpyLKZq4huY+ESmfQ1iiRqqV6JTRPWbpA3UCWrZFQOq5rT88PeOdzWL05fnRySjmFYhMCL4iHTopsVllRc32FSsGmFrMI7JCfaMFsAqyZ9Q93LVq/qJqrgnygnY6TH/jfTFpmLVPgwSK86Hoc2ddj8EDq9oqdGd7Gqcnqn7FNoZy8bl5fbo90tgm0vyV5MR/uzqwVfyt6il2kGz17PLthNbLqd8ZSUBQOS44ynUvsb2w28/jSM1n4aRkNWi6aumFwxkjhN/ohMd5vobEpY897wtJyzjpwlM/MxeyeS2SdiKy2I2bj48ftGo5FzldnkGnnQkoqNfQIb8YIrpefIMB0F/pstS+hbZIQcggFnbXPjhBQ9jS4RRQdRE4NodVzDSTTJ9ZvXfmaCzxe4w8IkJSUf5ox4V80hV3zQBsWhRJyqyvCpVa5xaXoJ7746P3a9OtjgmeyndDZCQktaSgU808ELOy4wRTf4R/SCZS061eDrYY+LFf4RmcGyFNsvJ9NsQhuXQ2mkdXANt/Wh81YEbzhbs4g99AlTqH6ISLM9J5TIaiyaJQapcWfMAY+k+6BYFV6aI208S9HFjHAioyn7K8BJFH0NCv2i7b6ZwvkOVjAGH7yAFn0A96hbb5DYCgTVD9LXimvinQtqHSJa0wPqaXiovA0eamia3xd8WopdZRK216PARJ0rchhk03OmAmkEbV1ztQK0tBYkiJNVCqDhjsX6E1D6q8jyt8hBqzZrf93QD6RX7iSfvQ1FZ2so6I4G+yMLxGsvqL2mfGKkPHUUXu1fyYzBnR5fVNm5qvHgR2CwQUxTJMkRt9II2z3WOAI0xYYjjaQG+2e2aavRDjwYEhIG5oVjCqac6zC/orDPi8J6QAm+Qhea7XRiudWC6nKoFjqsE5aBDn2U3241IQbS2qhV6urNM3U2R9lsGFR4o1T2pBVfxM5p3hIZq8lJUiEMt0S7BWICInG+R8xCFSFFVT8hyUVWOFslVC1/UKr6j9HfarVFU+d1OSCjpz9i14AkhwykqvbHi5fHOQIu9rKhWMG0g37NQQ/GSXpWYp1hKQWsar1LBuYCQaguAwF7kLedH3eItNuT9VPrl9Lkmz0fIoqeyma2zSuhBICCWGlMPgEKtpLtnWRrZ0RQ0NxNIvB1O50jei1+G19eMHPflMSFpYU+fqKgPA0clnrHyifrmg+YwD6p6ngI6p13iXaxzBK62zwTm8rypRkp3FlKy3PeptipIOzOqXc0gbBQkI8Lj+szYPMMyvTktP9JFq6gUF6kAFNnp9LNlo1uRlaXLSDN21zcwnUcDriFWTpM4zqt9caUceQG3jHPW8nZE3M+jd1aXkCxfefeK+hud8ng98vAqtvQeojC4/igJ20OYeGbjY3m5oYwbW52W41uZyvYf7kMy8rCSJMPpv7Qc5VJdI6ZnXLE0Jg3iT5DXBG2Ult7X2giPVYVRFk8LnbZeWuZBdcxiTDfeJJbaf8x6BGvpS3akNHu75s4e2d7QXH1v6IxBBXoeIF5RByP701rg6ammem2VOzKKgXUUiFtnC1wEUX+IvlypmXqb8jooFXdW7zmm2fdN8/+8pe/qMp+80zfWWbDfetghTVH5n7xkLZzVrydIwHPBPZ4IzG2xj4tHeGHrfb2i/d36W7nH4PJT//8x8HJ9nWvffbu7uz27yN6WIcGSduIeYNodSb3rDzurqfo5zzN7Rv+RKzl3A3chXNp2njaMzsqCV/nihmwFvnGeK4Sgma5Ge62tzWn+oa1/WWshRtOMNkTrJ0LuGtfKosm1bBCyOTDqVgJc12dR14UlHlTfg4p4htaEol36MmOcmo2USIAcRal2SMKiz8Pml+lmh4G9KJbpC+4UZOWuEd9jgtLHqG70QwysdS3E9SVDeMFurZLCXlsuhX6TQ1fxpPpPyuZHI5MkuEeWojZA9LcMNtmWDi6vyQm4lB8v/zA9L8m8tv+fRAxVzTIhhTDYTavCVHiQaKhMDgpP0RmTGQyKf7U3G51gmqzHZwO58IlTh81CSf/qbm128IfW7v4o71D123KdQjxFrWVaE3TBh2eTnlaToWy38fTt+Lt8DSm6CdhoKOnbrdUr9pnPafn8LbgPD3kIbMKFXp/6ULKXzgjlEl8RtBYLuolKqEenPPtTZqMl6zPEWKBpjaiXdh3Udn9aXrCNTcbn4AqR432zlZnkx2MCnj2b1OGO5Kcywm5/QAuT2803+jfj0asGHM2mf3ADOt1Qdy5Qo38hooQNvUTA8Klzp9bD9JGFrI6UUSY+cRLlQxFL0htVe0naYtaX2iPEih9idisSR0c9pCXA1jM+Wbi9fvbmFnLgnKiXxFoFrNPnTKXArvoWr7JlxrnRmq0o3Y35zzVt/yX89Pj4+/3D356iwqEF/tHx71DsJ+XQGLPIEQ8UzhILCxsbFh+Qf5nE/9cjgwxKCFuggY3tUKOIHwJxC7On/aM1QZTpoxeM7607TZv/GLZ0rKCJV4DjYMsazRlppEBnJDa+Mxcxj1Dum8Qz1OuTuK5BfsrcvyYlCvgegMlygGFFG+RdqezmYwuO9HuVnMYtUeDZrRL/6X/dAbNJN7dToab3WKuQZc03b/fPEMs4q2NDBqt19kcXcbbcRwNO83LqL3baUeDQWcYNQeDQaMzGGzvtDYJLurvM/rN/7E34yAhbtLutFqdRsdd91YnB99Kk4qhzUEcJBLsVWoYBneShRekl64xmJQ6soEwlkEy4eia++lC3NsSj1fSa3q1BU5LBFBvx3qX+hvSYr8yfCWYwM5yzK2a7JEGsQlikGZ01c2pqWTng/9ggQ6X9AFv6RDR/tJUqtPbLFT9CfIo8oEqPtOuT1QBAKs2dAEA+ud04CVKYkchJcJCRoFKyc2XbauV1ydFbNg33EzKehiqzX+UUuETAYgWvYPXHXNGf4Vmvzk0K5sDZOQBzEhUwlZski6t/K6bnMtFoEJJkiSSRPPECnSBrrWsWMEPyMq1GWQL4DXe8rdpMkyqWa1uC5lssaoe0zRUcHM7ncWzlLbiYoIAduwzeNKKkkj7iTSiWHwzwl6j0Kly3sdL9IjwVij+ZPtRsQ1aNWydQIC1LdgtczlqphlXqoBHbIWmS4UFCAcrBSamiWiVF36khDsC/zqf1Nf0kpDv5e4m4b8CDpmVJIo2QGbT+rLFzU3Mzdx9agltZmpKhZEV53XceyLjYKl56dbuQ3jvXFMk9ifx+H6eDrOux/KmJdjNps2kACO00GxxGzPNiqxY0CcP5jYa19yq/nYxu+Wc5MjUNfDkDOjPd2jsF+l+0yyZhxFfaaQ+6NPxRbH5EirgOOGkCvFgTd9he9yJZiVkhPop0hd3SfIuy/cFBV/YksKK/FwYC2dcpVIgJn09sUSN7ajVLCI+8xq897NbPNJ0l7ZTlDkHkPhdouBn5Lql9ATuBcBbJOXuJye2elxocULaRP+iz0/hp+FiitAoJJ195tdMJgvCiMwUnEjZ1C0XZ43CHNmzlnP4Lh+NtQtjo7ZYdqsZQw/HS3rO8BSzlVS93tilqel6rxQ0vJfifxRfiz/jF+M/5dXoLyYll4/DF9M5qYRmU/wv+FcGB80MVTp86qwHEqPSxBldNZWHa/BOOCg+RHcuK9ZQKpqE6Uc9vHoJYapQTyHS2KQFGiK3Ht+kPp47x+j0gwRZSiL0+UImKd+qx54fUYqxSFDdOxP71Jfwyk0n68DSb8LRV9qO62LkPlGfodA31SL5jSoLtmcrbmBahVK3sPMCb7NWnsIesg32kNBq1Kj1WDqRr4hrLeKC9HN/c+nxOKMlVRimmcviB6YHpxyBQHa2cjqbvaPQSosEnV6jrYJMLkm91UfZLS1AgTlUwTtvbqbfR2hcwcXFmTdQ39pYRVcPNHjb/SitTFClimGLO5AVak17IjsdKNzRpH/o/ZmLUwf7p93NdnO3DdA2YEQx11hWcbAOy0L32sVtdb2HOL25Z1RmI9ggBLmBP83/Oz3LX7ZExdI/mG7R2EJUsuiFtstqnpMOFuVTQNduazCKW0MCXfmllUxPXd4YdAE3tJhvFq1Gs20JCzXebptX7pnr5tMYjGj068jInfScGozjybu6Yrt0iKLMu/y77iGV0swC+tssbp8G2HaeVnz7yi+6zJYUwVST+lU9kKqhfL2Qy67gj2L2zY0jtmMbH+7/VVNn6hghY1NGuaZm169pfHRh7pKRLa3ExYPQxyDocXylXJnr00d/VIXu6unAPR+2ch82LqfTZSiR2c5ytbGkKZ68HmFQeNASzyHODUgdTpkxSYu5Kxl847wtrqDP6PSUE5FubrJsMagUY6aZNJ0Sj48r5DVp0cAppvTLgCDUcYVaqVCsti0AQi47E0a4T6qp3Xu4nlaBGxxI81LdsamhNV0NtX/UytrZo8IM2gCEeLeqOvOBGGJpOmjD9l5OajRmleiVgMmec7HzUsnd5yn0CKqbfJjbVHGsrUVyS6R1KYR7TAHssurX0GC3Sr93cXF08kM/+P9KL18RH6G2/8TBDHIjL5Gvj52XSwjNotA6eeiv3fp9PGofj6p8PPfp7G9/JHKh9Ia5dKTpWG47p6YuQgrdn6w885Wx0J/Qh7zljNYZxdn1YMo00dXKD9OpyvJkil6nvLaV2kPFsPZsCN0pRAXZ9EZJwVVBuqySgqIyvTr88n83oJJScgXnVoNZr7gY0MiU3Va8FOuKeSpr9HC5MvdVOSFTjY86M4LnFC1Ijd8BCg5pRjdJoc1eGeWUutc1Nh9COdr4ezpE3Ua2vDrVVEVOcjMssDdnPKQK708n8Unl0SgFhwxUEn0aNhGnIzpzB4enB6+Y36y/qqZU36hCj7VdmnQk/9YSpF9F/S2DA+aRCvzLVq+qMRe4lnVW+FG1vFXHKoS5VAGbC1c5Eu6d3BJUXKncPihk+1IzQRNuyTnUCR5rV5il0MB/CT3Ue0tn0pWyuTEHMtFaQykhyCxBXllX/Qoj0+WGd9HSsde5Glb5lkShVCwpibbxZFoKQQqHBHMQ2zw7fBG6f9X/dTsOg4Pp7T3am/OVZ2DfFTE2pSqjNGP/xuiLxK+s/Bbt9ok7eyI3eDK3neXwmz03tbfxLLNNosHxotXJUl8vwio7waYJiOp/lME1quELeFe+kPVd45L5wra37IUhm+spNjRNwDazK677LTIUW4Vtzo4L2oo1TWJ77IYKHaAf6Z4JgyFvFys82swuc5vEjLTZ4rFKgaRLQN8zX0daICn/8usjaWMa9RE1Qcqm/7IX6U535BTloa+xa9uNp9fySRGlV9E3vUlE2ef7jJgyzCxfs1kuUESSaqEoMyzUYNZCcxapMGyY3cRj+JSr+ZLMmui5Pq8JQwmfsSd/pP2sLA3nq69o+iwOcy3JR/aRSXxFgungXv6y6m7SHRl1RdVYtZm0zczhqJqW4snjOFUNk2vFV8pgaQgPsEIIKYSt15dbNh/LAyFBiryMSBMOCQIYqdD0WpPVzfVNiauwff48V2TrIltWKGyANsvlHmggggUtzuw/2ksMNVce8/euUFlM9r/fqEJEcgwGgcQZzaahn9E//PyZAkcCLrbjlERrq24vSNd1Gt32Vn2rk0/bocdCAPADxUp0Rb1e/9VcdmDyeQoF02+e/SrYgt/afyVhpyi/FO6Wf6lG4aUeVzteeFMUS3vv5P/bDr60/2n4SHW8IwMBACQjBZlCfr25Tl2WfCqMqh47CCaPa5rm18JA45XC8x5haCelrNIaVFqLqIg4Ljil4Gf+0hXbzzhLRccE30+nc0/ReGQS/14tBkGz0SVJaO9iCu3KiGzp6tAPuA/sCytT/vKcgH+CuU6ZB5Ire4PSSGV92I2Bn5RfRSbenEm8WWep2LCrtsEawtQNmynV4uT3STw2uEmU1mUi/jFDA2RIK9JhZIcqkJcsbd+lejh78j72m4nccdtvFNiYF5glw/TWdXjMfadHnCTbMKXBG67hJrddL+wEzTWRjbZEmn8N1T+Te4rtF5TpXYsbrP/q4KDX7y+9bV4ddLqtdrfdrG+2eRf/UWhRVnBSRN9Cxfxb3rRbNtWy43WT+v9gOepWSlu/8uveclIjPKntniS2wH9SZalSbe/ubjeaFTuEf0MtdK0OC4cYiFWdFSjYX5dSpKwvaPYdeAKYoRGEyMrw2bETIuVKSCmfQKqg2QBfvXh/AC+eDanVg0fJ/SqIaoQuKMh9GfE+TuqDstQz312Yt4H+gwq4oPAYz4bpg9SEGdv1b/uc0OAwtkhq0yrWGtGIjBmoPMoQ0Q/YDP267jBSah7WeDCUeJLcWVrk4NvgiFm25azxY18YkpQbDJVb7CygnZ38yyXwNVubwe0H2uijuXXRm59ych8wKoPoXOMxBNLFq4ZkQ6kPuJzF8C0s6y6rzem1nRydz74JcmOv+ulyWhDKn7/86bjF/R2NCUPZSojfCcPehB4eVFu7jeB7UhcTzg4cvx9xWHwGPlQ6ZbzsvA42j3dx26OJTFIo3REOpui/fhHRDWcomT3M97CFe3HuvjZzk4Pk2eLqijXfVJrQlg8W9CtdB2nqGVT0lhVhxtXXMLOxNFCYfwYIupBsOTEwA8OBd45HWCl0mEjlhMGFq0hcMtmbCPUzgywf6zPhayETMJrW8u5xOZ4QsNlqNnabjaA6xNTVJAWIP6QlqOrhKvkw51bgNZPYxBF8qShPlhxDpEwR7avjuZdQrpR0lUzFsyrCKqexuxkT1+N1/feMCX3dBdITMeMOZNKyOwoqtMbBRgCGtg3xNwTvQchNL0L/fTdJ+Y/hjFB+5AwffJXDBfsrL01W0yzlrI1kdOWK7vlEa6QEnRix3hbCeTWFPDeSOlhRqeM4BI1qnCiakzl8DwMcBTLNIcanqcc0xuE1mZSRcqMzJ14U5Kaeqc8JQhEy5bQpCa9xqhxtMq3TAc0f4sWhOzwI4Ytzv6cTzJ5qPyP7rmiRLVIwSq9YQUjSAglCu77VqrcatXpwSAZ9I7uNDdnP6U97dmmUZadue/Myq98sHqVD9UIaUkOIOrpNciE5Un946CqG7OCVabtMuV2gfNxorMORr44+DT86bVUEji+TOEMLH3X+H56+7Pq7F+yF6QSUCSzVqoGfW9UiPIz+l6HbtvFiPn0QdTWbQdVNX4WJ5UfwxttYd+0Jnt3tZv128tWz+6U8u6sMN7LioSA7Ww2114nQL0l29w5/KFu4ejvNUtGFg2w6pnO8egRBc5lXUobfhTVTN6jonvpcekmNwsPqKRQdPpdGu/tnZ/vnvePSNi9sbu0Pk4EIPs84DKrKMmXeXU4HIuvX6b41mo1foKC2KqoTRVW6bum6BChQaLd14vfp0rtDUA9LqJGsK5xlXEphHQVT6WPhUmqx8lXavYLWcM/WJu1ewUT8mYKc0MCiO7OvG03Z1w+DzdYngM2qFBBbDFbrBi8uzsl6oxQGGX+A1KhYJIzMjuoFrO9+r8/dWwBAFtl8eqP9yQNUjoIrwSSG0qXB0cWJX7HM5HNKoatuTw80/Zagcw/tcPht/r4Pums6MKsXJrQfHdBaPAaLhjprdCq45qlpN7c6nU6jaRn5kEN+yXkAzHDbj8cJm06uhcjPMhdbz53vrRJFQXGugyiSDamzib9rb5JRMhzHM0vJKgUBexr0BEI+O3xBKoWrqWp7wdFkyK27aMUO98/QG5GZsunAI2uj5NLinwl6ZOmmN/ehNmzj4chlZ/G7MPg5AYqCCB5x7RLvi6k2XOKpTdL3CGPRk/akxCAP1kOrDritN0178IGUcp3/2ah3gvHA0cq8Nq1mfFk5EA6Y/HRCVk97vaNgs1Hf3KLH6wpYOZeptM1rQItZBvyrtmhw1AvdLNCYx4NQFyEZKeMD9/huN/YcBzPSNEIvneR9uXnyz7wtQGJqXoXrfNj7oiRObJyEAIqAvN1XCl/z+1C1IDdelMwBVImw5CghFRk8d2TBtUb+6IW96Qv1+LAAIY4ZGOqFp3faeEvmN5Na1ly6DqsDkxrKom/c3LZcTWrtMg7yFE4VB/o+fybYwEncUzrHX02nTPd9hvJ015oWr0y2r8n3YwMS6fpYmm5fyXQB5FlmevZ96HV4Pg/SuewjLgvUBmMjw4QgMVY0BeoduZrembtwkqDAxC2JrdU3ZPsuxXCS7xrCa1t3KfaSW88pzi4Ui9uan6Um81xz1n2BN1nrjrLfKEvj9K8cAwR9E7zoHfb+IfOXie4eiROR6TK4QkmGY7MS1vbC1W2qJ+8HMiFbLB6tLm2mDbeXWEyOzvSDZuMdxyU+1D4ByOf83WYanFedPUgtdomx0qIzc7fCJcFk2PCAnjhf/4/xvprltH4juvw3FzO2/vrg7r/xXfeSMFfy6697uYCFV/N0OZ+5R3JbaZhimBTa+spbz6ct/zpSmW/pgW83G283tyoeL4pp+3veDq7jkeA13IvFJd9tWAUfDCqgu9EkP76NzJQWUoA3xyPj4XJERrbvrfRk2qj7oWNSo/PAoaeVqx7abn2R6qGvfukH/dLOov59n57XbEfnWz4CexzqehCnFO2ywjAGX2EBJ4yTSzA7rcJb4aPBlriGrFJZtyU5VJtkR/PJnm4wNdh0Cllr9HJ9kX8fu1dVZRmwrqzJu5txM3inYaW3Wg6E5EHzZWTAC+faor9kaDorFE2hZAreKQ+RdmVYaeqWWDo9h1Q/wdLV1h29Np929OqbsemyxWax+LmGRoDeFolYpn5urvX9GsioVn68uDgLOo3NQPub6r8bwQ+9k9750UFdM4g00D2aLhg7IMJBNx4mFc6XJVkheHCXCkevKPNJMv5yPv/yvraHqSdtb04REqZjkbGQk9nlHAI2ZA4TPHCG8FwKOfska5LpwYjWxNNtmBZNPw/tNX+W2TUOw/xaLydhlyc6k6f803ZEubFwQocJ0vPq027kRa8KdZ9hmXQv4ltSj/x3Wb+bHMuGNlX3ILpp/Wmbq8iLmmIv0V4cWRgkWubN2NMksDe3/AR2ZLhyoR9JMnq09MFtq2w1NenhAIn2GoRI3/Vcd3fuyDqPc7zVNpeeXmJJfGLm1JHZCc5LY/BVYL7qqrrA1A9Z1ylPUhTY/XdxnZMQ6bE8B3VH/J6ulhpqxi4JPE4mjRlHHjQ9Ffd8li0IXf3MAcfpeHrF5fWSzMOUBvSi75NJyitjaUBkxpEgyTSf0ksXwdW6a2cnb8jiMyDVFqM5jpTgV57ykmi8GpwyQ5e6Dp24OiLwMaIDkurJjrYVOkmbH8rKouummrRMTZgwjctL2ITAAQGVd04vexz2UnjK87znyry8tmY0OzjRfo5E75KmyM+aK+3SOeRvMoDlL3B8gaX47wWBrrqJuf/cO/rhx4u3pyfHv8h8ytd+wPuzSjoLip+yLpno+YfG8Atynm1mCjfYg+68hQ9tzQpb6zGgszpSSbcoZwsZyEhf/DoepJY2udNoibrxk1iU91fVEMtNDYcbIaexQm3ol50WE6Qt3YMfOHhs5g8em1Gr+MHm15PI73ISgZVEzEaR5Aq7b7cB65Fqbl952yr8EltK88UHizGhHI1RrMQeDnLDptPdHtpQKwfpG38x+gmosISGXgxw5HV2ow0wo6GT8TFVdmczGdYoYRJcupCnVgbPfLlSbOvVqhC+NR6Vzz+NX94G99lFwgbybprDYXQlZ8u2JBOd/ra57oRRblG0VThh8EdRr9HJs9FLpwZmBQQDlvA2ZQl3cr5nvLiY3KYTU1F0FwnxdFakDmXMRM9ZaPA+Ml2bseokgek4R8FjNmf+FPGKe1FZviegVQ5Z2wCoPeVYjik80tA7W8TtUx3q6/ms9vJRbS8/8OqbRauVJKiTpDeeCDNFPv/DHQ90skKJT/kTFvqFhhnyTI85N8RUbMlj5Jn6ALi+LiUwOhO8cY4Jync0R4rJigDEoTrklcZMhrKntQaZ8abwXbwOODmOK2/JjevXdouZT/2ok4ekTRyAJH+8GCWrxMRMqCahyYRWbcV3q8Oq1iUg+VMkfm2laizyEoi58oeOgpb8s1OEQAD1OM2aJFPJ9/R7zKh2hdQnm8qmjFQQrdGHoNnZ2RY2PSeQkFIXfZecwBrn/WXlvCEzYX1zVjFD83KNKvtM8qLQV1toGTIp+cEZTSOPnNMlZ/MuG32SHfrzVyteZsXnQgcocuT6iTLeWqgupUURtVTFTSo6bxW6q/dWJO10mKYp2GxvuyWSZR8DF7ntjfpTfuBvnY5T3MxFMIzL+zR12Duj99wQZBTxZokwMV39Xfd9y4AeT4q6K6dbZ3tPfyRqrFu8wM2kVql4Uh5UK7IZvr83e/Z6OpkigwgUNreEOFOwTt7q47kFF7sOKzWhJgTvf2zChHLYyG0CEL1kXiyPZZM262JmBGFpPneBkEEGvQnR1Rd4SiZR+2uN6BfMJFphvBnmSSOKhxVzrqeH/lZ+xzPpCbTLLDKGU9mVRFGottxsbJlzFeemOH0pZaV891hfdB2s6TwS1jS3c7DGphhsBN/Ppu/gm4q5KUrVIAIz/hrhyMM0GzKLA1xfoxkJk3oxad2/A0+pVORbAKLamQszYxBzafc0Rq8hKcRx+i7xqjc5F6jPs7QRCMGlDCZb05ln7Ep+0H1kOV7hhhMw7w6dlN7epjZLMGUzOu+4iw7xwrRe9hMmgeGfnBkUgxSAoe3ZM0pvuKENG48rKItaGZHknLt7Oqup/4QHBlPNJT/UliVIj3TNED9hU7XIvGJjep2I5t6sepy57F5CWi9pK6XwL4vgSzE0b8MKB7yVgxQsSeJH+c55y7R8MxmltFvc5bmP6XLsEaSx5ldeeTmMNV7ifnSyxWLjCZYt4BMHyBqh5b+f/kTPPWDjN64HR+ofk6kQtldm9RPzLXm34jaGQvDbwNGXpFb/pdW8woEHA1LJLFBh5l6DBfgESAMHOyQILeTkz2mE8US5mLP5/VjyCO/A3BnYPSPeQ90iAp0Ormdcci25icp9xcJY4Y6D0nydYXtsmjwNubsKbNlolGpgQG9YCdVYiG+QhRs6zcqyyHnmGNVGNpViKYu6ZVnLC6AqBl43xmZ2334bHKLhIqsd6bxoOsf8fb+5SVuh+uqsX/vOklRXMFs0Lk6mrwTVYQwSwXSSPxzYlZPlzvexVsZCf/CIgQQvpD8VD04HY1/CG3+cKUOHGTE6FghAfPPM28V/Tb89IaP014302zfPvrM0fNoFg7bfTYwYkpbqa0QPdfJ6iQYHDL/t2hyS3xpIHuhA/PnuqjGr696srtmKNbgkkLowTFCjwELHNbMFmXswg6HV9j2T2n/oI8vpLGVhv9FpP/vqOvysrsNLw4Hp6J1YkatHRAzOSnhifW9FmCJkWMw7bMiTyLo5yYPQfafsGD9xxze2RFL8otfUTBq17mwmivS1QNdXA7M4NYrA2SNjix5QA0jT+A3UwDK9V6uXdbDRrnne/1kSaUPirtA0I7WAs3htqbRxlGrR/d/3LU+DbWmsHbs8w7gOvG491ie3vdQnJ3kkHP2X3MlBcqVHQkEAzwFNPUIyCE7/NVkL7cCL87pwlmfXCZ0LSE9ezeKbTPqP8WSAGIjFfzGOCR3Tr80/pPMvrW7t8TjVBP73RyP9HKgUU2dm1BmM6OCYTgd4GYWLQj/4vPlN00eHp5XvaZUmwZ+DPp9d3jyDO3305lnQbDT+I/hTM3izaDSSXfx3h/7RTlqjN4utzs52RfxMuK/WPA25jTzarhm2secVvOL37AyZLnu3UF9MViRHHcYzNlffsvWCZyvxcOHlQxmZW1m8e2XPSpv4dVJpDi3RTgi4kt/d0cbOivD4IBmDoiCey41lhp+HwTchCOaDvwXVWNGZiZczjpCx16ToQZjF0FdoOjFp0ZEtGBzca0wOKEsrRyTMIV2eWWM7poox0h16H4YclT1OB7Pk9PKSXfH0/B+mU/5tnwXUJ4PTsJpNEObe5wuBdaUMYBO39/YDCXZxst88WytZTrYeI11vnoWv+iEBtq6At7+E+wcXR6974vbBnaSGhKUku5/M4w/qtgEVjL8zZ5bWCU2a9MRi9mJh3Bw53xfRyRaEYunq5z/+ctY7Pz46+an65plpy6rMcdyBFdQYOB6+eabscYeHPdv6yTbkTj4kw4VW+OD8kmtSyMRqrGkIiYAeTqqUtMkiSUg9+Du9tEnjRkYR0rU4+22QoLbFmxUg/buUgyTT2Qyl3ZYYmHbpxGSfHnADRYRS4hmtOduMbDF7TwN6GJF/a1LxrmMPmV/Ft113lCdNbwC4tGktap+K93raQ1KzQ7hDnnJWy/KHhZ+Gsum7JUHkeJ0bgqeHJNMwBrbzX60MGOy70cGr60EGkQrnYPa2w1rxp2GR1K8b15dv9rkcm/uV/qbhuErhMHv/XUZ/+f7+OacF/Zn/fgiKYDJnz/f7B3+WCcqeo1oNqRF7jrwJVbCb/LqiDIQ8LfT6o+vJq2rI0RjW30hlHGlGNACVVAHMGxT4YsJTdpmqUr+LJ9pG2NxDlIYaSQX1puThr9gH3/LDpb8IYyaxZJ4hYxUfsI7ni/9W9tbiAaYCQ3B77m08gfvZEr4oD87kXirUJPE1mw03FoQmaXGy9/V5VguuTeMWt8foKzZF1Zqk3OjGNxBP6mLFfOArpOjdxGFwcM7K5/iF0yFJVtIfkZSQSOap0IuopsnPhzN5s1wHCwH77uXRUa/28QcqwXDuYNXe/Xqw+rwHK0kGMMkWBEp8GRVvDjYanbkgqpnIOyl4y17EfUtKSl5TywGw7C1z0Jq2tCrbamnX1JCT5u4U/fwjKfh1t2fYcHa8f8EsKWFDUUPFZFQklmccgaXM4n15o4mwRGUcytPEAosFNcdaIbnCNq3jKp6J7uJx8Uik2kccDYIv8iN44gmJczc9x6jNEOVkXAKFa/OmS72x2o2H8qa/TyW0y11KFqSBMikjiwOklozj2RUcMAwtoPB2vf/VbNyb0xE1qXisTRI9GBrn8nAlF2XPy0ZnEEvzs7gVNgqyCk908684JlU9F2KPZhNb54cpozGk0m+R2eG3DqXje+VM3pOHzHkxFRsD8F+a1+o1DpfV/6ip+N1KbqUi8f+n1WmEXHWJ/2+16xKSkUBDn5W+THb5xFN4gT29MP/8/yhlGU+4Q0Y0vYxmKNjUH6XGFI4M16+c5kxKVRVt+67EtaEmhjZbLQymfqk2IqEs6Dfxh/RmccMwWg7XdgHN+XAVDbKc8+JMOPSE12rkZY+6Q8nZqzJAKUzKhr4eQZCOyc6s9Kc3iTpvsRnRssZk0eLxNrnIpVb5vf4I08C8Drm1yi1UAO5sG/sFm0kj3tnd3tHaRJ0cbe2miVsuP1jkgZsrcL9B3rsLE2CObxg68zTqm5C4NRuI2xjWUvpJtSKyKfEc4J/CRHANhSmNWSSusX2OwEYDlMpty+UPyTBFIHs9Jn1kteGTUWlxRUt5uU8WgjXMlZ0Sc+Uj5KVeL689SDR7jr2RJOqd7eynGo0ApKYgoLR34oqUhbbEyEiHWRoe8F5vPlR/t/0/J1WAlfsfBUxJrC2SoRTBlJRpKAQwuOMhU+3SR4xlF8PVw9VnHMucZx+6zU6zIyzkokVCOn10G/QSne7mDga5zuTvPM3k8/N15F1d29gzGlA4khlrVJCtO5MMh1QLHQY57CA/rDB0nEhTgMflMD5k3XliHcaCf067GBaeXS0oCGOZ9Q0weFHWsRngSjAAVgfSyM476xltJso6lEaF6xW0TWXUtEVvNJoHKfc39R8YSCFxsZza+HjcQC9RQgunUoeUFFdc641onpjrTBZZZyrU4gJUjRiBMckoJaeiJyjS2V3EIR2iFb2haJ6Pk5UyxEy/XI2SOV+uQdmM8AHFBdiIjHFdJZYI/VwVSs/jQd2vtPY6BvND5IiOb2+m7zVt+WjEpZNccnrKx2/zkoH2hfVaeEldVyWPnit4d7bsiLdzmTZbBsNyhiwW0RDz+F3ypTP+Pq/ZbTGNCETYyA13OcayxvP5LB2glYJ2gDF+WpWFfDKgVKvDPViYzgcM4M7/HNatrwbwkw3g7tMMoLZWNK1uUMJg/R36aReJx4lTj4Z1MVZiLELo6ZhLSEx+Ho6vTE4OXwurSKljgBrXBGd4zWf3lUyPVZ8SJtwD5xdsRhZIgwhwBZ1OxI5sBoX3ZGXJGUB9dlLQa4Ct6cVsegM79YJvtm+Kx32Xt3beDGlGZhx3aRLi1lv/HN+HXN9+zwGHYXw1Dc20jcPgv47Ogq3GVqPJrFxt7h2Dlw9eTVLeM7iQ7noGfqdvmsFmsxV1Op3IkDy9SCdpdq0djP8Vz0aqcGxmnwqfnOZyfKO4N99jf5xNu8FSLy39Q6bTfiRHPnmBDbrZFQoxsdi81tyF3jwASf7o29pbTvkNjSHOlMdHNrUKWJKP3YOXsp1a6ZQTXpz5pUWmPxbrVtmoVjoTIXI7OmbqJmnZ7L4beeJt7mhcVky8mNUMC1uijuFYR6JcbJk5ReUSBCFpcjk33pAy9VoBO2CKOaMO3gTjtSCoZyscuWkn9iL7D+lqCeL00W/+XuFdxQoii6ATP3rbV/1KGCwLgRT9RrbVKf7cl+1Tl/fk57qYG/CpOLHk6fQt2f/JPcqTfEo8+1ZV51oZMkErQcOWcNxyNocR6QlqaTryhbw0x87k65oGQ5m54TYh+yR8Ubn1vWKsNs8xJSEq7bcHFyoG+BCc/pNeUsVWNKv3EO+guwd3EBZW3BveTLPTVx1TpQkOqsu3Vc3NPDagTrpQVGtzB9momu1lKToikT7VhIYEYqpzkCngkxDe5Gp+LeRgieG/oAWsVgqvZTpdtPwgK63EZXKHBsiMXY+Oj49OTo/6tfrnYXZ6OuhbUvf8mC1ACC8n/cG/Jc+kbBaYzymdJM2gkrcL9PmQDYPZkJUw8HfQv0gHVNz25KvVPFSwT5lyvx6Ynjgw8+0GBy0SbZFTlFi7wSpm0iufFJr6Gor6rKGo4pLNkD1t6YtoyxYCQpKGC83nKRVoh8fogFxoWOBDJbM0GyrUy8M7pQjM9G6yDoLulHtkbZcT17ajniyihaLIvZOAiz4UHJb2+G1A6XweD6/BeUKaOZ2MusHm2XHU2+9fBJq5sa0XJSNT0RYGbaUtuTEpUIXeNyPNSpRMStuF03saZ+fKT58AVSV3zb6RHReZIzvqgsOmVeJR0axESaS/yVdyRFpT4YZdQfI33ANg6B5pxjg79ptLJ7Ka1Soa99cszWXVsD/7XVw8gLlv51rSRljZm3ez98mN+Vv9ja03JBNif1FCiA6Tmmv2/B8iPcywAEl9ahiUvEAm7w2BVPNruaqliNP86/zC/Wsz951doSIKLYsuqdTpQ7KbqSMpM0tHVu4mRTBaiyTtr2ivelPMqUY33E86yfIlm3YlzB0lil12SkFViJfB3nfbox0prI1/N49vn3vXFXdZUDXrUILzsjC1+opDwoZZWmOFLfBkoDARep5ukL/90xeuvJJmZCT+l9xT3SgJQkJTcYS5CQaZZsCfMz2BNCWW2mVe+tKNjciRvUTAK4ln4xRM7pohpUsud2ZRWL47XXad3hGomg+K/1yMwJRLSACHl9j7PQ7rlwm/wSjhCrz3rIhYhYsysZqkIFvCggYWUCH2Mro4FjdVZOL0eA14GXnKpgq2hZExnVwzupMT0dh/mUfE2g5p37N3MblamwUWVKHW23auzWJp4lSSonam9nis6ETyIajorvqOvdDPG3/O0n8lz1sdBotmV4gdwEmf9pevFfcevQvodts6rxwz5kSyvUec21qmY43z+coMPaEGd6fx2MCapKZ/BYmfHSQWN48cn8WTLCcx+AHwb+xegEeLKwQOOh0fPuClWa2AP7/O9ZgkPBCGLL8S1YToWW5LIipuVLK0QkbjrK2nOFelLD2cgPQxkLf5SMjbauQg789FV2vwmrM877lq41Xffoh4oWYQs7/nde/86MXRwf7F0elJcHJ6EfRfnZ2dnl/0DoMXp+c0c0f94OD01cnF+S8V4QWQ+tV4rFRmHtelZGYbtwi9AeI+BBwfBrkFMOi7ZN1Lcd2vhi2tpNWsg9V/xW6w3W4F3Av1CoVOF8lsFg+TMMidZY6Ow2Crtd1oqxc15z1FgFGqafVl2EtkmprvHx6e9/p9b7Ay0w/BzaKHpgrwOEuGU/a/lispanv+o/fsKf5Vf1X3dqQKa1aR</t>
        </is>
      </c>
    </row>
    <row r="7">
      <c r="A7" t="inlineStr">
        <is>
          <t>ko8s3CJFggyMFEgC8DA2hO0+9dAgGcaLTPAbv7ZJStcIsayxW1sF+zFPtte4j4Y4joUL07L5LS+WgA7zM9mj4ElCidxcpFSDQ0kJmzgIWhoqG055gpb/gqLJTop1FmkyUk4mjNvLrsRZf8kvDVPbIGFEp/DbLQ8Zocy1tuJwNDrkSFhDb0z4hJbhZlmL4bolj3IFPoLgjwkGjXmq3rqpukQ+Dc071jNzaVQxstluFYcy7tLMs2nuDZWV8Iu0nH8EaHpss1FDj276V2qE2mdA/zTZCBk/xN1/6wOlvyb9lL7wuM5Db2Gk66VdGfXD/VoX1q2leUqkwqqS/MpEgXTSFSc/h5oixPxvkQ3LRhx1nrUH0FfzK3ff780iLhbCRHHIWN0VTINz0FXXm6+aAjWjWD5KcYaOv/JTFCU0LvT7OmBT7vqzUwY2O1FPPnZ97/WpA9KWXWlbEwZcuTs2rm/wnE0Z4WqPROmV5DUyYdNHLxAFlXgwZAbqD3/j/1qXtp5PaV04ukrHwMr+9weHvYqAZNP3ZDWE8cdYAjE6bSjshCsAEaQ+92Uf7QUnBQISTdC3DPN7Gsmlge8FPbQQ/fC3PRs0dgn993u5kPGejReBG53Tk8zr0i292cKb7i0PIxcSrM2blICOvIxzACv8Fd8e4+mRhpNLqQu2o3SQjoL2UoIV1PEoCbpPnmLnP769JZidMdKVrkYQbGmiFZo0eSMycdCKJILIyy0CZDtrWhFgLRBzkDcfrvUC5uVIiZpXF6Jlwo7IgAANsRq7ZUsaaVJMfycWtgX6phRw0slUQ5voUjF7p1PrZ4FrrjgCkcibXd25Ww1kxYqYjK1eWR4GtJFfIz6hiIyEfmWuTZI3by+SONpdXuhPjc5I3iELqizyJu1B8hxCXyJtSoMUAGu8UAaHkx1rJzQDmHB8E7ry3rmPuD5T8+6tt8sktonnaXBfXCjDWScWPfR8HUakGf0OWB+bKD0wm6Hl+T3SvnVkEeucB7FSeekfwkZLpELgDgGbtrYN66oaBYphhhc795KNLdOF2gaJ+6IJMdexYKZpRp5jN27Mk/EDuOVr95PfHbfkLFioRiv0jZZfVea1RbFGK7RGK1xmtJbnOTlVU7JUKxKeWLRNBnEfqvaB4Rna709Xc2U/mLfbzAlNjJLuGQi+ApCs8LIcvcdD64FV+RyvFZ0vpz+jkPhza1ut38B2dZS9COox2tJo+Ki/rJjAnCC4NaBt83OANrK5u7uRzeeQer7qxLyiKAvNEEGhWo1e+R0tKlAHS6mptVJzx9UpuUo4/bFqsSeCNfUr5Sw0HE70d7YrNckWR8sAEX0dTf6tQBNR9XM5jk9PfghO9l/2gn36H2nL3slhpfZYUOXdSDg3zMgKmClcIgfLcJRMNuZX3Js6aYWUtHzeJquVjIEMXtkq9KDV6dSM2TQYRFt9tE39WKE07oGiNLdpNtqm+sgmtTPp/YpaNNrrv32JWnNztN3sxKZEzcTHwQeMpEmTUadvi81aamKO/PQE3nYtW8Au4NhaenPLUGkqAcG6NHZSeypPq2QrDCvYN1DcpkWyyHKAV2fIyVWvbsV2PXDAQNOgPxh8WSMaFr8gsRlJTqME9WgOxzyxFs0sMmtoaaFnOuhpZyzntAF3wdOq1UzOm24eFHEaThre7gOSz3qADGIDlEwzmu1tS+GVS+P/yCysryS3n4HkNg42G42iPaNVQgmYi+sbv6sUJa4Q6o7EV+k8ZgqAWWpUF+CYwapa+ztDeQPCu+TImtdBR3SlaWGGPHlbToxTE0Sb1OYnPOsBHeiRJUGhmmFJnCOXmWY44ASt5Htpd3PNkawLPIvvlV3BHobN2EOnfu0R2Z1mVXWqz4xtLqc/u7OJr6nlgJkaP71MAh0YJed8HVoq9z7YLaOl3ajX3MqTBE/ep0J5OevSaN+nSlxkTb4Eb8YztH4TE8B9KqFj5LdoB5E5wlO49PQ7eDaEogW0SR5ywsFYKytmQDiOKmuWrSEMeJWxufc6GvALZB6+8d6LCeJ5q7x59t+xmKJZJ/pr+u0HIef7m0cQFUo/8hXsA/ApMWXsq37v3NCh9VkFydtqNQMfBZYOxKtrkBFZqhgbIp1wCnlKxw468fi0ov54e//Yf3l23JPxWuEXV5XDUTzQvbVj9GsZz3LLmnm+pRg2G3eG3lYq7GW40f56Pn3MhGPnD1cVT5i5DqpG1GhvdDCkLcKewsGdvJ++ywHQevCSYbv2ZZx1xUmA5KHE7jichZjTlSm4eOORUmHdsISKwffDxNzBPpPIlZNzOc6QZtMdoKOVnij5ncTlELqZ7DYq0Tqg7bG0e2Yq88kIDA7SA1aah9ltoo5OngNF1rzNIiknmCWRDgW98jgNTDjGfNANYt5xYoDiODEkRlNA9sk7T8j4o4KMharclnoPv+cVktAj/D2sfCtFOau2ahVNzCttCDRdDG1bEBkJvybTiR5Mb+91hOYj1TVzmo6JtjSUL2hNUwLh1WZjo8X/19oKNgkWdjc7wdlLXEn/bLEhPntZywU7XR1GlnPLISMB/XnQnSJlYhwlhdfmbo+Qfyn8oN++myjl3z08j65ZHKm16SQM7pO5awZU1riTd/WlW1Ttn85sTjpNXdBjFQ3Mn0MYfvamVizJjb88Nxp0/5qYLc0JrouM1MEf2Qyqsovk09qbyWN/tlpt6yznrB6v14ju7ntrVt28oYrNqmHZLm8mvgumVFX148XLYx5HOreEbQJFkZhflTiEpCicvzgIOputpvQ8TYVuknaI0KVCLhhIwZ8v1RnsoxDe9a7ir9A0ijNKbIw80njBMBSVYwYBnUM3FRw/K/2uXztmfNnDxHqDtQb6aeIazFc9EH3XjmZbxvDEnD/izH3VJMyxWa/pbtpbA4S8MPXRyeujix7f1Sing9OXId9n3cZtN3bpnDPxX3XtaFOD3M1rV2FG6G5mOVrNCy5t3uq2G/Wd7d1Os8OUhyLyptChYO9gy9m/JaadrTJtt0RtldgpOusUraTwLzDuYDtoWh2ZSjvhREtsY7hivzi1ZdxxjST0hkkvBPCYw36z3Vl3wug89oSR764GqN7l0Km+EfD+e8k/iicegjIdtMVmSYBymVELDboR5Kdr51MTANFV5Efy9Qi9WT/6UHFkjjPOFWqx7uMOFstBbs0L2RtMfjQpLb5coAIzBewQX6kUq9rwgw4Tcy2XKO4RCTPNBA70djx/tn2byOyE8Jn27BONrXGG1Y/CIsh9QQj9xJMCO5I7jz0tVNceFeCSxtvDDenQ8ajc7m2VDGKVefTiMDBmciwtqWBu766n4EYwC0FTGLruHf7thHaw0DlF8nxzTYH5sFXXJQZDiwAuPafEpEqSjMNABHllXec2o0/WOPTGOJ9OlyFxAwoVi3tpeXzSExuSSZN5aWV2x+7aBCEvcbhUCCU3up1tgObc9nrE8lWCqjZ+LILRGnueTbcbrVlT8ZBgU2ZOKipu0Hdcke2mOnPFIKZGBa3CGN0USFmRg3ofDRZXjU4jJ2Bo/RtLUriY7dzXTsesVDEuFXyixfipxXBgkL0hrLwusfHFYjKUli2/I0Te6GyI0s6zwyzHsNkGsN938Fo97zRMvL+qTQ0gRISAD3vHPTLgDz31cz4ORKDoBsPe7WuXKoDwpA9K9ZhqWsawIDjKI/9ksxS3dr7mC/ze+QKnE8Nlrpqjug7f1YxF9QL4j7CgigLvA4l8Quu0BAOyWiRTRv/a7ra22JWAW6hx5cfkjSuqWS+uk9xpkU7Tt5ntvYs2YynNNloGR99as+13cCriBSH8opE06ysQFEF2NiiIFkKpQfq5A2ezsdFsw0MS+q+V13TrppYLcY3+08S5BJy55p+CNozBWgc9S01EhGE6Bz3bzagniNQ1ESnXg3T9fi7g28m8HDnXFC1LryYR706dN4Xnt3GWcXJ6TYjDDmguFzd0o58SMcv2g35CD2UQIlksWsggeWTB+VRy/1aVqfTp4SifnnojsniGW1trM7DM+OrMuLTTh4RlKwjym6++q6BU81ZIc0vl3sW+AX63YKWgqZXyS/Vq9OuCneN1HkPZ1Xz38oG/AOsmTRDqVOtARnR8YR8+Qj2IcoF1TqoSoKnNGCyRhNfOQHoS+ANfMvdlNh+ZXev2dIvA3a4nHkFg3t7u8aP9whVtZ0ZWZxWhca5FmeNG0I4hzKqrCYWReIU0kRF+6yHpkpkH42ZTBZ1DWLzxkq6BbiHMnbQCxCz/2ZFl+x0m6ftiB0fdFsZBChkv5ofS4cyK4008odPoLFO3MsPlMSvaaryYT5lUjKuPnr95RjY7Mj9688wFy/kBnDg7wmIPzcMk6kkDz99lenlpejfE7PWPZLlMjJRv+S65dx18Rba0gQd+5s8x+sYug9HyMz/6mBPp5woLK0s1gq6qF7fJKx4zC2FwnV5dj7l/spzSVWdFcgNZAQ0v8urdL50Mc4xQiabVg7NaFh1uvm/cYt3G6UxOeyZSaeY5HeVWHGudmVQTbUaoRVp3zJE4pSttRbjmIqQzSJAsiXnmnp2r1K4POl/xBTpMbbBdD85o/2rRpMmWJcBs4pWmgQmIkd2G56+hB7l8Tq/5ntWSZOjCdV3Y5KLy7bTkibjMHKBmVbw2fGva9RsvklHvw8arPikAlTbU7fkVb4Ap0GLSHTt7B4796SxLunDuiJJaaiNYu0bOYmks6CYxLbuU6J2rwLT7scEQS+oinQDK22JZcu1WEETLNY3hdJMu9P6NH2DT/VP9KaVB8Jni5f75TzV5AIOjt8Zlkt8Y4pK6QKTmejq2Dbr9vDbZHG5LyPYcx8Zzld8Te0FGD5X0FgyGax1eXpzpcRuMCPQRq+vCWNwTVJfem+Y6CAiL0MG4zW2zoR94EjhzBrP+VGnKzSCzB0KqGK3JWU9bTkl+Oc3vnrFsdtb9DgPOeuBYKtAQk2XS0dleqMSgPQsSseRLnL0Dc0gJqiZjiL1vnVq3XIRAwz0wrHQgJqwu4Y35Nkdt6BCGYRgrdJ3r2s0pGzg0Pzw6tH81mIrVLpSzxx6mu3Iw/SCOldPFnLm5D1HYpv6Bav/FxRn9pvdB+xr072n4NzwiubUUKsqnRnMu0a2+sSqd5H8kjf1b9gHSWSye5c9zjV2klY2uvbhUYw4is3Ag87dWgGHCZI70eFiF3PuSJQm6/Alvs+fz2UKrHJ7rFtorGTnvdk7wH3NLWG0xvJKTtlwTkmhKeqEirDwhi85RpKKVbZDYz/nQGXn32ECRmXgNTLa0bB61bZbzX52O8mov1e6RYjzwPpbCS4cs8thtyLbXLo4qrVB4g11O4Grvwha8C6E9DUWt4gebxQ/axQ86T+DB6HwlS/utGqIWz1kiBdy/HNak+HW3cNBi/QT48O2ybcGxuBWgdMPp06LOxHbb89PVyjov8HWevYG04TLbzY0kUirVJd9YSA9vgJx90qIhdzaIJob3Kc7QE9tRFkAr2G43OltN+p89+ITSbnhkGXwFEoWB4iH0/s43Mq6VMY+xXNbSioPksSjn4zDOsgNADu1Ybcm9vHygmBtqEYY8DXwcmHOjSeNe55fZfqRfprmz1C9jnQ08V46Lo5vnWUtRsRhp82AaGbP+BLcfXFUekpqFQeKeu8ZNJVvZ1dnQe4JoSWjmpJd0B02k8VPlyjfQBb/hG+e9Mq+Y4EQe/iHYaW9rC2yHpK0gYdh07I4n2hvh47wt9sZ6AgrG8T1LdfVAGvexEgAklc+dx8VEh98sWq0kkeFokh8CiJc2oUrLSxKs9wpmlOoyioRa2WtyqKNUAj0ZVCiMn3RyJw2QpaxoLn2qltjqQY7meHzLVUPlExYZTEpOjf1secda7siqrRG8JQ+NdEUmHOYaRdJhciK0hnI8427LyehK0ga1kH5DFPCG6bJcNdrQYz2TG9dMD2cjZFYt5UR0viRxrmwHdNAZVpDzMlB9trCjHy64MvkSLtyD6wqNr/I6IWjGxeeYcRWGwWI+RwyQfTFzkuTmdns7am5vd7hSMpsX3txETMyeE5kPpY5F3oOG2Wy0G/LtKMEBlK/HJ+z6EpaOevBjOo8M04Q4BNgzDX8Esp6lZYYqj8xhe+Ot1Uw7eeEzbRb8bzRn63JghWaG/vzV6xcMnVAljfyeNdsoYlGN8GnXbLPu+xa3XSpqHxx4IzNpMlHt1jbnSfBETTPp+c1wJB2GhZmQGWi2GuHawdZde2WkwoIeN0XKn74uLqyoSFX+X+uK1qFlKKnCajBDx722zsWAN7nf5RK1cyyFWPnDvegWbOEuRDwkCbeUe/xUFXgnOZs77ajZ2dqS568TkZ2iiLQ6m3kRwTaDRkfWGn2BraZtXkyRuwQV/n/23oQ7jexaG/4rdZO1UnBTIECgAbXdH5awrbSmCLmd5M39vEpQkogliktBy8qb+9/fPZ6hqhjc7bY7dykrbUlQwxn22fN+9mNKDfuo77Jwd36XN+MrUG7uqUjTmywzqkqGAgXN3J1q1yIBzuUeVRM4tW3sNqLPGKKLiGJvW6ffaBamj+3d4DOzCkIZuzv5iZsyCiLZDSn9QPbpQiwVZ5PiWeKIRVrT1bLx6zUvWWLB3ibzV6jzw0V8JC4xUVnYD3Ewy7MNF4uVmZ4gVGKja7lZUHm0GIHVA6BvhEzFs6GHtyunl12brlKAmrug0LJEePWkwg1V7Lt0ki7Q8U4pwJihy1kXU9mosfiOQ/UhZAtQ4bK5GJiuqsHbPUqG9/FMkd98qZQbwAorcfdzkA61U2uHf3a2ny2+r2Tx5ZRdYwD6zLke9OaGpRDFrH6M4U0s2ZcJhMaOGGakl5ANoeVKZG0QPbIhyUbEahZkxdL/rBI0kkSJpiUxdEd6oMxgtmVFDWn4sDOd7Yaw1sZ2GRstyA8n6OzPcInm5RsHFQWoBn1kMaOnsB5Ew18Lnri3qS20v9IW6gbvKIFTKuk4GIfZtYJ3JD5h0Ztd6N68VUwCrdWJtmGZpPsWA83QH1oSMoqf1gCBb2KrEBehtbULK1o0T4fpyCQJOhlgBE8nU0OrhEdH7yraGPk5ClRzNTBeczLEemdHr87/Io9CvYoBV36/v91u7m97UOVvXtVe/6V2fFG7eveqX2u9qprsMbM2BVQgZ+C3Y22qQQIGE2wFA5EdNmZcuuwVKobkTIkgpJuo9IfeFopH29t29kpy/r1J0ZbHa/23NL3wjYieqv62JMV9MFAahqqu+gje3pBHwAAKawznzJAQfI8Omd32zvsGyNjd/da+8w0+b2+33ezsBpX9Pf2CpoR3STjcvoxFL9UL4A4rHAMsChjbo56EeyPReY1gtaERcwzE70p7gtxgFo/Gw7mDmyhnmcCHEQ4y6E1M6MtiIY4wc2IyN2YpEjGImvEsyRXSJw+wJaikWrfuIhsnXBq2Vpn6DHDoX65YrXKNiwe8KxvyBsTrjOQ07/lWQBu8FcBmbgUN+o9IztmiyQKdYxNraOqz/9eWif+7ZsgRP0B4eLP7BZ4AEjR//Cfq4iJR0hZK8djAbgRU4h///b3IYS8NgWpdSYoahSmhLe+wrxPExd5x20VBvF1IFkMoNEomOITDeZ/edmmGb7g8nMo2sRKQGVn/05TbDsXDj/EtN9R023CIr5JMiFt6AmzPAzaORo/wGCs4RykpfpL4dz0jX6F9ICzYeMIZh9+vls/5cbvyOZPvakP+Dng0aHj2Fh0N1qSMMS+jAMF3PDFovJwlzn5n4bWgWtV4yGitove6sltVpz0vHWVzSdMf49A8fDe4Oj+FsRAuBlOcrrTr4qdXFrWAvuZ+ybTs8AcHgZtRpb1oKuzZLngO35TvzU16r+22ZwvpJ2FxB6hSLwiX7uskXL6tobigMUvGmzaeDv7gLQYLQRUdE80DmVRCSaziVauZh9VIM6hR89wC/YC1P0owXSuo+LMUZ3I1zLdrc8gd5XDYo0UomcKcdWoOcGBfC0MCTBJdRD2vXfQOf+i96QfTe7BJ3ENzEX9k7nESz24RJZILROGXAXZKN9e9Sj/JdYyZqFrE1eI6qZcfQ8pMSlCAK4xoPJ45VE7ZSjJHBdCjOBctKkWGsN+6i+fHGQXYDuIaW87OMHCDJEXFCFL2NkD+BNxcnBV8C3WtcSAfgseENBDczk9Yf3Ud2nhxmOHUUX2AmwNG33XuuQErKhRaRIBLSWaJEdWCUuBxFMeZy7FGQEHXJMzvMXkZ9Sarq9yWUcT3a5SWPy+AIL+QrpJnTHmdpSfM1lBWTUBh7QyBF376r2AJkR7Qlw4ZRqtIcAnF8e9CnYVrlhArU6d7tmGgwdKBSlKGM9IVHp795yqDb6JDoaKPNhihjOFRc84ZqkfI9rg2U+iV6lx1Q6su6gkzzJoRqh5FbsIQHWaIpCbvRul6CwOoB68W8xWs21S0Cg/3RHXkdbZlEpS8X59hICMyrKvIhMX3omKCQE8M6yH/OwvTA8PSeeL4V/G0yYCpjMuyTrYcCR4L/cHaO8iqaywGENq2fC0cBKE1CuV+Y0OFstlao1ByLBeeNJ5y9Ehr3TCakS2uMTSFBWuKACFazQ2cRuRGWJdHLhLU4bg4SeEt+MovqCh6Lc8ulAvji1nsz50WsDJMrIeIJ/EoBnWrV+0WGJst9/AeXlBG8S1Fne+cXpLloDcpw5peesAOTBzZdYwaapq/dClCYS8r3xlQ8q422Bj2qiGVkSMDWE5CHUuLE+MUEvL10jrN09QcIyBymQ8pvdJcQfJUZPn/gQ1KMdIjQDVWdyu+yy2HDvN71c2tTeXdoCpAo+Ggf/nj8WF/ELy+BBX93SBAvJRmaPy7ZvBUb8H+L0Ryx3NsNWh8l1z4lMzrodOZzaMmn4wpX46PdqhUc3J89sMgaHbaIa0R61V8eNFTDBYp6nr8Lm0nOkl1KFwnkn31gst1Co63CEJOXDojiZCHvYPyo1F6NfagmVv+Sm7ICnGVBIQXetX58mxFs4b9hpczuN+oPaMgf3OfzXs1mT2CQS5HQP45Fuzw32g5c/V4Q5ERsAd6CRs4KLJKFs/cs/NnskvB9jNzlBsord1l6AMX5muN1G5uKrWba6Q2O5+UnzCHZi1PuOuZba+oTiLgeSGDNuk3lNunDpAHL/8RQYAFW8osSw04mTbhYZ83KjTff2EJ/5YCaW5TePLhMOhUgM1eoqBR5Yo7swScqaIhDFd9pIJtuVjXaAh75SWmxeyfTwWONqO0e312SA235d7Qrqes4npX0IE2X8P5kkGsAQ3SNQcFIcVWPsvcsmCPS+ra3TQISQ2Dg/NQHKN09JgEYV4nqAd9WxFLK80KAVYzcpc2A+viPxL9W1EwvqEriRj4qUARMBbK+EUUGaJTviWM7EvoaGboR0IHsI6yWhIsajXt4sgp9fZRwBQaDuRmmt7PsfF3L0NfE8WxukH5gZBDTmPCXLt7tAsYuRr2H3aAoDTZv8hxZWFiwhbgmmQII0Acdyk2E6p1okSFYhW91CphM6tQ4VHyawfMntUWGLfc8tZjy9wo0IPce9rdlEgUHaFCVm/07AmxmWeaDh26jMxQ0Pk2SQnhF/1O3BFtnDlN8DIqUcHO0Qy6jBSJu6/3hOQN8jmKMYjANENyo8wT1JYiBTixfIauw1+IBGQvf0v+oY22TKo7qIfE//mvg5X7bB1N3k11bA8w1ZzEbjC46J0FJCtebEbyz1DJ3w7dTNw1KJF4C7RhS5ksp5QXSTQk1h16MpFdsrTzKvYdbkq4IyA1a7DKMfXNzuazMfMwbGOCfmflEvZE2tNOhxf9R3h2SfZj2hgcSYNd4x34OvBy+7ZQwb6la14wn6kzm6G9mo16dY2y1NpUWdrO91pQ7oxocnMK8rDL+i6Jf6IsCtBk1SseZq5T28UwrLQ6wf21rBC6wDkKjfKw1YBvqp+p+Ly0umQes0C+wAf2CWU13waL3GxXwNSCQ7C3QUW4xg+aDcz6h//aATta+OZTO58WNw64chYBZlWRwSvm1i16QIwIKgXGUpIM/UEFiqoUgobGtajjUdDarkYK6yqp6ziARr2j8nCiTT5Lc1msTOVwRqb7WKHNqFE8gmZTNQi23ItWQ2R2SyOtvVcUOqnXEfnM6fhcP0ubjI5CDj5jcQyqjRZ8RxoowRn5uGmExLZWCqlsN9/1wYU7kjWu8UIaSCw4yaGqG4jNIo2Iqla3QJWC+cRp7y/B+/7xm7dXTKOmS+tV77JvvkG6rgdnyW08p+QIeM4/kxmihz1gQQQlsc5Mmyh28pHnzOhYt5iUMR4iSvvQECQlP2sfDVz3ES48hu5oPUTwLBfWX7ypwlqHx6rVZ6FLjWdH3eDo+LR/Njg+Pxv4py4qLHlUXOsIbzef1Lfho+UeD7+Ocr9Va9Wnk2ePx2+g75McQhf8kxmz5ckF4vBYMRGHz4rvr7uMUDHjNG3RpS0HrGBXS1PwF74/vnp7fBacHJ8eXw0wWJvn3tLzZDwv9mLKU7gmtyDHbpuONu89yYFsVz/pHFh2w3pCgd1slTGao0I/59K+TJLqqob25/Rl2i/0ZWq3i7pCu9Zv+Dig2KwW9miKzRJHI0XtuB/HmXDz/uWFtEMUyFl23YLYAC43pzI/B/3c4P88xMR3HJTyRbYg9CPgSD+NY3mHcPI1ua46Ri/JFT6sYdNilgIrOgTY7Bp4L74JKdlMC7MfkdNxILux7UWzQe6Ujrda/hgKqkVS5YTOXvvcljy3hVnVYD72FNSFlSAqpcU3lKoe5fM64Dtg5enlFSDiPV6M7169/Mt3W69e0mf71ZJ2UHiC9xo6PpnsPVZrxLZbpxxFz3Av01awKxZ3TaSc2BGC/fcmdm3yEPtIG8nIRdjHJlkwheI1jOGiA6xxZy56HmbWSwQXmYC4aAjzBh9DWAHXyY2W3OYJU/reM/JGTbw0OGLOSaZaa7yMxsVcMLMWitbhFpqXSxKy2c4iJLiJBpjmdGUEZjQbM26cL6M6I9vJUW0JdeWwO2MzcXTfKhrNHAFS9VVk/diwLofO6UUzrJzSFg2ah43B4bnTrooC3d8kw1Y5wUrlRmzCrdwhsneTroQbIb4GrrxAaGb2UYDiaS5x+Di3SKBlQppwe38wLfBCrQjw+CgR+9vPAZ5vr+4ILIPiojsCpIt73Qa9Z4XMWHWyI2UMMMhGVbzz8khOylh5rJ062HDJ80GZ0gwMB4kH5nufFLmIP5OSFzJ2oSCVq75kxkCzsCSPIK9M71JEgKB/rEys7k5pWlLixeE6Xaf9y3UdRzxRtKXtdrUqNH9RwHZpIJ5Kb8ewP5vyM7LxP8HwxUSA6wT+P3/ERGPWH9sNh53b/pZYHuI0uPxFGlC0qeZD/pM4aO02HagLXAhlbKbxNelTuXzhdZrKoShCDawnwVaXh+dHfdvoMqjAe93eYX5WsOmqnlcvGLaI8VclnK7OXG1YadtQthtWGVB/BxM7Im5QcOORWq/4TpCkfluH7VSSkFwp7SvkEQdrq77Yl5aAIAO5x5LXBHNESEMZx0vbaFB/Vme2jWmM09duZnAuEWIO3XqyAA54pcFpRAenPlrb3VNTHRB8C4ajaLCmxQEt3aq5Qgs6WIdK0H4LNbu5yDIk04SQAdepCYdcOPjb1Q+oPd+mG7Nc8refBf03r74BZthYxQxtbxTDDKubnfMvc6wdCCjTsNA/bFbTf7TG2zoRWmgbwjXnvgjtgAjdKa2L5RLibnAGAh91CrZxMgez1lp+2pMKI8PyZSX87xhP2awTapflzEiOqlQEADdIZTpUf0idF+mJ7J0GewbObLZZnazUPBerZGvc/9hHUZZpGZGpow3GtiIcJ4hm9IfLzofBj4f41UDsQ/5qMIQjERydn/YHV8eH7AkzAc0O/z1PsZm5OMOajYaVs4c08VJ3AK8EGcB4ALBwllcu2HLGs2VeDQuKdjP6sUemoJsrRUYFx1QBm9jdTwLjoSgWZmmQoFVMMElSjlxUVlYUFedPuqlVOPujf9T/CxejwUpd9U7x59HbEzSzmABCuOQvIb4ihDsGoauUOanb1wmnDVOvMypUpYIMI3wIRf0nbY2WM9lVUz8Uj4cu5JZZRk2PkNkvplNpOyeVNvTeAwONZZt9wFB61NwQRojF7IIOC7tNUzdJ1lgFXA/yq0ydRZIaaZnoVHU0nO1W1RYYc38vgxxnyU8DQro9XIBf/9rxB/+QbdDqQm8wgQtpT66xCGyai5Y4uz/4o97V4Vv5cIsbSprvpLGFd8dyefzcL+I3EGdQkcJoie65IC7cnu1EhtHiMd3BYxo5fLZjuCzGh8kpX96JbBmtYSvB8BKGoLI0jLTpfBm/ABN6ywwEr13LAfjMXznw1XpkWcLnT7973A3PXSfhd76MhA/7RPc4jcUERhc6sp6wXtVja+AbnTaDwhJ5Vvll+SzBvUQ6v+bl4kaK+LZ1shB+tfQBfzCBVE39RG62qOQ1mjX4PxyARtBodIsyWnw4M0XQ8BHguNdVqnUVhrIRcmUT6R5tIKMlgTHmxS/umOdpV1VT9utmMV/MEseFPjMpN4oUjwont9iD+2V2YZ8/QEg7lDO8pdXIQfeDw5/eo+SFp2HWgO1Sirlz43mJ+1zoRQMQvFC5HclvR1Bx4MjGc9YnbWoAo8lwChH8gcp1yIPlklnpcs7HkS7WLEbeP03+TMwwRrTnjoGbWkQy7KGSxPeydqZUGcEyCQmQbv6WOBRfShLz3iS5vcFdqdEGXdHeMBSa4XJM2lKzPUtq7P0o3qQnCEE9dLNWONB9IOb9nWcH+reX41fqIbYMb905zjVbMbT1rpS08I6aRvhMP2m95zWVX9w408WOoM29bntbQC9EUUSQ84M8oxjPNWUqxzDiyWbsQaQ7zR0uH31W+N87LX4SQFARhZYOYXsd+tX+7qY6gO8o59T8i/ijm8s1GsMUwaRTF4WcxW4BVgzDjZzz49W6aBKgzdKA67ZJO5PMSmoIz0b995+tHBjxy+bVFv/8cNH7QXWFz01PtE80y0FlE8urHfAD69SWs5AX1ucT9MPegtA1xEMHRbE1bAn6jPrlzKmVJHquOVdd5ApBbVJTBq6qlf3BKAC9PluCXat6nVmeyN1k3jd6aWim3ZXoUW06ToaJLTih5FC4GWzkYn2OXbSKeRWoB81OvYMwc4jW3Kx38vlj25Qu0wva+OhpPOMWgZl2eRfdCEUqld1+4uxApxxTKqOdKZHac/2k2a4CLIGJiMF7Ijuu1XOLk9H1v5jfpTNqYvlT8jVz7FfL6RzhA2XLTgb/cgj+X8Gr86u38ANLfv4VNOE/hDz9F+zYv0jj/Zfoa/XiIeBkP7N7hd3JZfLt7uCO/bx8ek5ofpbBv1oQ2yeWImO0/uQcCwAz4TNOfzVy6oiX8nuHIajvy4FZqPqDkYQ7YgdrZFwR4XG3KON2i10IEbj/Jgv+ELxN0en15GTAaerGHX9DxXOlxi6p/DfUC1gUBokGdBoN10kZB6F3O5vCoQbo1gi7wkg9NzZ/KxasgD2mwZv79BroTWeAL9ScNcTLJsVrx8tlv8IAprxBqs456bMSyqe4Pl72m/MkTl2wiQCUoOA8/WgBcn0IaxDmU/9LjWAdNx8VeMfu0rHaBPyoJMOgtHhQx1KI8xdy5CnzycOGdObspKvFZsSVJcOkihOR95wsx+oUQRnScnnpXtQqd1WqvBhpvPtbd0oZoBgi7XE8d0YZdDHImCAcpA+JuMQpmw/YJMKZlX5sGv1RB5xAuqNiv2neZoJ/fUgfCD/++IYTHrmo7g7z9iakv2BBKbYYyBbTaToTlRqWG5UU9FLvtZp7150b0B4Y2YvFdEyJFi6YZ6jR9VpwWbgbPhwlczqBVH1Ppw/YTiaOe00InGMpA8NGYlNu7SI14ZxFPMI8twN7rtHdb5npevhyamJteIfBK/eUPMnToNBLOlwQ0hVqER74KfWg3CJllGIb9+NpVSAdPBIgzL/a3IyG9z5y1rhzs7fd6TSvc0B4UtcqXdC5SHwxGcMqY7kUdRwMfeRgTu9+TS0YnUmOkhtQSxnrhc6P0wEUewbCrOie/ygdP9dN1KSxY3H07fb+MLnubNsIh7gOqJ8M1WiNb9hBNaKuekmx8Rcj1/y6MQ4+g5u4VEpOK/XHBgMPAzmW21UPgs847RWG78EOYlHZCQuwzBsjUx8xuQeoGoh6hA1leNNrsJfZfAbUP+f4tKSS0FOnMSIbTXCxSd7u7tJuMPTV9gqvzJ7vldnb3CvDyOeMgN5+1g9/Nf2wqAhQQYevCGB77Jz8P3Ago0irIaGACUXOUxyBvyT6kidmlVvsOx5pyOXXElz1unNU4u123Lm5wTQqL+FvrRzSG9fJIUenWeMRUjeQXP792mzI/U0V4J0SBZiMaWLptlGONGudG6gLdPATXw8qYEdWQUH/CJ+ydkiic43yy2lnX1DZdTBQw0nyGJKnDV7lzolTGAfpYgbbdNo7e9c7EWAqtoqO3p5ELHvRNoZNe287BWEK/wOW98Vbh6ApxLcpXnA1fkj+mU4SGwBaosDaJ+GjsQqZyivNCh/kUvtpuHh5c9OcSLtZfkqGjTE+Or0MGJ18McEEjIlub173RcCUR3fg4ebqJ8/A0T3dCslV5/hnH9i9nSS53rm+yR/Y5BMIshXnFZ+y4qhqJhXiiWe2osR43QqHRIq8QYm4hvP276F+eLtVMWsKHLiVNDvXeyzhdYW1fHhi+zVowHUuB6IqbUGNYuFqFEUFIlLtwWoSoC0s1ySeATa/japwF4N1QCAOTicuYmk2lDuMpTq9g3j1mxAdZUZe3TH7UcrLDHMwUgcBm4lFOunzwkpW5VV+5pMRmNPNFWcvlJF6GfZNLx5+/9Rr30yRc9SHnaCha15NGpXXgQl6u0Cfl4Q8bhidX2yg0IwWg/arBX+z0fgign/yxMUMbqWamLV4SZiZY47Qi6fxLNs6v396mC4Q+saE7GLSkjTBg3phUDQMH/GrSfyihI988Q7iBMZgaff6Pp6Q/xGbVJPsd+fzWTIeFDqKQ/y+1VDtYosSGLdoSbfgaGKIcst7g03mIO5IrS+Wu6p02TEjAmtxHbzW495Zj70UlSK2kjql7ngn6NosiWdAb5zsYLe06qZwEsLmT4mbfqtt1UNVh86Sxw9/naUfvaQSicISGpnidyNyEUZWONVUEGwLSR+aUHWJSynmRa4gkSKyoV1lXGN8U0ujwN4WxpItwNlVTOkg20ENAZEEchnmTihhOk4hb4YYJz8WLsuBarS0/mWKMGU1uN4jxAlDWCbK/jbF0cSaGN1GF8YkhUheNDd6Tz4ls+EYF1O6HHVpojCe0ThDUCi3axWcEE2qrUomin3+kJJtZgxJK+/6N9NLTH6J4Tw+37EFmXwL12COqXiZCcBkfq5401aroS9z8QufoaG+HTSUsVHoTCrzs9oGp1vz4TbsEYO6Y+6OFiuf40zJG+Z9eBUcmbxFJ5zl3dVhrdEBRgJk5bES+R7MIkOGcmS1IZSX34WcwElfEd7h22bAR5hpi+ho583MKkOFu4wHdY2nqYhYZEDySGxFwmo48Bj+pabrkAdnMAFwwSHMnAWulPHgyM4Zu71Uu8hEb1m4k/LR3lmnnTQ31U46S7UTBjakWEZm+yc7HX1JvmGm3GwClCkmWSVshh66Owo8LsmQGnbSyNzOUayMOQ/mbR1iaWj2pdQX02LN6iOSRJTqfLdrzV0Dyylap72a1UtpZ2G0oBX5KPTQA7d/c0p4r0k30D7OtLq5Vs55ReSSxmZiVHaZgKh0bW1naOdsYHt6Wkh2z1C8y3U0ESUjDkbmVLiSoGWPRA/EvAGdlZvyXonXY+CamH4rjAdbJ9kla1ptYiTZVW461YyabGfOHd2gKcoDolpIPmqspGWSsaWuZZggRBZ8EYJGwohylLvKUWSW8lQ9iVxN+xviNl2jm2Ms7jHHL+SklJa3/dbM3JTuX98fFnQHluC/qlA/w42GtbILTwVrXeJcL3jxouKCPfci+41FBC4NF3LQqJ1dBc4aLT1MHEf0ThKOlrfa4QpysEAIvXcN6g0P2Tqx09pU7Ox5YuetkyhBJQtJMlJRfng3g08fgEv1wZqsHCXDoNWuUgYaShD7NUIm8NedKgtj/sPPLKNQJacLPn3/2cLFy0wsyfIwncgdiOSiiBjw9LAQpcvURam1SmmtWqtNv+86n+/y52Xu6Ek6qTmzctskaClgCL+BUjICDateCgAtrdfIpl9MydpxF/Ygtw2k6cwQffDJWdJKCsd6glxyNscDWMXhlBQa0EohWWVUTfJX0BpD3j8KEXhvYrjLFvfoxXVQdw9sbkIU2+o4IWoHmVqOB5ommIHhkBTTUPDH4E+gwDSNajNczCiD84+MWvgEw8KFeBjfzuiMhQZ6Hn0Csp6o9RrjTyonmLuJ/QtPoPchkA+6talKREYwT4VGI0pxevLLNxGpjYLt5AHM9CaXnPXu1NR5EHDOdSLuoK+aO1kunUpOiUv0OQo4cM6ATwkHzonIk03FbFj1wDksed5hr3qWfb/BioUyfspcYj2PNOxBdr7m7z3h8viiolbKNPwWMV+CZ6yRmEXkwL2ixNwrGGoDsIRHZDISz15Q8hMouSMCoAXjBcgqswUaATUpzyKtUuMqqoatxeOUtekduXvi62FI3AddalnC3MZBW8B9I6flavl5QQND+dmfjGrpTY2OqmUYPHDjXS5MCY2l++BQEtnQAorMX85II3QRUyYrBR6BRA6Bg0XBBbAoxDz8G/6PcEBgbMDBaY3IJdDc7UrEVD7FesP9LuZB8dg5wwIIDE6AEUKmTMGpRTRj55GXoPOIY1wq77VY/M3l+buzIwQyMAl7bqalzBam2MRL3scwLfFVKG43Askl1jU9JcQZIPFrOMQfLYzgNSobaAawv1IWmC4Ea1dSt/KKBR11hUCm3htitpMixV4PeZJQmkxCjS0RZQybJdRJ/E6qIJkVUt0K0mekFpo0YUexhsl1aKTOMZwAdzWVZiNDr3Q+R2Cozg0d89ZzXe/ENryePYXULhwUJIQdRCftCnTmnOZi2s4wIjctjllyspvpVASV8HScZdQ9W3LrdB8jHnCESjgSbBQMx3NWetwRM/YxCaIR5Xejris6eUqeiHv0SOOpplPuwwjLobMhDuyrCixuinTCCQroVyG+hhsSuRyBYJhtATdzAl5l6oDDZ8kdLdZxJKaDhzAIZY5C9FKhy3SE5V2xOvPF7a6Fq9fSdtwCmTiEmi7mppA7xtIwzLgGaffVYRVkifOKziv/xE0JAL50bypyFIj/1ITjENmruEVBZ3hzI/LZ3dRjbMu7V4FweY7d/yaaVZVKLV8+RdxuiplLVCKmtj5XOkV5qbSKXQioalC5LlJxZBxjLCsEAYVvPSqQLX3M4x8gV+fx+1+AQqBzEZFxUaRw8kqa5aEu00EYYsSuEOsXm1C5OKbBx7PMhaCVdKS6s0AMJEUpNdqqMzlEMQFCxpbUXHvtNjPq21708IO2d6edHUwP5CuVZvgMBY4aT8YPi4eggoeMkhwQrnGNkliEXNwvKon7oCTuekri8QOm/sOwtoJXM9g5EcTUEW2MLT1eLYDvouZ0xs6fPwaXp9pS3oGa0CSFWhD2Xh16iQduYjtvivpIQRNrbbc7O7t7+5enjUajKYJ3tc5YGLKrMI7ly9o1fVUt9LEA1o4OdnzFxSpI6llyi8r+GTztToNAmB2Ajnt2p3HXOANyYYbFWqgqnJVmFVVS0iyCwx5rnsFViuwv1RN9fsZnnYX7aefHoHW1Y8CtYEGpKcmKnXCmyZgXZp6lnTL4O7JQ8mUNtZcwyqDCqf+ZuRShLmAipGr5fTPyW+igVpUpjPP4U4ACcY7LMM7y8FScRZSAZJ+nvipm21UGE1TiWZsDBeTylGMIIB9mquPVxA1XWjoEYkR0Ea/DhquOkJPp1aAHj/gHtotEdOZ7HAo87dWZRn6uSSqsysJcClrIy1uT5bXwSQTHoIvO52Tlvr/g88aMJCUGo3qh6pbkI5JVdlg2KKHUwoXSRFSThOU8lI3xPhxw10yjYiMjds+CqM51141M8ShV6b6jj1+yoko19UQDN2NOvXKRsOAlYFR+dZUtxzl+HhZl+bYyAQLd0F5ZjKz85VtNL99Bzxmhoc9X6HDPMJXfXIdDb6PLVhmUkrgp8ywmgVVHmYija88nq2LADowvJagokV7Fn45HfEcUeB+SxHh1xoKvlGh5aEtpNVRBtiXStWRaLNkrTZcHVOvUYMmIi1aV1LAlTNegT+sdbtEFQicAcS6wZo4ljtZeaAMOvumAo9ss8Kzc4UROUKSoRhN53kkKmgMj7AUVkT2UXXj4bnB1fjr4cHF5/vr4pN8F1Q1vGqNlmyUJp1K09tZqX51Nta/2au1L02NMMtvNmL0VskoS0B/7uoanYpEySpG+AT+L9z1SHm3pJQqY1YWfq28RLVPyDA+ru1SL8vSlnn2158IyL/hDMMDGTn//3Z///rvg74tGI9kPjRZkbtUGNDw7mC5dQj0e8Tp5sIB+DVlJK23akVNxKsWan2pegwl1FCHtjMkyXrU5WSFOqg1RD6irK6uGJC1NNicPW1+CsKrY81x8Ju6jaKdRa+QEp3z2ph0ulokN7jjJocHg0fbk40E1f3Fo8Am1KW49jHUXZkTk45mz+kpPbeCAHxOQ2GZTgRFoE0AYmXRGPuzhxzJb/pyIW6G9ZD8ptFtwJ1fcJkF5zvU9yNI/8O0vzOIzNyOnPvo1qya3yNsepz0Gnrb4IRW3JD/OKFFfvRH6Gm1k5XKg9HjR+APiFr9odfIr84cMfrx6esE7RH8djUnNSCcveoNDs3INWriDwFld2V+8pInfPsfIfnNlIOqBdkRrxVFGSngwVYOu5MGR2qvVbuCwFG54DleHlNMopzmoKJtpIptBqxFFexqEMIzQ8ALNo/T5HzlRmOmpQ6kg3Gw7aXXYdy17WsHmgP0IGfPFJXymerCMt62R/ztfzPsi+pJmyvk6VlYNTen3T1ptsyp/TnI2uOrL9BlZ3MczX+aL0wCT4dEAtQqHEfWuJCckExwAt8U4d7EzYb4LxxvBCtvP80IUhG+p2ikkZYjd//b7XDOIATyia2Bi86pu2VDKXpqhsstT65p6YMr5yN+tp2Xr2lem88/7PgwupXdLD6TI03w8zDTG3NS2Lk4pZbv2mCQfJT7zdds1rBFNV4YoBTbPI0hyEv73IiU96zr9KVlh1u58Bh7Bzv4zDsGXlSokUDDYWdT/CyxICLXsOK2xGHPMS/si+YdKnrHZWYKjFOXAZckaapr4bj0YkJyB1xTOnCLP0HuvF7dcutINTnCa7QAPXcm5XCceCjCPnWKf6M52oRDQ4NiwV+A+vdWwBk/p4uwNsuw/XfTfhORYs+54Qb6n/PvBj28CsXCwPfv4gdq9/3T7x08P95gGORHL2HgeJqkXqiXvQya2O/eIWVMyaAF4HNe8wcEpOuX1K83A6DHIJArnF0Wj8sgD5nnh4fDgE45m6dSbt+L/4vrNaSHIhsTCjURczsYHEc/nMSn+ohjg9eiGJq8GNfkYkbZ8b0CKxpL4EAcjfDGa7owfwNnzcDPs0xZukthT0oZR5viIZirlXsAcnJ7XAzpeujAFAfo2nj3coyuJpkDD+++YF2rWqeFU67DFQSXmfq/wD7qEs/9exDNOdeKEJtB4QBQbLKTfNzeBsz7H8SPx4T7SxCgTSIpTjclLS42UGrkVjLraIZWCYctR2kbXM00ZGgQv4MEPHNhW18l9tgIcrCSfdG796eEJ0gHV0biljD+hIQ+CLHmEfYwlPgUkVF+L6dSSDCHXKMtdtmV4BVHhqzhLdtqEOZc7jwfX9FUERhfyKaBgyrzmzaoN4ymWGkpQROpAhzPcqZGQMGd4JqbhBpb9kgsNdUAma6TWhLvFoVOOA5t6gGCzxpOf0vHQgKzisKXSxs/kuDh6LY9IEH8tGZLDDsc8ZIWjmMXB1bC2Y6pEPEl4KdQa/Ip4Bdh1x8aHMHdtu9MKfnhFhFfAxqA91Zwh9jXitvzwCmRMj/uKMVw/rRIaGyP3vMAga7QP2Mjaq7Q2SDqgJHV92hGiI2k0Ceh2JWMiN6UtISvjgdDVkUIhZi28UPcUPccQyJJ+IMW60AGs+xeEITckm9fr3k1RmxAeyMvzImTahTWL+Ld/TJPbkPjbwSbH5kDJ1DkUnIYoGVuF87FCXdx9joJ8c/dDj6UuSVopdbQtgZycpxBLqmNFHhQCAFXEO8Zx4Cg4zAzxSHGUk1kgRzcpR0If5WBGiJjR82YaXXgnDTnLKv7Qrs12VvCHissSImUGcuQlGuqJchvXiZcKA3iJKwiUU+AA6/y0kvxNzsPJPL8pZcMVuPA6dXVvU3V1d5W6+jb5hPWT6EcmWOeSVJF//vOfhFNgWozxLPkxIbrmYT3IXUyPKcEdkJpyVMVwaR/Rd72pbrpMCwV2YPXPgvbpoT5y2Sg55IO3/b+A/vS62WkcMveC2S1R51gsOzWkhzDBmVNtqrMsdZx8praG6s8d7IW7CaSB/v7yzSsw6n5/efnmzatXAlTBK82qK9sRj9IeTlErWMQknGladRItspx+5itlEQGQatrvPdpTnB7MryzR2XDAtp+XhEGCv/3tb5wEzANDefGEPHf20Tls2WJIyOMHGyplQmi8DUyWZSAX9IU0C0IoTcrydUmvboyTTFUjU1tO5obsHKtp2J+bauoJpjPxluJrpj4slfmfI8KLS7hCVu/975HV/wa4DdzUFfkRyoq30twOsXf0OOJRI2Eds2edxfOd5eC14B2caMMqqB3v75vNVmt7u2pyuT3eoUZ3cqMAUaA4ZuZtBMMCx1k45kGOQVLwliWlR1i/b97A5UMOGRJHuweJJ6Dk0oBvV1L8c/xNcM7qQeVQrFHbCR7fXSJO69U1knJ/Q0nZbJZLSiyBEaNTjTF8N+28dEpwjTNKs/WEpLRXFH2D0uTJJjQwEnqdLctQW9xW/uDysQm2qehUPEmS2x6Sct4BXrnwxn8HIiQX/v/u+uV1ej/6buv6ZfCH4O+/wwv//jt04pF6xDJWIwtmvfDT/oS8KTjyYH+73dzfdmS6XrdGgpaG/Q/kob+Xp1ZOfzhptbGvXe/s6NX5XwLihQ5jh9NeyBXQjbXZrhll0bkrVqOMAV4UxDFP5yJ1RR9mJ5FxRgnKFA8OT12KtinCnuPkjONFUJiJ3NyllthKcNE7/OH47M2HwcnxRYhuVVR2SgQwGvh29Lp1cnfAd5vWdzDgridtmaK2eAm3hIxruLtLab1ItrLyYeZmP3C3UhCaMXC9qqK7LQGGTOzhcOSvqMQ2CZs0IqyDwTVNktIzNM5sPIyUNCx30qt4unL+JrDvmgLBB099S5zdeEAlupxBjgqx/xRtb85GIJMZq808kK+ejbBcQTDMizz3GxOA4moD4djVHVFEdlWxyr4LWQ1/PjcS+0Y2v8NlUG2Q/kfiCB8LGFuNQv6UeeCxHKyrmzCjE3pXQGP1/xFXdAUfsSIjrmHlYzotOflTQYC3zKgWBU5Rx+i5JiAvk6C+m4AZxHsWd67kcGJbFV+oUT7FxWX/x+P+++Dwbf/wB8yK1pPCDMQVWRVYBuZy/HlV9J4Nj5IyYPcckd1mGDftTZ5v85jrwaBcXeAVsEpDhhA+plbG8D2FMKTxrWHEYury3EF8pqhUwDbFE/bo8BNNYqjHq4syeo0Po9nY1IfRXhlyI+NvmsQfM+T44RVTnmTB0R+w3mFuwRHnmIIaVM7hkj7GjBJTbsQQaEbB4qDeIe8Fv8JVnsJfFHPzAK4k185JJIxUg0cHBNOGVsoyFAzmYK7WpUq1vw1yKk0nwscUYdZFh5EWGGqFM4nYpdLedn6SKzrLIp2FrqQAifprmdN2BiaZ1DzR7C4/lDpAmEcLHcijh3dwDkNPq+Kz4PiRwoscN4Jzj52A6EGZQW6GaY5nqAtVpaaD1yHC5FL0Y85i7EMh7ghvRvxGnnMWOXhd+HExhk91+6Du6CotbycSLLS7m9kluAyW/gJkiqzSQzKPkSbQ6mNehVUjvEpcgot/6xLUHtGB4s6/6sTsmUHQUt1RoJ0pdsh5AfzMmnpM9MX++C9mhDknQ+f02W4wQHaGn8pDusHhXZoSmhwPg3ytfO7Ggl8s85tjMjm1boqDk94ZTIkehaNE4jhMp7jNOjiaHsoikkRTUuiorkjT3xS+ZZg+OIX5RqzBRk/YUJDagAymd76YY+TlyMkayrEcTgNGUPY510110Rsl1H/Se9U/wWbA4eH56Wn/8vC4d/Lh+OzH8+PDPg/LebLec34IF70e0G2D11cX/iqfIqwqD8G+nlb6h7EUH5z2Ln+Amwf9s6M3l8dH9OsA/z29uog4M+h2wTAYbFPBIuJ6fJDyd1kw9mZfoWs9jDbLGQGdF/VU5iBIaQyEhy+kvNbv/bmcpViMNOR1jdxQdED0jl5okmMgCLNIAE2JT/1E/YIw3f6qd3oxqJ+cv//w+t3Z0eBD76R/eRW6aotxbIPYAgGIlOEii4SDOVhzqMDcx1iR9t0LLHxIMmTRiM62ADZ8fnHRP/rw7gIWEX5/d/Hhde/4pH8kLZpqi2lWD36MZwgczbRzJuBu8U+wXRg9jtyHMjjJ8CkiXNZ0EmEO9ALLBQiw+1QC6uFXzTBbam5cYdwA1poTyJYbCs2GZyhg8fPn9LZpS2+bjvzckZ+78vM51+wLmxPTeEZgzBxEJPBYo82QCkaYqZ56VGFRLMUFnhbAoBMktVHZx4PPnnquD/fwexDrrsyrwM1dhftj7sMMqNDhPaKecE+1z5ftIAx7lt8T+qa8IysfjtekDE+dSioROSRjR4pYYl0P5rmlj4WHvNMaNorZkHbazcn/ypeV9Ng6S+XzSyuUK1apCkvkcvSZQhneUiYxafYVIxZJKgIrLcrEqCgPVRyi/AJhCG/wpAbMYKUI+LLcHdekqiloKImBjtzhBHP/BDleSMlmWWdBFfCBmS/6FlS74NsutqIjI93pRIdkOaEEJPJGM/XVuPRZz9dpin3IpwjPj7+N0DsIWhPOAa1jSnuilHXtIUMV4KWtjtYhODrDxaK/eeASc0kImH3MUnQYXHHSACZlVrCj3n/HH2adD3EkLmLHz91zkvskWx5D3CDbYNQVnH01kuVAMABeKyqwbzhubQyT0HN0ANIBS4bAr7+uavkb3WOX0OTfoTFTik0MFp3UjWtrwEjnRKOQFxBDKq/64+O+geHnbbhs7mI6kvCPbb/kkA76SuSSlPXc8aiay/Y1hI5OWOodjW7VoKxWn0ZQAnmSa3zItjEvOFw8TbFtDkMM3CZzaox24LrEOCSN8tcpe13XMc3vtOQ3P9tJrpNWsx1yZ97tUbN1s39zzW1vef8jRg1BxCWioGrd2XWeoTn7ONXIjByhLtA4JCvVrxWuSdMW690wRTnixbb2Gs8ZVC04skCxRae6UHbMB4Mt5wgWSTTuqVK8CLpLRTHYklbYwc19DCeWWoWq6s9WgKEO52AiZWEG6QYJdF/cW+5RT16FRZLrrm+z6bV90v2PzNa729vdpGkncYOScnDdYnLItyIXIQehDon7r9Czm76e3RQ92/ngGV/q26jUngPXnL28LEbCMMV11BZQ+zS0G3CGiT8CHahQMDJBawoxWZgbelQjK7SQC2CJaAsBpqjgytrTlNb9s1kuCXdg8ruR5b62XxUxe5xzyD5rmmxNMPdMNyqSFtrADjRgy6LR3YTcbXn/qnAZn3c93wZzql6UvMSAUd9fzpPbG/HkClBPtciZV7HkNfpea0N9r9APwtP38PWoB41vJ1R/gjIa5x9mk/hj8gEzuUIG3q+EQFZMTn4SYKhUFvIEBXxGRAVlfErOEScJayNTdVhTE6nP0vo8ja+Q8efmCSLOB9EoPv8HmKcziSg4IZ3PS24YvwStPJH251aF82HC8UFsz+Jjnbd0A6tTAv+MyA0vCxIF57IiYe9+egcq53fXL1+BeYaZFFEgn4V8BA9YAhCtnnO2/Ut+zZLu16kWddI4wmx5OmJOXXS0RBjxSj1xw+AAkVM5UhQR0pSsyZEcZKxAxmblnDUYwBvmFJd30D/pQtjsGdYi5bMUl1DcfDZ+eJCCilFSM0Q34u6dpT3rc9omlc3QWk8xX5SuewAGMXJOTWYKN9xzAJQDTGAe3/P4Qzwwk+H9YkTVNm6B9B3yScvRMKAhng57/urB8cPDYk6VJIToJ+UXVuEcz6UrbsmZSz7FWP1EcRpqe1NZSX7VMr8+u0/pkmD+OB4mrC6+vTo90fQrNp+YEnkMY/Z3U6NKDmlSGjF17yK/BeVeJBkuFXNhDBF89WTKldpfEbdBLvyefRrHoxclpdB0iTAboYgDSSbaiAXU+cjbte8GYU0eENRCc2Hx5hWqX07Taz3nYnx7FKqcQAIlCCNMLicxYM8pd3Ywcpfi82iqVVZbEy2UiKiBVVcyJUepQo7kSv960FMGy0olp0RsQsgOfyyyoc84EDSDPezlha0QrAx7xNi8tmhQzdZN9XDADWnYtJpwOhSuap2Otb2pjrWz2qfW6nRqsOszGCH2RiZeyU2/Sbkod4Sxbsg6igM3Klmz9+MHccdYG/BrKVGsLkzTrEyFCsX7yU3SWu12cBKi/tvpBGYJEN/H948NuMOII0swCO88Ft4W5vxqrFosV3LsOL+EWsOosSkj65JaILVwtB+kVtCglpa5WrgoXjTJGoSnPSCW6JmzPCtbhZf6H75Kk/D23nC/3UgQMApoen8nT9NdzwnWjPdHzU5V4KJQX0WVCdmXBSc2wdZmO/8wUg9S1cGE6sd0KwdD6Llc36hIvCan3LXvYEsp1U1q4eGjb9O+c4We4R+OjfxNuhfYHmV/x7ubvjfrfwBr630NImGFnrD9XOrxNVt0loqGXCmmbRMvwoF8CuuohPwsPXGykBuW236ansUSgmBBglELhz2DPWGU95Xtwbnw/coTVOzLKj2TbmtwA5poOiEKvq+mfGqj73mKWgclJKZw1zqhXYDW5sQAX2h3CuWQjDZNgU428EKuV+CUdPoc5NjxhbZ6QIaP5xxHH/KCBJTI4lq3Z4QpKBglVLo2Q3XLYpHrw7wmbdfxSPaNfUJkPq3pzKIh2iKANn2BdxN+sFtfcHEJ8g80rk+oboGWVT65IJxweRH8/R+Ecj+bB/vSLt2pltQ3lYNH0XdB/uUV1mYZ8kDE5UhK8oj71mbsCpVhOQpdqZDOw8XzLiyZFxMkkJV0vIUzhv1mLCIGpSHwMWenpNZUEulWPoNAPL+ls+fVVYJ+qnsqp1kPEA1Icgo3H0IUUBVYc79Vb+7s1Zv1TsOM6qx32o8s/RGh4KLoiiDVHhToFSPh5H916cOe+9lHNB30ECt6G7BBLLjgI8/teDex+98df6lWH7KoK2sncyt/YOhKegPYw71Ckrax+Nxa3O18sKX9HGz5DQBBIyHaQgCfJZq2PnkWOFUWGHmsD8mlnI5IGP/Ss5oXoEVpw8d4M2lTfnodgcNincJAoC4k9zdOEAQllD5M1RNikQp+vlpEdzYU0U0/21+FXFdo2Z0SeZw5N4WQgIgyNQGc875McVm6EBwmphcpAtNNJB8vVTpQSgLsEFpqTv/W8ArvPf8hNN54VFDSSc7+dqRvQe4B48PNbdRhgxtdpCRHcNPj6U48vDhCeSWSczIKVySmmIwUd2kwKUVf1rQwN0jD8NVejoi9ygN/GbUVKqiS9/Px9PMk/QZm9iGOXWuckSDxTNA4h/ckzg0UgbN7QUULiKgMGr/BNYIjATsme0iXc91nSd0kxfdInGoXELtc3b0G6aOyEN4+OKnCvCCgKhNQAJ6oGWX25TeZGodhsjj1gx+hgFWIUKQh2bF68CoZxtjHVwpPcJoW+piz00eUKxg5hEvylMxqXgQgUUEuQPqnncMmWxOHgPkcSUlVyryEsNHYU6AUVKE6Znop1cPUxDCnTC6+JhF3HFosVQdrTR1/j1pQJLSEUVdte4oWOsJLLuZfvVRymTrgev4NF7dcJ6G0ECJRSysiF/BAIZHiIp9/xMKCLLGfSIr2zyOVFdpGx9c2Os/+/W+vXBTYoVUxSgRA7aXL+X8eK6k4/KnKCSHS9scKACFSAwss8UzLBX3uR0yulP2pJPlF3M+HfDFHzcDv5Q6S8lz0mkqxg21NwUv98woQdzZVSfZLVRIwwU+4IIbqtwSST1d2MWcGO62l1EwRqBkrf0zzQ8yElJp6GAKmSDsBn+EC6w5vBHxgjmJfv2XwHFDZgrvxaET5iyj0ntKFPif3kg2dCDoZ6otlCk7zrnNfDRkmiAWezrx6U9ZLrYiyWRMnCKek+pOuDKyBrGJxmiCF5+nkAFNtEpJzdKeudDCPr8vbRpQO/SBYparohtHpiLTZJemFB+auVW4Is9OwfYhOOWHwZJv1WpGJ0x+31PEAlVDcYK2PiswaRNiUZijhdQ58SCffn8bZGNMCbJUqmdukRi7PZ+B0YmqtG17CVBOR1qN0mHF5Wz5G4mdV0yIlxFq+Zz+hIKjORM2C90+nHP/h4OUcA0/J6DYx0GgYhashy8EVqAcDolYyHnyCpd6m8b0ilOaIgn2FTOp8yZEUYFCNBh2cAOu4mUm4xAJKzx2FIjSbBrgl5iI4fknq1O7R5zf3UgxQfWPZgTCxe52OMkSMagqtIzmt0BR2fDfETt4vsSN+CeeD545V30aXeExnRuQ9cmeUuuGQQMP0DSXiK93jyeDgd5fZgJpTEhEnLm1dkQ4XZKHkUjvCPsBeA9fA8v9HV1Ip4wFGFDMSnSPCiGU1O41g+gnk0u1dFFAKGOPiknCLZwRkLQE6OKNjqXhZxQmuZySmlrAsmZ/hVEbVQnxxE0jPVjBVWIY0YORXl6tcp7rGaJ/IXfcoCXT8JCbW6Re7m+oXu8v0Cy296gZ9LqPSAqoCVKO4r/V7QZgwfu8aJZ1QZxjGc8qGFADgvBDPHUSJZDi9jRUHUyBGEGLszqBEg6XKgz+bA30CDrt8nFHwtjQ0kX9kqT7gVJ0VUwFA2DDMqFEbUd/gzzKdmEXZWKUCjEeSB5FZn73Jr2E9m2HZ4DXJXQpyuzbB5qXdfApkFNw9TUEDyWxqntlJJ83yfvwxcX2LtiM5nxTFfPRWLKchUHqNiw3O+ms6SWqosJuUR44MuoCLkrRYtl1BPXBeiX9RLZk0CQY7wk0mdHIGkZKlub3J0x5P/kGL7PaltIDulC87i+faYx5GVWMwBGSdcy1UwlmUraR585j4EXkzYF5fv7XlMuEvB0UbPlE2xR0nqw8T346S6s1Cx0t5dA2JuQbGE9a72uJ4PRvGryXlWJq0tUKpeEZz/nbITtx+khtak4deBYGRFGzDF/hqO7jcyfP/ctYKMp65OIvZallJiNKcNKwsIzUaBwnUHGWRNpBrPiltLpz+k1o8uhRN+Vrcpgj2ijN/MGXVE9JilJlHwoSEgSsSkoN0P1RgfpteaKADTbs8qSrHghFuWPfowO1LroZN5KAz9vDZ8M7NIrzzTlFz2AHNoeFpDiXl1F3OviaXuNsgCmkrKyYgOr1GYhRmuCkVraquUtsRbNvx+urCby7MeW2ycKsVh7Ka73wGg/NskfAKGlDaa8SpFF9RFA5fUV+QFJZjGsPEt+YP0y3bYiDSMsb5mDth4E7OD7ym3ZS3CKs2vCu+B0QOLkzOR4wVVuR+a7UiMtXppLlvjdmpPo2zDJF7IvI7zBPpYoKj3VoQsn9uKJ/j+ihLsKBdzI1V6nNGi4eHJzOiAyevLrO6YV79cQnCFgshUuaYQhMVqsLgFCSTH4mhx0dJCqAARNWkYiwmH+EkTWoGKgFPuZONka8UJjpHBNmH6TyoZONPlNV4f181nkWPd5Ek2kqJGmtupy/Nt/vsImACJ6pQrtQnxvy86bRudjvXe1z7njQ62/udvapWySFTpxiwhFMNAXKNbXpzE1lEA8w1fY2QPIy3jX87NTQurIbHN8fcHS+QzujCxhB6KkKiuKISX2f2/IGg8PxpgG3vOcc64uECz7uZTy+EMi4waCzpnoxhQLHk8Cz1eqcZGCHuVQ5c8946Tk0vE0/JhjfONCQrfEhWQLmVNCEPjI+rhJNT/OqAVDr5TkJWFNxKF9hG6FvUH5dQ3crklLW0enx21b88A0rpX16eXzqlyQ7V3dD5G6ZImXM5/kImB5ysi1cowVGnCDmCLnlpy3NYdD1WlOlwWOA8Z+cXfSP6SAWjzMHlCuWeH8/ay3up9p6zZ759gKs3sWUXhjl5moUDu5mXzY7ExaYdwlM8WE5eC8JOKeTWLD8GP4tft3aH7bjTvpZKOoeBAW9peBzMs0qRpkXVWafIFdHHd4uK3G4hMXWA7Ci+VxBFsvkogAYzDZpbLRDbi1mG/myEcasF764O+WvGr7HZw2TD/xPRkNHGH42z6X38xLWLTDt0QQXRadA7RqB3Qe/iGNu8REH/AatUjpgbP/Fn74FNJpR+8ScYA7DE6mp1jyDoSKsYSZt0Bn2r+Pji+CbOv7oAdvlAvSJILWKroUrsHtMFgNC7jX1n9F7yyrspn0zbp+MyuUX1g/sf8LuJ11LhvPQGp08R843XJzCpohnV5VIGkD55eQEKLZaZX/n0sK+dytMNsmP0pRYxxdk1iatI9k+FV2cPF+fitBpZ75Bg3w7RelqG1kkOgZxCpS/XXoqNreb2FrIZYDbd7f1upw0vCkWsmHmL2ufvU8UbA3zTbHRbHeYfgg4etrrtZrfZoWf6WRfytGaTFQ0kTxU9jDQz6s3hfsNor5ptHl+9td9ut/YsBLo5DqYLD7X1w3dRaRaREJwlzsS+IR1L19uH3/SPSh67CZ5Ri7OavVnCwu8uBqB2fKTYIutnD7AuGjT7c6+5DeSCmsjNE4V8dmGVup09GcU4U1UavvP2o9nsdujC3qlBQMNsm3Q2gQEjDPP4dlIDKajIVtIwstLY7bY7/Hg6YrALsAXwlHrJ4ecwmU6yq0oXKHBj5OKU7oujhpHANsC/LRk4Ak5sB+fDOXGhZXMAkmh0O7v4dkrtwg9aKKzwgwo+vWfKfsxGgvJZ4EiMcImjezRf4V6aXgFajTeiUiygltZ2fqTVFau91+1sd0Hg4DJ97eQl3JQNVEW8rGb4HQpSIx4cVeeKzigeZPSt2rNUcpSCCtA0gc+EfwtXAMA39z+nJbDAN+4IfOPO7jNs46+kuEm+wHiuvhrk6qWHXHzD6Sh+CjN7vvkEigwGqmjs0FjocODJRuwjPR7bO8xCiifTOp7t0QQ5xiez7Z3Mxl63tYfvIHheGFlW9rKWcL16kSVzd91ytmsQfQ2LxRcJ54UBKbsyil7uVCi/rXi8yAF7wbSOSfKYMIgbaZT7XXhq79TJzdbuvSQVWcwC22y06zRdk4JND3QEv7XAKiaSZJyWrW6jhQpAnTUv4ZcWa5f6XOBWRpp9ktOZhiajS6lktY7bKuC47zQKOu5Oo+Cs7H/CXj8wp8ETcNkHkZDns3gIq/P+dKAYyylpZhLrplZjbGnep7djcjQZp9oL47GCXx2T1WKCipHqIHnG1xw9yziHidBKyIPD3iTkQKv12/w0HF8maZcMHghyZTLKagZ89OLy/CgKEH/y/LJ3eNKnM32ugC6lw/TgaPCMa1HyPKWeyodg2KN4NZEcZwU00mWRONA3dgpDGWeIjG665yhmFBhK1aKSe0HSiz2+vDljf2JRIB0auL+oGkzCgwroghYINSTOHF8THgxtrOCCS4ZcAuSFTj1BFpgMZ0/U25GU3KkZlvql1Oob0H20flVLBUyrNuknm6KHDPkamllKQwypAmdm/FMhr4r6FcOeiGrsgK/y4M3OIYdFXFvQ8HTva9phlok78Dti6IxhiCPMxYjvazQEtq0ZlYliyEA73ZWkjz4+7d+ODjlLTaBMwOeDlDyt1jUXCdGbHXHOIk/rTjyzrjsozqQVCL++Hhy6ZGd6f/IG0tyfpFTP4tMKFCf8BPIgUC12DLIWC1eHGrKsUd3G5Akt2se7lIQZJ546zIN82hWtpNmu74FO22pq2IgnzLwa</t>
        </is>
      </c>
    </row>
    <row r="8">
      <c r="A8" t="inlineStr">
        <is>
          <t>vVsZOcVGCZd8gJ5MbuPMzWn8+j1+E+EqtYy5ymqYbT8QzBpg/glbBp7MEoJaUZPUpVj25RuaEylUbBTtojzp4V2uGLYa/8a+u7avAiKj/q2of+w1r/FQykLFpcJkwoXhsERG+jFU1wGqiBzA/OWsLV7MU7ZCMg7zkfx2H0dGdeCCYJNwesT0W0xpniRIaMihh4ibbBjelmF3Nw4MOHA1t/t5kYhVGa6s1Rmq+c46RmOkhm+C4FyjrBFSmNCBkJs+cRWGHlPZJnZ4xBFxEDmS7zbm6jSDzEFMCshA+vlgWiqBWKzWxJobamLcPnipJgZajdHcbTp7MqppCIU8paAluyoN1hZm1CVptx3Z/HFaA2KlRtwSarCnf3yehhWVK1WuaxIzw9Gi5NxDEKuUQDjSGFBBXXI9OzJHoxIVAs6SD/FL1aO8NnQpGeiUt8DSzuAr68JXphyaNsSoujBcJwpO7ERtcO1dbBo8VdQGO6fO+KsjBgdvpZNdGjFyPS3YJaXGgxaS6hDkchpypkFDpH4TLah40GryLnz898xZXxyf9Q6vjn/si1zilViyDc64wNQ55m7hGeuDMcYcUuIMerepTUPmwGcKSVE7oI4xBGb0agpKM3KPzi70tTRBNSbCd7a64uw19VylAr57eABMJPtIGfJrXUZHCN2PeTS3X1OfQDxnnwrokFdE+tCmb6RkMCeuST0F1jiUU9NBnn7VVOUrVygSzf89isS/axDQZfyOsIDf86yEUtSYm5WQwKScfayTc61N5dz+OjknBiJ2KaO6KvqTQOyAjK/vE2NJcnsSSiKXwBCXvcsXHMvJXJAwY/KgrcIOAS4okkDO+Kcyy/XXcjb4DgbHLu7KH5RbWhxPFFCOB+WYYxkOTdcLubErghriph/VJ+GsplRxcUGxlCl9Ad+C+wa1TeTpecnqXiq96McZ7y4Xz2UmcDyW5MRI3C2wXwSmr7ePqaQhAc0BzmTENer3HDDE9lyUWMFtmjS3TjQ5yRNDRcjmPD1S/uY8nWLVx0dFKfPdDFYihX1VBzLZPtBfEEibfDsHXrdwzrJi2pRqB+7T4JApz2iWPkr8m9BfqCLEuy9x5i6HwkTPlMS4bY8WeoF9gdA6huxjBK0klYXer2O0xGb1Y+tGoEgfKw60BHDVUTKnrEVaDdKZHUoZoZ8mc90AR1eHQfY0GTp+n7sEGeEIv/ow+OvZYfCP9FqVA1HjUUdCBriBzf8OiIgl8tcR0iWHSrlURSn6BZXMKmbyRLbS2Di4xxU0yzQN6MUkeazZ1EOyeDgkWrsZ33NJ8Sssmxtj43g0chxTKJ3UxJeGW3Tg+wdsaq6xkZyeEMT+eC4rRH3rf4+o/zdApssddvQCGEZpgxa+PBgLt4isLBDPwbssUY4oz8QWI8gwXSlJkfa6BK0ta83dKdQeZ6Diaw9BT8x+HxxZ2vIF8N9/V5Rqf//d90Fv8uTY6ouM2RLBVrFQQeaMar+n9ds7jHglHy5IkfEN6jP6MWsy6IDtTbJHyj/hOjIB3WJfK0XByhLb/ZxbVbzW6EUF7FpWgDy9qLFf6zd97NrecJhkmTCurrROAOkC1nOWWfUDxjCi6MhwwYqHFs+ObyijCowcx8d+F88opgQSFvOtUTDPHJ8KGaSGkYDucZ3G67QfoCgP7e6YA5PoyzmgqFYWXMXXUrzNg2NNharHadV7GXl4Rems0BOriDrM6LXYthkWHwztwR1Ya7j8hyCaYDngIgcVN6h4yLrVyMXdM2tQAAGoaNGc3OCmzVVK8uJZafPbAWiv3FMgsGFKaNE4VjpcstjaPqOHDZuO0BOwFfTLcfowURftzWURGiJS6aXBKTK8/eRKwM4jqC9EArZ0hYKfKjgjLqRGJUCphPUp9jfzM+REydlmJBuyhqhBAFA97/fL4O04ozR4fAQFNV/KcmtM0ySFVw8M9SJizlOAMuGFjF8UMtTVxPj0iRN1MCpPoSTZ65RlJa4h0ifMktYQSHw2jmuwSjAclHJo3MClWwyPTW/MYBwclEhvb++xmyjHtfHVtgM7NQtO7/NpVw5Vd8vGL0i5mLHB6yg9TibuanJmYERb8hjff8y41NWUDknmoHuKxT2HPKfun5Mu8jVnJBFD8LLODZbiR07U5uaJGsnhseEVBKJQL5wx70B5B8j7Q2p9saTILerdMoX9hVOGk8IHc56oe8i6y+v9Hw688738GQFCCOQW5MA7/qiHm4NSti314NCnvIrX74MisjjprXka2VpRWLgJbrwFdEs/RsrJHsf/BPZZRXRZbrzAIMm8HsZfy6PAKFrfMCrLJEYmwzVi1xsSD/NSuhoHy63kp9KHlvncLJEwnzk2W2Vnou73YuxK7BoPCOVa4bbei3kXhOeTUMreTe2K3HI1Q3FM+qMcjEpIn40F6Ja7WHCuVyjHFRQjzHDLc6Wlx8h5ibd1CHQXvB2waxUN3sVUb7HNM7rOotIJo+XTuqoHRgWZUUMQLKiiimkjCrPF7a10S2a3JEWEnSYfvL+6lZrZKCtOdSPuoq9xNg7M276QDYNsq2C4HErBsklNUHlPy3P9RCojbh+NmYtlaE8quvd19iH3WZOpuppSmfmwWfoZV6TDT+kazGGRQaPdkJ/b0k14Wbfhfblv+3fPrsZfNW1tltSk6L0eLJOP7kmPLDsJneuFYYRLj717bf7clwlLkR/IFHK8Cni55SHdEsbjvl3FAnJ/IB2N3FqOAhpEjums06S1lLZSUAIdPi+VW8cPmHQB32wFr2bpR1onGCU8xDRu16ZzKFhq8XRqWC8aHo3dTnWdaVJA6N5pFl22zUKrWvThDMRtIxjdtLM1anrAAvkf6TWsz5W0ch7eoVqAxXMoUUmY9C7fHvV/dIJAXOZs059YiGpJ8MR4sty6sdWmiTdO9hCb2CN+x/qfHbTnQdWhK0/nWuhzjgNOkszuLgFhVqj4oyrq8CcwT+fw5ozSJPEwrw9uFu2AH5fHJXV0NnVTnfv4Oyw+J+EsuPKnNJMs0pah4i2Cx98TPIwFsSIVhVvh4GzzjlAZg6TZP6aqOMiSdbGZjGlgHQYVsgYTaTwbMgGE9bI4L0ad1scYKVTBj1kR4gTmdFM2G9NnnDIJsLvi02TIbkize2OsBeCC9fHt3ZxZlIHLmbjLx/HJ1MR7WeAIR2Bsf92aeSqTC0xV1jqV4M8LsPm+kDYwmg9r6nWdFXOYeFG4f0ECZoYegNxmEl+XHQXDdpH42xpU2OdZD1YlMiCS6vievPVeOKoiQcXqz9QjniX/rxVkLOObKFb1LFFo0eXzG/GANXKqCFPdKhbstWr9Rr6l+gxrCpW22CWmHjTJGjJ+odDJgorRKsabQvaAyIPGyM9TzsxK86kzLB+YxgM9a+saQelju0Fzdy8Y2tfoqMh3Wzo0LRnAzuul7w5NcNF5pVxjIoNSfqwLJfe60oqy1dyFRL7nmcYkzwT3zJnWk8ntdK3hoFLC7l8KwgT/Xf0sSXiOES1vfOj7RX1B1T5MVjOrNk20AVVVo1OSYKvPYPPfSU+3u0K7YSkg1vViKtEwuSckZcFRoHEzQTxJE3LGnB0NyJWNjBD+RIdhTQJyspZscy1maF7OuduEBBkJpsUMGTfRzFDGVPc3SY5ks+FSWeXd4CgK+u8uo+DNq4soOOzBn8dn8GfvHfw2eAP//Onir/DFGfzT6x9JMiEDV2KbMNHJnDWirKeDko2XEcTWNY2jKR0CvZ3GYd9++pczHQL8ii7NOapqMAAYJoiZQUqfazMvJ4VdU4J0tVCGi745nhR1epyAtDN9c2RAVECOJtSNOJb8aFUF6ACyf5KnK+/7mhLdbmnByHdYTDFTaJbc4Alz7qf+08CKZoQlysRbdicHQ2uZDUNkHkWCxQNbgrmcUwT/mE0UP0Tdu8ySYf3JVmnv/HKHgToIdlrPhv+Xx7Z6GGf34g9ifHrKo7tFPlvzWaRmKf9jgY3vjgfnQbsF7zSkMeTYTT1AU6uGLL0eBq8ERo7JgrUI5hPdUj72uYzroMSe5gfC4bvBKKr2Zcwctrr8XfSas795r3n7gw6CeNWryxMZyeHb18ywYSDi5UAbxTl1+T6/KBHYDeDxUOFOfjWYhGfKsLDW6VUFrO2d7aL9vw161bavV0lRX596bQmQvjiCgYkhCdXiIZ10gyk0TzBVkxyRVEfMfZyMLlAz1dsZeofhtskCrK/kgUWrzYxnIRtUxsTDTXkhvy1bA3tQPnBj9lMhzzbIpLPzq6AXXPbfwEHpX4LM2Qroo3dXb88vj/+W/2BAH7w7s99XPWTt0ExNBY4ZE87z8wx/p+8MR64cG5TKfkzPLXkXvqJbWPCXhbXLg1BeympI5sD/5W4Xs/+BDxj80d3vQPabiVY3f5xhJlS8mN+lM6pOYZzxcSatM2ZwLJYTgmRAESncUf+7/IjZiNDrwbgQNakaSisZ8hliSdIdQbbjm7lBHApyiukQMt0485tu2K5YD+II0DiBdNFwWvKAlZsCd/yEJVxYskazqIRvFw/xZPzPxKBqhUAioV0KLdderiAcktCZfykVgRepRtOvPTikv6zbBgv68vsiPSsr0oR2ntOEvmKakPIup0roq59YczDr4RrBUwBh3in2c95pFxB4sAC7S55GLkk0vikq2Ll+4p+j1DExyFVHwVW+43DwIxzZR8o3BRGJSy2l73dAggG5zzv1veD0VRRst6OdVivgrgCYIJBIKwFQGAi8JtKncjNd0yRXUbmna3tB44wiDjaSXBCOxPVguPRPlKUhysFk8XCNIxADPPi9g7Rsp1eJKf6PYtac5QVoBTWY3BYvXDV/Y1EGEQaxXaJHLk+GaTMicT4tKiAlaikUIVrp/OpI8nIlSzeSEu8Eq8nUlQ0rfZvOniKeNvByuHTIjUvxmMn6U+RGJB/1cQC6MBFYtNcU0C6Ln4D1gkYJKwt0qnKDyBrHH+a7PzqLSbnFHN2lRdXQLmbEPSTcBG08N0k0+BYhG3mZJSdgV1zNj7cA7RgQA/Jap7NIkpQjwnufPzHqH/9+PNLffkieosAFDLSrpcJE1u0sNfCA7L7LqtwQck7dWUzTR6blulBCxK5ukHif5lz7jCrrGOvI4mC3JngEtNuV93fJhPARcfA9Gfw57xmPvk9jjjDLAF9vYiatjkC5C1wSqcJzlqh4jJRKDOHWLNe8arRq27vwQW1vp/m3+jD7iXBQGIZByBLvrmLsjsU2a5+mLwfHnNB24crnGfbrZq/J14aOMRNcKYpzx9dAT3eivUYrajS2gfnRRhPt7XCE6oDh+oWYr+/T66AV7e7u6rW4B8kQi+rrwY8MA6yd0ckh+qL5x6YTfQmNkGAkLi0Xv39yOwRw7bMSnIBVEkwbtzwAoTpTAOLwxQrgwdbuc0XRN7H27+L7m4B0jLorVVCx8ID08zy4i79aAUY7LGIqECSZMUUsgYsC31lG298rP3sxeHt8cdo/u/qDcLMX8hQ3aVFa7SXEbZ+CiuWxmCIvToW+qyyAyUzEip0uGKp7uewGtSHHqLa3IwTWtNMULh8Fu/ri1axrv7YN3KtZ23ZZF4HPUi6309VR6kt0PObpyrBpXJKjreYJR2aklsUWVwY3C5R+tAzrfAJ7G6pmOeAYVs0eEOTBqDfKBCj3DjkALYlsVS1ATGDsD4DyCZMoHuIp/ipeGPHLmE8kIhmZFMTIwORjIigtgwf2JzgXpLPBLtzmIbCPFjOTXQ7nUOWx09pa2aMStpt6HAUofYNTGrPqvycY5sW/F/P05iYL/hC8TbEnAeapFvxPICLtAniZy5Ht41EZT4b3i5GUO9n5Vm3ebQV1DgfYUFpy0sgjxUxq7na3GzXE6+tUy+JCrIdiqO6efhOUJHL0m+tfy5F/KWJdtVPpL0Jwoh+u+qcXJ72rPszp/Kj/4bR3gXrs4bvB1fnp4MPF5fnr45N+KVSjrvYRHpejxvYeT00xlEztF9kxnKlHOFLHLiZ8tTxbmh8SCZyau8fkCTArIeok4V6P5xjhkARdm+vL2g4rY5z3TmTOuC0c0HISRCU1XghEJGhmsqNjauLJTcli6dumMZ6Kj11JWFlRkQgohDd54pwExkeRc4fAOYrpPNPSrkKdeY8kHyN4bYNKgQBfF6fo1fUHrVB0XUTu2mJYxJCVLVQVVd3VmKGAKhDnVHQwIMIWjZkADnunB15izyj9Z8LX6wQwpTKZP5Jri51abK0KdYIKZF5LbUzGUp6Ojjh01F5eHvcvP/QOD8/fnV1FwfveZf/t+bsB0ubJMUgWGsv55VH/Ulo64cNd2mZeq47gPIFfnr+7Oj578+Hy3YlD7lGe2PVtHy7OT44P/0ovlU9Oe5c/vLtgHk656bwUD0a+2QkijadzzKKL7xFI9taknRtGyny0BnwUrhnHSnxxnqeyMeeeK0U9dQ4SwQhQuSCYn6g/O5CojPIjyYCxz3Yj7vhwzxAhTKyUapRID0zq9kJcER59D4pWPPv6UD6fp3Z/bw2yFz4RAIvC3Vy+9TkacQkh8qmAkJVpiyWhFnb/wDEFXwjNwlXbDVPsKRRKZRJ1DqbtdVBsUM4kgcqNQORwvw3OsVvQRlTZtJ1QLQVVAWXmJBJc6m08XaGd730GoqSm7LYlZbctKbttSfFtS8puZ1lq7+5zRO9XS+i50mYqwg8iPaguX3Ckc4kuFFSkfIRRDBH0ZL1GhD0ZFjPyWyqbErbAdVimnIK+tAqRSvK5adHLI1bo5qoRGYiHyb0z4LdO54DxGzlb0ZE7D5LUIEKFtVNYE4tpyeCNweFlH0+8kSJug7v3bxvNtWlM+5t6PXcKqjXoXKJ9dQvKFzteNMkp5fIejFsYxaUmEpFEHbaveHMMVjlzsjf9s/4lzOuInkUI1G7XB8a2AXYz/sRiEFk4vDkTzTodAl9e7+N0CgRlHkarLJ9OKXjiVW7KYhMp2+KOrgTEh/MFticzZRG/lZ9x9bMjb7zGtA5cKUMrQdQ75GIQUsC4dRsqWJjYSLYHMWzONMLaNXFT0YglxcTYdfM07450VkhUEZYFvkqTV3e+jLqSk1LcLpLXF4S6UBQbmw+ItrWYshWoBrP1odd123QOdJ4iUCeP6OdR/6SPP6/O37w56X9g2CGc1+CwB2M9Oh70Xp04H/TP8G8ZkNI0/vjwugfzOCpQuF2jy/6f+of0Se/qqnf49oM91DCpo77/WUSqOUyIpxnPjJuR8hheUxtuq/C6fa5IbHjmCsWeyb//2/E1vhY1d+owEkI1Nf5advMXyZ0sAy11KNWdgoqjrVMoZYVWsf/s8/vW+kC5kf/N2Q5iOrMQg1+I61QPfh1+gm8SboK/5URG5IAu+NG6MUd/lsgaaQa9UkHYLoI2F3vT7nRAQeiU5uMIyHaXPZbqwBC0QpuQ+QFbooI4F/cnegnOe4u5ov4G4xFZm4wKUQt29pSX7+0oioOH2w3qnYIx7KGpv1kOjgzWqAExd5WBh9Tr9a0UQ9Bb/BoWoO48+ACPHExwlvoD7rTy++ZOu0ntYra7rUZAGPmvk1H/E36zvSPfNLbxm2pB0YhzqOTyemYWWARv3rLb6jgP3m19buLykGfzEGdUJkshfK1jcSAzZgxdLnAtVOk8TLkTF7UFHs4W19e0KSnFQaeLGQy4qmEXrU8xu025qgbJOKdrYEocY6PPeGSYWhYawgm74X/+539SHhOGdkBBH2m6urnmBVyBF/DKEJfiy6qc/MZaELcP4zp+xCkwbmoCH+ni3gK9+YTmiN0o2HGGGCGV8gwZYiAm+YUoKcF2i/qybbdrwONm2Op25hwE3U2cAQ04Ylmm7LYB1D9hRxuIAsSsN4PhN6ElgQ2YGP3YK+2KCcKDIYxpbIoU/uCUvVEcluz2nQ7FzwnMf22J8Jd1h2iWDwjvtU4RLy1Ibtj6v+PR/zgQ7e7xhS3uKiXtCDoXbBcoVdfUvACWtSJdSKl4M52OyRNFjlcCyqSMhedKoN9WDfBNOsszqXpwfhPst/K7j1GIlsdP1NymOg1kC8tP78qTuldj9m/iFcT5zWl1D+iPaylsnXBubiqct1cLZ46JTtI6VzIakATRu5BbsGnNNnyNYS0etXWGSQbC9debJTGoxr5leSPZIJrASHCJmLworSq5QWU6Sj5bWpMRLk17TCYSToe2lZm+0zHEjc2wpwVlfW7k5rnhYooxTboqBG4bIqyJjqIoXiW+rC2E+OUZLAKiLvAgjI5Q2h1+SAiyNFCOo8jiqk1O5tv1E+M9LFl2WyqkYR5xykqRCS51DVhdNmbEXYagjaXQKJ97ZNdTZlV7GYQDENv4wgZOpxESbkvQjHa3myysSSkwwHL8CJe6cBU1jogD3e3s2uxX1Lv81A9exy28All+ZvRcXC52cWgwSReftA3Cz1ZCliw7LLhl/ZAGZ1vC0Fbj7BrCJGi/8YN2syVQPRjZnWO0VBtqG62sImv94h0q/PjfoOpk5Y4SOKljtmeR7Utm2W087SL4wM0shucuYNFnibZeOXBgxB7HFBu+j+mlmSQ+1GDE9fBrW+2/VDZ/76VPED01DshUmRKqFrLarmaMCUyVoe977r5FlIYnyZDcszj+LYhjsFoQxVqydTDJksUqyosKGCjt/cg50GZfhxpqVs6Je9zmDmsTK2psVYrIlxxxWOZXYFo3Yzw5CMFxrnp+5jIhVhM9FhSJCiBQTjCXitLczr6yOSv/2L7Jvbgtz+DXS6E+paeyMKCG9eiKm3t95EERyJLEdI2fCN6TdK2/l/j5PL4lD4kysHFmlBaXwXdXc7Z1akYRRrnYZX5nB9SMtg+jXOwZhv06tbo1oa8HFPPW8DHlgroZBiiVGD6BMTc4peA+ueE0Kq75w/YK0luQKohtW2iCn6OESoovM2R+SeJNWTPSLnXDseBxPIwaQn1dkwymCfA+iEHOlWP4aAGIkXIPMt8KAIWVP/cMSBdCtHIv8DpIp9J8mJLlNK2eBsQrJCzFAy7NZ9FlAur6++9sb/nad+OXn77bGr/8++/+P2cYyN4wRouJALP7Mad5cwOQYlLLe81CNskhhGz4yKlfJ+dv3vSPSNHAKiXa9Zp7OZ8dF6SC6B8fIoFj1kCpiY/E7EFpzNJJPncEqH+Xz6a7NANyEuriBGEN1LgT4JhYVNestYKHjAuEUasUXqND+wFxfUjuUF6RfHosn5F9ndmXUOdjmQRWJRA05x0aEHiGiRx0JsNkTD1QJzpF7pAq2KM1Clya5MR5ek/oQpTPnmiRBIcVVLvTFA3uqy6EQkuhwTdMQRdtqKg2fIWG5hMH2q2mQ9xMh1h6K3KxXWFrmbvbhQ0s639U7IDpUGW2PDCw/Yw5/DWLibTIwRcP2iJ54roIUV3QcBsndaMSyezbv70mQkhx4flc9Qkr2+1VLGAWTnkRCoh6yPYlFnk4vBX1A2p7qSYYLApMeUrFltw5sjZaTM2Zv+GtE1PB+CAzckIyS1kjn7c3lc876+Szo2WR4/M6HVGbS20LzCIvb7oR/KFMx1akcN4wJQi66dFjKuGIJ9I00QtEAvP15fIGYnRDUVkRxPn7xKRb0OyqHsIWyisd0GdwoEitVDL0pIcUgrGsEMIby2DNyxRZbNpxqmAYwbeljgRkjezI1sIa7JIlGKygMuO6GilRsRl7IJjGUwY6YxYRuZl0GCuuktP8gWC2QSuuUZkLjkdQYnDXM7Mo+YarhFKDqr76Jvj6fIYBGtu4H3yVdB5L8CRi5AW2DhS0v6aLEKE3GS7rJ87mS4N/pF7XSoQIHvQv+Z0cUMoheNXrmAmAZWSuxlGBFR3PONFxN8AMoWo3KBdwfMfWd+09x6VP83qJwaPQuuNtM8KRSYah8DxHnOBfOlcyhIcEEXYoBTd9SKiq4D5jZZgmKXkoWK6GtYI26MHchLLmdGcJFoRPLswJI5f1i95g8P788ujDZX/Q59xT+vzH/uXx679+6J8CG420co32lyM+18bJanLzQA/gg36ZYLbSjMyPkdfpREp1v35q5a+ldRB7ZCBgkxAkG/fu8sSeBThd9GNlMIGB/OS011TzdgSL1DtmfMr/13o7/g2UEaNuEGG7205M2cQoV/KK/wNHAvnE6L9Ckf14JiauBlBptmraZl48ESn3HhnPtEWC8FqG/tEMQgIbFbLBilJhKih1H3DElQuPzWTSlY/sY6ui6Mmn7LDMxDUFTZCZ40gegVMgGi/EzdZpL0XEz92i9rJbCGIUeoYz2IeYe2zjhGAJ/HB8cQEWkhO/QEghlfasMQp/is3lH0yLuZrD08aZyTdMJzZzzlWHzn+g+NFq70Kx3XmltSeZSHjnBeYkqt3KA5L4w/kPBsVDGij1TNYTFcHC7sd4Ge0ZZU9ynkRhXkxfq1strcgU8EfnYH5K9zoxx5j506UyQKo/sUKD+ye75XuuEFHYEKJLWHKxdvnZcpfrVgdB8TDGF1RCeQAQ/A3nwpFql6JcuhnPEk/tHI2zKRHGrFB2rRPEiMcZKha8X8ttaqcWorW7r8uv28upLYXNqMziR+nCOHGpmNeseoAbiihY4kTd397e3duPgmZjaw/RLE0KJ5M10yAfU8yvkB1BukSoBFGnYlljLkEsel90oWLuPcLpNJRJKvpotgCFCfVJZl6oA/JpwsJnbiMeazt6Bs9s7le/eoKhGXxN9m69yC/con0nHWJwwxVd43XI7ytQQITb0YxQ4CSBpl4hPazwLLSfUw6/eZnxVV6WkFtB0vrCgZypimlaOo9nt8kcUX408ZgljZ58W/rrnW0vB4pkUlzkD5EvgxxA0xWSiPtuJSoLlGusA+DaLgCb7uwVxfFewdnfu0+wiF5asHThdNDfDJWVSE3WBLhq8FM6Hpk8CIFhDbQdgykiQn9JTM2ROe+fyr14aU0cZJ5S0qD6WRjwNdiSCIwGfR3Jv1os+1MIKvsyCesikDfY8JLgLQ+ueqcXgw9gY/Y+4C+X5ycnr3qHP3z48fz46IMjtQ5A0fpJfOPwxIyLCijNQOCX4QzLW0xX6GVQK5O0/lkymyxqmpID0yX2MKkK9FRuODNM0FdTUY+48nyMdvGOUakxrTwR/rnEam+0zxFsY+huuHCyUWjgMAn9J+XOFwbxo+jL111g0RnWQrKG8zthnfemDN8OE12/UW6gxp8/piLoV0ge6tJ3ksYwT4fccqiBKMqg1N+6WF1S94hJQddguVowGt5lU0BfCZFI0FgnjFVeG9FQ8LXmKe1OZzsZ3XRq6Jo4LVnIuloNWo0vb0I2xYkJczcBJOSoAUo9c8YQsHQmnRXD09LNGmcKpyFtWGgaX79MgEigdsdHc70I5+u35HoU2PuqkVqy2MqRxFaOFlDAIz2skNSdZ0n9TSQ1AjcQI0OGdENmaDbG5OXLDnOCfWPTCfOwieXLWAjsCLCPldwNqQFO3XsJylNIj3IdzJvEP8bijSr5PGBMbU6yRgYXQDAbxSYYjWat3/b7Fl9yO3TiId0glD/Ja16TgmtgBNK7dUoKPhVFG9+VAShG5d3gBbjN+jQDgfDWMFKZcAYUvYm9BelsfDueSK2mbYdlivAJqYfD3jl57HWvk9HPsVGf0/sZRKTmWWnKpSbXKSjAbrvR2WnC/3zffvlycE9Fk8n/NBU/CSUa4P3cC8VgsZhlzARzSBMBBDKN8kQzNKh+jLF0dG5XLQreMD59ogtGO1WU4TLS30v+iOQQvplR1sGgd3b06vwv2t6N34ZY54nEwszMHAAOfmIyK0849JdC4JA4b09ATXMzl+3jNrDUZMRJOCTSmCU3ZOlTnjtIovsEO5IASU0kmxwdKz7d0Mawy1Rf4GI3wGKXdD3OjZ1Jm+h5r7nfxHADtkIeZsERqJZ/S5J7wig5Dtr77R2G7fljM9hp7tR2d1u17Q5wW7ahty9Oav3e4Mppq0aqLAchaNSENYzUIpUm2HHIyd8xmORy+UcOLqABLTkftmpnKVGxz1eOKQoNahFgKpER4fMuHnH8A73710+EcID+ED6AY2Y92JJR1AXeH+SE8MiernM3wJanUmJtuuc4yUldJ2nrbxcnAuj4+vL8tFtGaNFG618Lrs67wSHWN4PYeG+WeguP+kaPqAc928poRhaS4WbclUcJRFet0mw0gtN0MksTejMGdufB2Xs4nTMys0CRgJm19zuN7WqgMQxn24bpbJYg4iphgaTysp/0tPsL6OSGTjGzc8TiabqYDe8w3ZkWuNjVtep2zoaX6RlUph1M7xeZgmBTR1o8HzUzRNxjPp28EDSIDeIuwrN+cZs3EvjZFojHVbqaXMVsbosXDFQ15JdTSe3jw3OVrqCFA1gjtJVGRJfUcBgWlUHfsJMPWDOIoYtRMKBiqujSAZgs4i2zfRTSySjMGLwINqKVFfohA85GRq7XWs8K4zcuEknl0AosLPCPG3jGXeDQrKt8MBPPqSBR4Kkga3UtTl5Rzo4t1dExzRIWAzeKLYEYiUGzjNbfTSi2jb4jxOaa3qFrJye6IuCK5lREhsV64kw5BHE0HTUI3FrwhNAX8nXIENLklQJ1F0e/VAGqWMgJq2ZEIr4qnN/Qrs12ajP5MqC+JDbXsUyHuXr7qnbRO/yh96YftIL7axwYhp6sTkV8Wc4pMwpJWuDdDZfzC4ZavUU4K/TFoJWHYfAgPCFa/GPwun/U/wvz0Ix13BF3BnjClbpVHc4w+Xp44Gk+hHRsrqcMhBrsqqBhYQjip3HyGEqj6bwEZk2qVFOkJuqUnDSiJqmm7bfkD1eKcmdcLl7WGSAFMORGEYW/UUThL+3DOuX5YiiEFQdnQqriEmhKFiC8IukUQWizN95bO6Tp6AjvMd/gVTK5je8Xs0VIgTqfvMl3YXAIncxxKRNj7dszQcyyx8aqYJVHRl2BGVTJehRbpBZQZzqZh8lFshtBGUEs20TQRZK1jS6XsS5EjTVHLb7k9QjdQuCxtz5GyUlNYY35CFe5ciQwyUH9n9N7UKgO0+kTflNdb27IzEttBd1M67Amey4zjYIkKsezqtDifKZ6WC1R8/W1Q1bz8ITRWlydF7XHjfRG4KgDbqhjlvQzKS4KfugFnZ0GGOLCZBXqHzij9lAyukw+dU16ML0sa7FUYwBAz+qD0Y6wTSBMSJgOuyXN7vvaOfFAqlooWXxkwMuXCNsWcaaRSV92T7EYykSgpHcm5AGwBAAkfTwZjWM+g4+orGpXEOdcfC0PonvwPlMV7ZrNW6V74mr//6+PWO+UlkOGRurBuRYLmILAi6PXVef4WPcs+lyEzT9QGqFtJ6Vo96MVquZufTpxVM3dZ1Xz2wOXeOSX8+OwRImIJ4t7Us7YL5GDDlcKNW35FzJKdlOss9s07KJnJvy5ToGQOZuVnnA0dGPIG4LcxOyQEXq8VYp7yjATlKblqhuOrjRPRV8br62yLsAPc1svTxlqN2r9Zg4CxW2T1MVc2xkcEsQ/XDwY8I6YFQSej2TrjslfHaOKkANpNQ3enMjdMaOkMUJrFDwl82CweHiIZ09SbTWeB5f93hGDfA4W1w/s0qPufOvqoLQbooVKc7si4r2vya8ODwCiPB4JBK02fqIQ5p97SAeXnfeMQu1KJGnDRxtRNQ5U63JDIG98dIvEZPBaPYS3KWnW+FXb9Oax/SN4jLm1I4zYyALGczCVMGN3sb0Tgff5ayp/6dJSBhY+Gd5NPa9MFpkq/eqb/fui0bjedZ4GZtCsUxvBvmA4T77m5wZ3Y7BtJqTrnRAqtaFp0iAIDFNMHCISVeLz8xV640EprbH9Gc/zi3XAlXLi0RRq07WZsSx+k7LI5kSp05gBFit0MSzcXgudNQg/whwNNvAUCG7B/UsNtjQsltBjRKHKubCDyHb8jC3JOjRaU/RrXsai3npEczQJ3UJlHudxCSwMKsYMNupKlcq0jVNdV4DJgncCd+3J2cstQxAPsiTFtbDmGbUeYUNIpqOm2RLXn/Wk8x7iZYoxbbDPrjGYibRt8G/reW390MDpSDMZWQpOp6DaEmk7GytlxcJdM2D4kzmVSmbi+AWuJfE005UnuLlnO6ZC8XK26NHwrbGnbBmPCquyy7zjW7rf2OLeLAi8YnxvW2HQE/Htt2AylYJF8yDNAdnkUJYeQzk/9qqxhEJ4X8Lc1dkClgBzH2N9jknQuaO0cClARQMuE9yPK2cDh2iWKdg07XeF9JQBrDYeM4E56lMHPSL4LqlosIgWo0j3RMDA6Y8zl7+R3OAnHcMcQoe7DXjU8FkFH8gqPYN9Y5QGhqZDzWRIGODAdiwHgeblqI1ARToK74+2TNVUJmfscEHRdkvYTyD/P0aGCDh/NDzMY5JXmlURXjU6XbJlMivd2YqYTlVpPcAEFUrqApPUjA4SvIHIP2OSe8Jm4j8iU+oKVwoPgpTiyBKZgntY9YyWsCW6xDhl3PaIWijhglrj/HEeumNZYrYNxhlPPpaeGKxTYycGujjkVoZV5+kguA2edexTwUWkyHb4khsuUr7JHUnN6HE6BH/lUlABpi8LEjBn99DV8GQTipweiQ3F6kHgnSdRCugF2f9p/JcsjCPVu/agABe8ha1pRP5ZsR+XnbW6Eor09iB9UOdCAhCPC9NXdwOCpCRtEiUcN7UwadhPRN71yED/xDqJnDh9iTJZy4RMLg4iWyGrM3KcvbzUnNWlah33eEJdLiJBSmqZEa0lZgbr4Nh6t5cN9Ib5bJEg+o6ve2jTDBKs0iMASMfoy86gFJaOA2XjmSdYKTB9Dfzop2SV0bznG817YjQ7H2z/77GiUbn/rVjQzLhqPJRidg+qrrXH+B7J1hPI2kpW4toYSkHrdOQ3Tgkqh47YvMCas3n2qdvsNDuITwKWBZUxRozHXWt2utt7NMh1puD+hqZgq+WZgp6CLiBEqpuzSwzIdjG5GU/A1E+M4cEKgdHRQWN7ZE2CaRxRMCJTGA0PRRY2GmfkJB1zAgAlcwj2wNAYbWsNvqjE2qM2P8bWEzOMUhsp+3FOKgJ8x07fnL1RXW3eIMApHV7MFELjFCuNqptbPV/COOA8YdLXDzbRuEv94/nG8sO7dDxMDDKds8e8ubXAU57/mi4McFaRHsw0UDigFwGV58IGh5x0Q8A0wZGQA78NO5IAj8op0B51WqLESjO+LQOGTg34inYk76Yx/En7Mqb6nAQSaUWq/+qAIhk4ZUNjM54YRD8m5D4JiU8co8WaRA7JUAcnfj+KRQEsxQutYkzDZ62MZzLOOA9HHq+big4rRuagiOamGji30VEsMXXoUOG849XBwjj4FX1e9L1tBCrbalRnyq5OaU1YcrMU5wJT22uoxGTPiU303l9z9vIaP/u7LBYN7ldX6jZbVTabSJg46oYl/WokUA4DJMRwaDt0k26VjPBzMDSUIresirKl2p9AvdAeictelDXMwOYKzvmQdK4ScsXsgAzN/0MqwDTEizFi2B41hj6C6XqNGfO0MTCFwjGz6HjKU411W66t7D/rIs+6iOoi7QIyd6OI+tHYqfWbfpLwEbYk4eZtMg/hpGibnvTOTDcv6pnEGIvXyR1C6IhrkZuUjcbUZ4XAHHD65BFlIGHh1k8MHApmVTq5xRTNxKA3jT2lQzup+KpJyQUYL+XRZV32FpfDOWjDJzMXEPsBXhCA2P/u+mU2/G7r+mUoPJXaECGKNvyH/DWTwEl4KTX4lWY1JJopKkpsklI/+JfBkWnfVhgP+Y7le5A2D/GEPWw1BwhizC0qHk3clJJwrnXFR7kRlC5KqtkHkt3OgJ6cB83WkRvI4WT3bCs33C3pZ1jD5asBxeI1CkggR4BRN4WJYpcNhvQQCNHRUqftYemGoQuH2/qItpvY0mVCaVXniY5CNxbOXjOvhxUpnBaShaeEVwo0HnmJyqae+UFVBVCdbsawb5zLTlEVIv1iGz1MxTCt9ljS2NeNqIYIr8oQFLHdaMuyGV0A6+XMkVEbV7IqTC81+6BRWpYV7Q4W51IMJWXq1Kilj5NklO8OaGMw8XwOZ5b5AOHbBdbhKqygQG+q/0qSDMG+vn3VaNgeYboiBQ6RoXMwnRkFXJb/3TFDHFiINgYvV0yhLvXyeORMNe2SCSd6hLW3Tk1H4WBK+eYNkAh5Kpi8HHnY3O92YNyo65B2GJLDjf7+D9ABacNs3O7/tfctTI1cWZp/JacnpiXtpECpF0LYFUMBtpkqKBoou3e3JyoSlICmhKRWSqZwR//3Pd953Hsz9eDhsrd3ZyZi3BRI+bj33PM+3werTy7F3Vb0NrtOsX7nGd9CMv/1dHYvCfeCGCNVyVMTZNI+g0zb62aOqyyF6EInbrrh6pqMl7AuXEzF6Dihxngq7cMsjGOCx0E3PgPxch4XiZ8nx7MP6RQz5frtV0RnmQbqP3QYRc6EMqOcqiqrrP5r9ZryVpPPxGIKooeN2u+NF7RExayIKuf4NrdLR8qD4JqqMIJIS/AJSa9/6L11h94BnbMY2ASnaZRXIsMIu91/N4N81WaQ1dpftJfu2NP6v//rjXYgtpJPl9+TO2RPV8XgqEXToSqLI/E3ExmNr4VVjrpagGkqgG/APSsMvDnXmWf2yAtznQGl6ki15FSTVXrSA16Cv+8sw993OuQB7xQ8YPWWxOFiY8LNxIzu7RWyvX5UpXV/lz3+wEvRbVOA+iVyGF95zaaBNZcQ4H8490gzS9zzNZnxODysxSvc3aKcKPawIzdls1kwLGW0GJLa6WScC0rhKqH6m1z/7ytV5XMUZNVyKuNsDgZQ9NCv7Dl18FahKxdVV3vqZsPL9ru2zGBDTvWDTWoJ7vown46Qcb2dCPJtmPmp8uPTvb2FdyCilnRy67stiVp2UbbdUjPwSW3PBf0sNChm59bxyGWI2Up8O/FTHCZLIGkpyVqAJQepY2gl6fLO71KmwJJEYU4yh+mAH/brzU63Fgv9MRKzt1zJCl/O3ubto3tBfgNmspCz7R0IOVyV3JB1aH9+yozQ0YNfAbQCr+7Sd5jEGmY/oypKPhKDS8W+SRnKLcIADfkkTJTOBLxYtiHm2WYD7ZInuc/E7ZOWJeRSBOBPEmNin0ia86HiCCiypE7AkUEYC8iVlwZoWwC8LmZTDB1KNPN5KOGGZNr4bNFpZTUmXO1Zamk3v5W/HxXOOgfpK1gFnEeUQbENfQen6sQmFEgTnP15KEShaOEU4YRckMzgU3of/IjbawQqv/A+ucgcb78I+PAJTpT/xr37v4V792sFbjx5cDHbkqx9TfkSZeDDPoYa98L8lGPRfO74S7HMdzC5v89m10Pag+H4ZxR+dAJGqYgZfpaU6QHLztxhAGmj0vshELoScAwsxuRM1VDJmY4WqKYDKI0peaS7g34cZTIuJjzF+ht8b0WBz09kuNkcth3RPbqL6xhz4U2TUX26ncwV6HBL2MXsGG2OC58nj2UyY2ZGMa8f35EEyoByzAH5ENMO/Lxws2q+iscAsX7djmXdsFSF4f3yktHTV85kWXPHm2DjnJUnWXlsxAUyxMWY60Jq4Pu39e/+XD8+q19+fHtUb75dQr+j1V6MUpm80B0SPhaN2LjflDfU72dNYCewGm7j8A/8LXa7X29G1Zbbf3wBgI0l3+Etxjs8xP0qyeFmNfl9M/i9KFuVTgGukYG+3ImGG56SkyyVJzW9XK5zUcQ0nV1nI9eC4YQUWwEf6erRVVykVqZ3mtzc0N1nuULXSfDLuLbqMNnzKVwGOtH67pcMUvvTW+3gpbsf7p/RWZ/d04/fXZ5TzISiCjyC0w/R0dFx1GpstXaqKYYSv2hT6sm792umYCgmB9h1BnmILpEwPfdwyE3eOT47zcYWBVQfLw7j6Ja7KLvR+7dCUpHNaSvevyUbN5mTYLTtk095DSrjX23gpfXcgZfW9rU7gXVbZnIOHNoye07KfLLp3IlMSnNAc30hq90stN20m/X/xtL/Pc34ep2LLTYlOfYttEuKzGkXr1xqFfOzV+jqtSIj+gjdxZbuD3STH9qWVhYmtsH5zOec3WxGX1afw3j9IWR1EZdVw5OphtYzEXmaxRmQ04C2px/lpDmlrBwys00XtFQK3kVrIDrK0ddae1B9AXQOjQArF9wvoi0Irl17MJtMDSddUMess0CKMis8A8XcCec7wmeOqsFYvMemLeLx1JefHp1CvNnoudWHlcBVA2/ygkpvFRcbNe/zPj4gVxZ/gWVh+V4YMEhHmRtGYTqV0DnhZn/6lDQmJSjXp4M0uvjrIp3Rbd9PKBAdR0d0xDr7b6Pv39bEwtn+fLw4u+DSG++eQ7OnC4onBE4b+cn2DN+oFcYbyg+97KAYsIA9bGGq3kbbq/qsXFCZQHdNZG7F4eXU9lw2mTuZyp7LvnUkFZpOhBVRe2OsZd0tgBzCfE/aQi2LDRhyIKO75lCExkOgy4m7y5UFcTph4GrcyznL6tqrnQVdPa5vfDIKKZvSJb9HkG7tueQ4Afdmw/kx6euzkMCqyS/gamCf8BvFkWJPGi0YDDXMO4qhDvoQxjkMvV74jICSKLrJv4ZkD3LkTtN7pDgm6NnWYXTNmQQDamjSBpsoySsa6RZz4JiQUylA1PirPaf4lOXYghGUnPPGX5WCn/aT+z6jwQKeORKt90VmAF1BLY/yQr53O8ajqlgBhlW5Q9F6JFJ9ZhscVUOgBvroAT+OBTyGhcrFb+5Czj2Cw8SaXwbDe/CUkV6v/Y5t6OsRai5IqV/PDcecHWzt3mYBYd9BcsW8en1Tthf773kNLvZPzsDZDsGpv2EwCXI9y3/l39ffsKrYKqq+SkH3VRSbXb/IhXBJkCym4q24A+tUfc7CrkwhJA/jPICJdUdwg4PWKjporbp4bL+pg/YyDyd0p17TbbTR2refae1b3bXWPnoTHVPMC3DojMIkZ/V/uJC6LSzDYooQCVFTMBBeGWVzISvVaSwd1ORg8B7YKWgX0hYVr3Y8mJj2kXABXlGIX274NwPeiJmCejUr9OE0Oun8GLXe76p5FRI8WYNY9MnBhHvsLuv05Rn3YB567HaHgzv3f9a1WjaW9AddP1ncqKLfqgh0glp4e5knbOJPfunkohy/2qbRDgUQ83Gw5K71SRKTaP0Md0hSy/Iz6dQJajvcK43FGPCbxcFUAx9ebcXy92Bq36HULQyjqjz/Rk87kaaUUHTkLv5KknUjDQMnSmixTBbrTio1632VRThHpJpvYc2q2dbtVtRNGu2tbnOr2SCFdUj6YjsnPa8QfR/e7UUlwd2q2Oz4YKiAaViGB2aA8outkkpX36U7Qh7x426jWOTWawd0usZckeoBEkFgf/iaFebQt84zCw6Zma0I7qu0BunkHgwmM2nkfru2ourFlOyJTcBBKTR2Ek+EQ47rw3AAYmHoUdHHD4ocXvt9Om432a9srAsv+g7vq6+AFUnajeRLr73DHKQBThDcitHPrsPL3J1hbrXenO5hQohlg0kpMCJvMCi/A6T9P5D9WMJQb+wu24/d+lFStB/KdgZNIEF6RVllFB5COFsqAq6Zjgw1ydelKKpCKc7V8yhSNAore7VmcsnsdH2KiHs7u52kQ1FkADUS8NxzlmLjtIjwmHobErxAQIIaYIDJ+xT4zQJSLusRYyorMHZZ3+RkHMx9BDdRd10mJceDJXxZDfmY0WI6nKfIVfrAqn58+uPx5dG/Hf2ZXautgw8ntU2EbZvfw3GlLncw4norp0VsI2+HpvV5u2T2jgd6TNuJf0AqCWlSqbHWI7e5SWO7mWxji+k8yOZGZyeckCkT/dRDD/Iu46PB4QafGlF/yw2F80nKSKacDTpg3Ay2LPgOD7Dge7j4vuMyxa83r5iblDZ6ourTwlpDl7017HJTW+kFuY9T+u5EJCa0ppzigyWT5d2qsBk5vvigCRU2h/dDjMMzXGRuU8zuWAGch/HhDulQXA5RjXKTJ3zeol+Qy6+ry834GpoV/3h5UE/zuqgsUvd0tO7NqiTJLu2zjITSk96B8IZW8EavwcVncSrmNl5sMqPdNjaNLRQrjV6bJ/OlUef3yDe7IvUiX1GhLkyZCjQ7Pld30vgmajd2o79px0Xl6Pz8wzn5DWZ8KkV5wpTvK6UGJHzKXsgVwR/33x8f7l8efzj9xDf9ezATonrVHoIBGISrd4OF6xRDps7vkdP+BzJ5S5Dl7WUWr/bOEgfpwWJODmA0w4P3C0dJ/FdaDCEiVeAb7S537azMi+49OY59ICFhSnTqfBrchv+MMGAF7Lm/Oye4z/FxRp5UruT1Y5P8Gnn0x+iHCfyjRzI9wVCU/LWmMRFb9jEQIDE7wH1dF5PF7DqLTvZPP+4Lb6ClGQ9/eO9Co/17OsrX6fbBHf33dsJcIfTEqnlc7Ceh4dAFgZXy96CRGp1+o1FRcxAOe5pa499Z1OqXuFCVVR48lwFTbxLjk9MsVWSDE/Kttz+MHu+nCxBznU54mfmhNTytrDa714FsRP/cTOr/3JRueV2mbSxOMDmwfjJzX6VJBAvpOKPnSWXJMLPO3DoAyuZQir8QuyJt4Usumpwj3+6XDQV11RlFeQtGS5ezc4HI36Vjx9sD7CM+Tqtqv0K2tUK7qqhty6IN8wBhwq260qE4s84JzcqhSFEo835ffSnI+g9/qZQ6HdFEYKjiJXmrphI28FvWYKBDmVDiyzXyFlIS89NXeVEhCqXb1IDlqzLjzn8wxWtPw+utlRV38vnS+d3wZp5rnsyNALrqpuCyfToEgdcgux5y19nVo38029NrA3kBKQHcgPthfpXdcWgvAT/LTB9nFFGwQ5iBlqNr3kyuF+zsXc1Yvzj8xQlAv9Hax9ltr79SwFKIV6hvRX8eccneFee5JZAfc5g75arLcD8cDEaZuavIwvNKV/w2ldZ6gYHLUK+U/o7/r9R+R8Dxsq4tOyI2/XQ1GQxhaWQBlgTVm5gafJO/5aFedkkwdiBI98R+TEapg2IVQKhlMtOkYvsIaEpHzyjDZosMbgc/SkFLAgSdwpg9M3fl56S/u0uWtbtr8Zgu2BTCs/iW3O2rCcTR0AJY65FXORuSzJG4fseYhKuyBkljA1Vduwhw3u7+F/N6lnCSu81lsrTmEk6yoL/2Odi+z9DGklm7mu/sFkIbpnYwE+d8Xy6bKuqsTFxJgFipW5+4Xq1ecWNTOu6j3F/lATye3Gd4hhl75vNJNHwCK0IxbLkHqtCc7hjKUO0aU8RKH9b5sDIisE5h6czseYf37NDGytJ5cMnl4ctV1O/2UC4x4OYrS4+EsW6fVOBXX3puzT/wHw3Y0sH04pGWwHtXOTKlSUc/BMHfPO/Ebn9J9yvd71bEdj4XjAOs2UqoOMa59Djg2Lu5egxF/2eNnJUnTZhPXlzmvpmWgaNeW5YtVSfyBHL+Yl0uboAfDHNGxlI8N9QrZyH0AbrMWMUFHEMccjsCGVPs2vk4D7jxtK6qSXh+gZKvVNry9WfEFpXPkoBo4t+PGff02clRF+gSDSz6XTqo44oLS5BimBTvSZfaij7y2z9OFrI2DhaE8+GxOhxIUzC5LEZS2LX71+ink4toapR0ZUmyTtp2oxVdHp3un15+Ovhh//T06P2n0w+Xn+g3b98fHXIantP9kKgKLeiI5cKfeIdeJhvHwzBnH5/u9HU2Vy9Qdy/9N/3Ngf3if79tvo2jw+bBf/x9axXkddVvikpGvVKTvbWcXn/NMXzF8+o16u4aAWSWFEvYH9tCNktM08PdRM8i6y/at2HG3lwgyDx0ewuOl6AYp/d0syebB72e4TD9JhOYOSvNzYAd9wZE/Ek+/cl2+5OsdyX6tiyh6BiJCug9FiHmz2olXy9g1WajgTGXQb5lUOufhBNju/hL0gzDm8dPwkYhf9Nd//SQIW/2aXSlv5+MPymZjv4pqrYbbW2xKksMP4CxtrPCcoroWtOjmgdWRbFpku/0w8XHgx/kCO9ueGud4vtb0Nhe+GocLZ27/4hDueQp5797ArtA3wpcoR/pMXNDByt3iGrZF7SgMB9G6DDmD4ocqcYXyoqzkd1kg+u481/KU1wGkV4uCbV3yVMszio6GN3t6C1KbDOhx0Me+YaWvm8U6I5mj3vPFVHTRg4NzU/4yKSUyq1SqN6xKa1WPsJOVA74vydoLORCYSOafgHiJV90yHAHTN7KnVrplCFxGGPzUYhtdQJ2vc+4/D7l/JO+WVR9GI4HZHxRroy+RL32ju8/NC2q/pmknm655ZuufmfxUiFXVVgY3z2h3xP8n5Xum3siJo3kEhW3Ou1HVRte5XE1bsSTiKmN38iPXe/dzR+QCRgv4F7zXH9tJUOvPaj6JJbSdGW5uoepGHKTLfbv40VMTxRHJ+g1mvJQA31YydDwMcYuqFsygItn2Es1uqEEWQLQNlSa/tVHwZOtqA/ZQ4L1gUS8rp2/ZKO4CNbegRzpGgu7Hd7UkdpcL+YScORFGZVc2TgCxuw0H5L6LMmpCgC3nWMkZJ9//zb4DPs/le+3NCzmZDKnUEjkL4q0SvylfW0e4ev/OTohvX09QYk0d6Bh/BreYRVeJzIP6CHg08D1NCV6VsJcIVEaTH4Buho9aUFOxxhfmGHuGUeMIfvYoy+gPciSCEi6pckeZmgzDDdP8rnoLpxOR4/2uaGdOrqzjpxq5keuYF2E9hjApUH5Kc0fkZ27ZpfVxNK77Ex9ze4kbj1NyeS4QmVu8BRGlleltX1WSujj8Vfyauyt61esaVb1ShzoS5lo3tMrs6UUiX2gT+6JuCxLi2VVAe9aKf5JvlOHBNwggDD5BR0d0svzQKttzr20NxjQXjH30vv/vEkP/8Bq6kCFGNfvpDMPZ5D3Uxq/FAlYydmKo2pH5A9N7mX42Y2t4QuDHVVyrn+Zft1MdpshUZQ9LOAeipbu+MiNvIHK63McXS6uhMostr5Y4w4bRFVMWTS67br8705tLzoa/0zLOM2MDrxiY4OC95x9uWbcgNEQ2NZ2gZYUlc5efu+dRO690w7uHUdJ47OgKDY79ANShvo4esOefqtRE3JcfebqsbSmHp/VVl0jxVQQflh6io5eryfXkwZv9qABk4BlCEY1upUwc30knd5h6zMZPsYSLc6BSUx3I0h9JB9SbrKJGJH5W3+ydNpTfuz4H9tytFSokz8EPt53Mgm6Wgw/nl30o58ms9EA+oTDWNLj9PTAutBAnP7FDStfQRD5+ioG70FfTV4BK9k4urgHbJfd6+3kyypBqaokSeTzXixxlbevtrR/PZWiXo+kKGm8+173nX54a+lmvV5RkHYoWpFvqiTZcvTxMFICXS24PfvmrvsmXqcvZtKtWb70xV2RtaTRfOGz7iZ2xybfcfm7y/It6QodOW20Yv2hveeWX67Ysku3nxbKDeLX2iB+F5A/p+pOEAmTShwV5I5/ocIXCsNLBO9QgmNjZaycvHtfoRufHPOOhiuaNDo6SXBytOqvuzUbe4C/xg4Wqn4CgOcuzokkxJ3kqzHhmQxnMivvlyjpu7nrplOpJ8qWaw4Pf6Nit+3WgjtwD00s29ovy1LS2FnxWTj48gz5lNPOSrCBF/HqWdYj5h9klWO3DvrTaslPGj0VI7Ke8r/NJ1VZ4vVXc5MAtUMBUm/mHS3VgIXgtzanYNksClPS5HHT5tIiJC159+ZTdgvYm3YueTisNBsczv+JquNwJB/+kpHyRI6x/aVrrNqYf5b2jZVj70oWqvVv4b/APHPFwEGZjrhCznO+II+SV8BqOe4FeaeY6ruuCSjsK4cL3R4FzJ0m/afJdKhoo2fFTVo+1JVVbUdn11kKCuJOPSknbScnye4mOek8LSe/qb1blpQmS0pzWVKaqu/bXdX3caCwvWkzGdnTpxDvo7KPYdOQA7aydgk3LFf3Gcv1D6WfV+ldXc/2ss6TIcc1Kk8VXpszAEu70xZPMukkZc8PUT4m88ZofBwh3RgFtPd7UZGJMlcjsFV5vipMeptEfCfcM0kA/GOpwE5Tlo68/80qMFR/HJoybBUnvO5SzgFcSbYXrbAcrx+c/Pn3UHMfxpmfBFRi6IGDkpK2pMoPl5dn0rH5TwrJ1Y86jaayLQNiioenPvt1ab1AzTV6Xhy6m8Sht14c/lE0ncaRSa/zlTQd3baCZOypusOj4efMjaJXmHmCBazpsoV+inMv2kfuSZwwrnlZw4KOGTy1Rxt3Y3fDbvy/okh73a+pSHs7svkIh76OBkwa4SJLER1FaZEXDInQjibNntS686i6Aljkb8PB32tPa7ieqLhedJOhtxIUTwbI43D4qknSib4/Oj063788OozRIsEt27U4KqRI4jATarPnnKWdpZwzlZytTORxUg/vwX1+HjJQU22q4zjaa+lXtLdTpyp9A2VumEjFhI0IWVsIBnU4fjs8+PZn2DonJsVf36+KV/QzYjfN/B1mcxB9bannmP11AeI/JoKYfKmgh4R/jzlBeundHQQrDPxke/jXBakEvqS42T1ZwO9ImM+A7ilTyEZL7cCCmC6hQFVM3vPhd09IoiByilDubJLEQnbv3JNoGFqoTnjQ/1SNq/RNgbOmx+QK+ZOiuIL09M0S2elFkee0bwSnKFs3tZWJd5FzCVOMqi9UGrkCTQKLInXsuxcO9kEoSap6m0wv/rNP/7GOPh2udXcOaFD7AUK3UW/FbuyJKV9uOJTwrfLuC+56LUdDhvEW/XLsGmWP30fdRleUxkWR9qXPkrWKOdN4SXJ7R/ftjlGICrH2z8MUxJmNInGmft99qaucokLEwA3tITtkkQvMfWvH1RnpXp9RuvdX7BnpYF+tYK71C+YZNJo/7QyTSegSCW9AtcKHyaqAwriiFwjGSa6ya1C3R2CACEiYlCw1aW51/kV7w30Lu9+2XOTpF9+uxpAO1vQufW6rQPOfFa40i8etkMX0HNOj4U12/XgNAyYvGyssfFCJRUnn5hGibQDjMYP5Wv2z9mTe0p/Anzxyth1C96u+O28//YDzdoFpnVtJ8R6/f398+uH4Iuo2dxrtetJssb93IBsUVIsFrK1Ou17ZlxcBH7Sc+4rQsQRyc+4pHvTT18b+oPVgYToSgAj+BO62rz+pPWBJT0rXg0z0RWcUsI5sTn1fT/SPvLqc02B+St53cpKZ01hUMr4niCaRkDOQIVOMaboqOsIuPp6dfTgnG2rxANrJJ7e37K7c3Oiwg1y79JzSktk31g9BKi9oFaMNMEe+TIO5GMNUgFsroLPQ5WN/UkgVHtI89lVrh4qvyiRQYpsNjLCjyI/e6xFgR/mxmE4tnYNCOvVCCblMu2rp1P55NZl8foFs7wdf6/sKvwLNTtBhWPCnZob+w/0/nUaj5irPwWQoxmpUhxgUEFoP2ZOXA6S/70daGxwYcE9q7j9LqpZrWfZ0aiO/E1AafXBlNC4MnxQfstng1b907pQiJAALijSh9quydHD5uQCT7KdOuHtAgkcPj2GESTqbfOFwGgwuwB7TuiMpYrSR1wEFlwJJtWK12Kmr2HPbVawtVp4QTSFXaZ4Jn64wdypnhSg7AeE25ex0OIrxIGfFmMMTcusD1HZnk4QW8rU6Ep3qUDS0EKq64iwFDMEvEFOOnkwsuCmDEdx1dGE6m6CKTsEuxX5XbLilxY6Uw60SiJboamRW/E1UGHKXAeHmiungeO1QuJss14angF5X6HEBYsVuKaRG9CV3lZNx7hvEHG/VlJ6IruA696SJwzZbADl4ToKHAbNrplngcnnKLgObCrQ5s1DykckBHmmPrnLNMgQRlXdO13YvS5sP+p61ucKpPwHnkAEi086XAc4bF0XdCVgMhnMb8ZZ2D14fweYWxT7KHBQVs5lx5M9AGnjZQ08SUkDzd/1/Aqgr0GPXVp/mk2KHlxthGACLp8eGwnqCCWhe9Er+xEHoeAXe8Vq7k5TPRLlhy3UGHGq4i8jOhbGkW60ETH8SkjhSgzN8QAvqVllZDQEkigfNETBZQB93rbP2Lp2GxlT9qLXr41YHOqtpMdTJEwlk93zQa4MZSf08adUP9uv/4w/rgqPDhhSdyy9YzDKveVFXRukkr35Rejv3or1CgC6v5dPGa1/w+7ebX7C16gUl67PuxSw5utv4rV+s113/Yid/3vxi7fDFfIBZfJ8wsFxN9uZeJvCp7C0OrDnxbuaGNHt1oZEVllJHl8QZCpXOUrQj8M0WsFnYU12O3EDMqMHMvUQ2xtkFJSzW2Ofw19N9WfTNTUBbf1hnAQ+1NcPW8Kcwul29jIgXlpZx56llPBulc252evCE1k/EHHsuCPBhhYsU7vw8l+HjmWtMq7Wln6vkyy6vtGGzn6ixwsbl6YbLE3qd0sW5dp1KqMdLK9Z7asUuCv5iHDV3G9HbWXYPko+3o58HLsMQuxQD0l2xM+V0KM+bwRCFOWNsjF21gFxhBb1ot4WjhlymGkM16lAFMr4MvIq5qjbmqqLqeacWrXGvzWNsBF6hoqsLuJQfwmmSS4SxEx19ckh7DBUhM8fkGDFgEr1AzvH4ZmHeeY5CEDC2J1QBwHQns+KWfGDGJPNs4KmaDrBDyk4gNxnvefutSGUCvGoMPXA6a/yqyjVtQ+1M77y1osVbgkadY7tmslSeN6KdUvC6VMOKjUvUe84SyfF54pivWqL94MgaaE9w9kIlwovmDq2kYBSEMS2fVz0fWxT6ZHPh8XOIWqsOeSU45cqfvGlNdsM1+cg4qs41Xl6c9e72asCqTaf8WJ3oNPeu+SowJ9fFvBDY39tJPQXukGHfKVchj4+Uwg/l5i3FHFG1FHPQegZhR81B3FuEUPbvyyTTH49Vj3QwUyQn2Qd3Buu0KphjfoYMASFDyDFqTylSFCwfBvABfN2+D0/60er+Zdmc7V6vl1ynN52kt9Nudnu9615rcJMmA/yYXQ8arUH3eqfd63V3Gs3eTZZF5+UHBTpHGf5JmrR13BbZpPM2tKNHSS/MlA5zLfUx/+smQZSSUSiIy9J3n44n/7mz6nTuPnk6D4w2bCDHypJldFhlBOrg/fHR6SVQuDh+MlwGySmA4lC/UtMsoIb/kj7Ni8kmAYUSAd6KECwVOKFcqMT6jMkTJwuojo0LlDy9QBxbvmJxeMZFuDmPEYJx/AfO9hGvldDlbUVn+twaSwumOr+VvEjoWeyFMaDqseEV1x3JLvCY20hynnp0ktrGt2++3FdrwssUY3suwzXue7XiIj3XE3bMzNZnL4M7dalrarKQ10VThP3IvD9hSY0jOotMWnHLaa3LbDZLr5ccwsAVJLVoLl2QGR5k9hMoQc3wVBUmJpubRC5Zh1oAORFk2gcFtzLwIeF6uwlqB6df2KlWaadar7Iosp5FQLx1CZwX7t6FQFiXt85wOTsNgxki7QKmsmzGVdPJeGudQXGWxDiIdCoqgLwMDIpLaZgbOnTEbvAvZ9Aj4XtT0A0a97IVWrYoAcut09mMXH+TMrq3JHFEiwGVLsoXGJoihSw09Pza6026vyiZphFCOtryrd/ZTJSlq70U0K8J43eTDVKyPnS/VPQkK0tKE4C2TGAbWExgw2dY+FgaUxCliRsSaaPElpRSlptJYmM9oO88TSXgxjIgrq1odBVb08hYZrpuHEjttRX25MhzU4lSbWpEbqYNNTVefX07qOcrhPhzn33jno0i0pnqes5gbJGzLks4HUHYUqAeyVjUxu3rPD9t0XJwF3Xhc5RjK196pQIXdQ1C0UKJSSIZRGQ47HExr2GSsKqKa6kNzmlobmNLa11rqMj3ltnAfTEsWXmXZCWbNseLnFwF5piVvAqr3y6tfvdFRrQlsUp5A36tEQ32QCttNuxKBlPXviABZt+eWNiNb77zulxGq5TLiKrCpz3LZM8MtE3yVdP0EfW3r7Uu7cCT6NigasYn2DL1FMhMF/M6HbsJq1/eoLroBrgBjgekFX0jEORv0lE2m1eT2jfb+ovoL394883Vmy/gScWw//0UDJj0zW+TfwX3eXoruBMXf3pf5za+fD5jMT9X2+ObDvaW6po8BcoVN/aUN+5RITxXGMQnNkY/BTQFGJak3tx54ervDwZa+zFTapQozCmq16dX2g6Yii3vBkrRyYO6ET3WozylqKPCk8VMShZ3hum40eEvr8em0Dx/SWzOr7fe0XrZgjGaL+ZU1I3IV7oJeezpbYP08XpXYczUd+nc+WSGQrtpiZqNJW9AaDNW2t2CSV+X/d/FjESRye/jRf3s5LhO9vTVBYHvXcslUpOddQ5nCQeg0QiCiWSnH4GvqoPxjYA1JfQniu5D0VVgf6DIRlZcy2TFWm6ianzugraWFnSJGvF3XdMdKHEe1OE4GK7L2eF3tXClo6p2O3ajb3nR4XnVNi1e8yV+jcLTLAF6NJ46e6e8kdDLwYpGHypvyWUYR3+MLjCC/pc/cBP94C9/iJJG41+if0643zPb5f/26B/trDn4y6Lb6e1UourBxY+MEL0YpQKl4RijeexHuk/NG/nTftKiO9rGS2oOS2soRoNtCjVouZWHSks+K/r04hX9h0GAWyz3hG8rHYc5phUa+g9ySR591yGddy4JcPj8hM8gb6BwcZAZ0kUM+1k9PHp/dHkUbWujVhlaqKbJR8YpKLpse2EX3ngSPru1uvlXR7qz5PENpU6R+dQ6klZ1LCM9/HQyFCZ1tGVF7UZbUjambN/vnzo+dGktkJiKXqjR2pEqR9JuFHMtZWFuvVyYmy8X5pPheHiP1gTFsypnUlrNqPoDA6aRa6WRdW1vWRy7ThxZEoV2ac/LH8leUpQ9LxSabDW8QM7Yr5MIzspK95ruz0u8dXpyrhqtlqemAJm3Y8294SaakBRB3Lhf7Re69XTP15Uyn5G8wukLk1fxUgYsLG2WTtXGjan6pan8VCqruHeyFFaF9EOn32oFiIhM4oML8z48+A5Rf1w3rnIxdC1tfJX7KFUQa6uWnhXntkn7U6YgeWorzjUCAUNdySCoUlceOz5RKEsw2Rh943is9RAIKzDOtPV2yOmqoDWUSxtBYb/qWovgrCmLgwyrVGpPKVqvUJX+T1cu305ImeooHis7XqC9ANrOtqz8zY27VQh1lT1U6rkbdRlPPH0zRDQ0fBNVh4Oo2aot7U7rBTGdiyXAd0haKaOwrDoHxVGzE70h6wgKUu06y9AEIW2AcSEjW3CiPx5vfPNCqGsT7jY/Ysnc5TVgt/k79OnVD0Yp2VxbNB544pXYfWolVtUWLkzulHaSkafRLAxFi9qJQloV18qeVvkFnSH0WZONa1Cs9KLmA/OZjoZpnuVPOmbhfAEyld+8ffPnb7bfvtlbCZT2/fnR/mX09vz4cv/4lL6xtEbtl0oLeT1AtJUqIbLL6diSwD5Q3eO+Wxe0FuVj1WBE1cVphbRXTZKISxMRQ1963rTSu6u0IkPMoG1vpSJsqCr80/6n886nix8PAMT/4eTo4vL4gAUtWXHkOi9dxIBnqroYfx6jkqEaBGNfwOxnQCPShHV++eDoBYWR+BVHsNV4VibD5yxCH7GQ1yhoom5tNUXG0+kNh6fY6e15warz8CwJW6ElZm/lC89naX737PPXKsSSAUXHihiRlF+BjmEb5XX6b4hn/vL3XlLAhnYeikWgdIN2MraB4bs/+60LQaB1sWwLeJiBAD6pfBw0oE7sGXggzkVtNQbkcxaC3dq3p1Fl/+1BpfDq2rL/SlEvxArK/ZrdT0faXl/a7GQJg3g7Qh7j+PT7Txfvj8/K79dpvej90nF08eP3cBEnEstORsjBVX755Rd6Z4Z4CV58KjgAG1482rfK2WIshZDBjLxFS/u+Tx8xuXwxJ8d0orwKQD0t9jZtXL5iG6dMEis5ZHZDAdKaXN+f9r/Dh/4pjv6afpp1Pk0nuf04y/5qP6b2w5WrpZbD2KUFf7Gx+pw96qissHTG0YQBUuiB6KmGMrzIk2vYkRO2XAzeuGrN0ektqsZzU2hdzQ0ifXi3FV1cAzPMT65cByuXy9K5LDmKWPxxIGlvyoC1Ch7+2YxLqRvP69k56iNwjSjc2G1uNbaaW0mDZNr9g46zG3VVhDFuIlla9+fat5hXvc4MUyj5Q7Fxr2Dsqqn6t9X2jHdhtbjvsY81T7nRzkhfShWl8pJ1l48/XZKHFdhpU6ZpWn8gU642ASsUIIOm8vpH</t>
        </is>
      </c>
    </row>
    <row r="9">
      <c r="A9" t="inlineStr">
        <is>
          <t>1ff7b4/eU/S2rDmYApn+t6XXf/miCkY+g7X7lcDYUF4oCXBERA4XD2fcc68nt5IaR7j2Z6DYH4fvmq/6xMb1LDjvYTInG88mo/uVmZgKrZYU6DrRN1dv8mtUcioi/YIdvUQhQH49Z+tWmJTSoq3Pvx7hiUalIIdMbJ35cVgtjBeDW40qXf2K81S+i0DfL4/AboOgT8ssrrUu9hJrDRyeAMFgQ2SjIoxCcqi4DhBchaqOu9Z5EfJtS53JoJj18A6VEA/JsjhoJVYaCiXN8EGqUmUFlBPuHbUlMMea+F5CAI/sMUahtvwOy4NsEdp/N0pLIczhSod1pqy0vZXAzSRBQe+jiEr1bJLPUcSMad0lO7Dnapzht7hdUrRKZVlynvTKLgLaNJ+rkyYZCU+kStWqzzrFWa7B4v4eRcnP2dhSr9wxaSJxBQRfoIrKzDp5ADiw0g/ldN/eaxycQoCj+eZJWB3R8Op5xZA2PFtlxNbZq8NMw5BYzVg2W853y46+qk5iHS284pZXF0rwAGh9B+wNwXgR17TpE5cUlkWsgsmSHX7AGDCzWO1Fo0IDCFeGrYKGE6vFn8CHQgvr/VSa3MF8Ni2SkVgSiP+9mF3foftV4f6tX0WvJE8YUB6s2bx2YzmTbd0e4slVVXC4GISH4A7g9WHrT4XjoJfiFFslNuiCpQz1TmHin0LzV2TLP4Zlf2Hq7BbuL607E+5ikTR/C5hv8tPuVnTqKeT6jiNOoAakAWiZHsan5SCrkrN12klq3OoPB2MLLsugK1tBL1zAA6GeKDzCyewQX+9z22otSBzuFYAzuP80Zxhvnd1lEI3lhoLy7icvyoszo+/r8uL+AktNMvErOkClWdgYLCvDUQWzfz9LrZL/WVc+7l2yTaVeUfPPGSO632iW6587u77S2UsCNR9kkVe+SaUofjvdQoZZ/SW5FryewohW0gGjsGldzeq7FDxKWMHUQlgg8PAQV9l1ioQ/V9TM/l8bOIBN/jiF1mtsFRGki6LRfF0/ULgwQVMQeSGd2q+dcwpb7YSKpJJeXVcU+SWqfPm3igmGjYzF0f86Posooj88Km9zr6kel06Va8jaajTqvsLLjQF+yVq++50/3maOFPXbinlG6f2xR9+41K/pBw4Yn0HP6xyB2uap7pcNoFy4smOwbG2QTaqZ0QcI2L9V0xXWaDdoHeh1sIS5Z5ZQ57K29czZlCVGLt78TGeq9IHkIYrdNaWuGtXOmUD7zfIKd3JPCx9SxJX6YDEtLjLfQFpLybvNNu5u++V1Fj5EqLNw5Nx+TXlFwn0GiGsABZ/+v01vFVs5BX2yVmMZXYG2Iv15iWajQZ5KmAh7bsGlvASd16TA27QGkgLvrkyBt39FCtxyYaW0twy/KMzBkSW/NfMPFLXo31Nu0W4sLVTHi/hudzmT9tqV665JE+er8sRC31uk7vUC9erc+CrahMbu7rZSV/KLa2ewdk90NySwJHklbBCu5gmqp03LsPO6cgGfo2IbJEnOzitWYtm53O35OoEY+MCeu3r5ppfqvSCZxq6XS6a1frdkmrN9SdI2XznpwAIIi4yLWJj+jicAI8zZ/VNllSFgY/nS5ByPAbgX7PcaOlGQ5pr9ZB6ccG+SpBtNJ1MmB1Hfq+pmYnlQzTJwrPTWHU9rcZGd2XhMd19V1wiZjmILm1hm3YCv61j701/+oE1qlZWVj+avqHyI+5l0SiWQTZRLTAGxwsu8TweKAGOwcRzFuDQUmqfpiYv1JNx8Z3nZ+d3caBfQdMeTqPzqEoAtOQXY+pCqc83GdRq/rrog+iQmHfNlXtMm4k+z7qc8k4aAXqzsPbXY+WOWP3p9YWHo+lNk7Xbr9N9mUt6wJHEblrS8edrpbNq82h6d4GanE/jAivIZ5CbKx1qpVNfVK3RH5WmbzdVbaqUJ2dCNm5a8qKLWstsVC2lxhBFpYMsG5+7s/OjH46OfooMfjg7eVV5fa9NXbS+dod2oeqbg2jJCw3kySQQtHYpmt3woRoWXLS+k/f45a9hc3/+xVlEFPR9wzqr8ac6RN2qv7+nQd+0tuVQcbNXTwcA7bIJ2NAflytxGDGYZ59fQ/+JI6WvF4gTfodVYis3w/OVFtJfUVhhbS44WoFXqI6bzwoq5uHC3XTgWVVi68uobFpNyK30eClUTe8Eu0kOFlNuYJ9HF+QUKOOeHkg1cYCQeZYEjJbOLmO5+iOqtYF/65hU3zJZPSXtlwrGMgTwdV3Uou5IQY/q0PNZ68DhH6+b4+pFuMH9AAmaUjvWzeuV8z02CycY8ZCkM3c1kInUtCit0upMe/U9AvUUb78WCfpUv9QjwaRY5dMOPzctGs99s9Js6Hbd5tQ4m91fWc0RXjQWJAJx2TM9Vv3qs6488WG6opLZOX1wz1ZcANVyXzMoWvAlMUcoOiUwlysJ+fCeFW0HKrgaozeE8Z0IR7sFkPKdwXMobSr4kjgtALWzyxUOACS8qaVC6+SlmYjLuqq0ekvfCcyFDTOEDYBuUz9f0E7gbKViVMvP+0UV0fHlKNujdR7I/FPgdH8bR0YfzY/rK5P4et0kx+yElyHl6ZZDOAxITBkqMHbKzzOXDF6p95e07Typ5FPCv8Z3GJHyT2We0pbCcQcZFxFPrUMnqXBaxqUre28KSN2VhPZq3zXOqNKsCot/Kfu0FFJ6imMcLMHprOUUbNZUgBoxFkqdHUeyGkUCVc5g70BWsU3kooxAxQbQci0OO5IzMqDkK2Ot0OgdD3pYOW4QjLl0RE8AhShtOOLW9kO43qxP6Jf3KG8Zo9sX23pwPPaorWiK5n8ARlPrPjEOkdAS0bFrJsaMiYvqBDpvmDgicBE1Q0SNJ1uj9tra2xDDAZlZEr5uMSpwjt7b75pykydkhBJ2wL9eQapt7d0cHxa2v99UrNLmC8liWaZ2gL0gjYN0tRa/aokQZobQPqfIzCDSSAxLdc9ssrDWwWA580HE9DCYQCHOGfx7mw6uRDeBDOMEo65ALOcwgSdsf5RORKr+Htn2OgQ7z3czRrr1wvH1gsK16agLlfU3oOrW4zEMqaKrMJo5q77b81hFWzx+w41UUyuhcn6MlgxaIxGB+AnNruC/ZzxETKL5eD+UCTx1uWHGCy00sQwflIQY61LXH/jWDaC1xeEg6yrDX5I0I+a98xIwOstba9I2QerMNuvaGjSMeYRxKdTU9294KO+TJUz25AOOvGt+7gvDb+3irBe7qlKvvzJVKavd+kitOgiH40/KwOZXgmiktcvfbvOCFaJL3P8lp0VM5m5BA3mtRO18IFkOqY/MOFpC7rYeFXYHaUI9DKsQBulM4yMeaF7d1eWpoAU0nF3H+qwJTJEQa95hjHQGgC84PFzs4O8BmmPZjlNWnw4weNkCDpocM+PAUGjW8r3iOm8YErTyEIzhLhzxwYawvTPMiRcsvFagTkaLjM78HjxmT+eZKHsIBgvi55iHPuTSZMzwUYysPb8dWR+Z7b0XfDb8YBK3OVSrem0L7Kj+eZkqU6CX4S+dr+wRNEn6enQ2qAh9mt+l4+Is4epCevoMyrDoU2QCDcX8w2D7yQGy0kx71PC6gRMeKnYsLAIwIrXmjhSwprJ0DeMEzwRJpPMDhSCvxD2nHCiYJ5WxfLg4xrRBqAd8YOhjbJ35dCd1n5RIijOl3ms9ZwjWA2GvgZvuCz4QjCWAtNtcBwHNDBY87lwwSsOZgXQS9Lw4TPzfDEZMpO5hp2xxkBBTcl5fJw+f6EjtZGg707pi4+TdYnA8FynTZfC7qk8uABxT4XnHXn8LvXXbcVToY2Sb0j3ip6PBlgzrmOgTnWEEyCsi9HhrUVo3diQDrJuc11qTndDGbTnLDlwoMBQMs430c+tpW+OTaTCUPgo9thKFS5a8gc2q1HYiO+RJCzT0b5uAs0Z765Cvvnh/eyvseSNpadthJ8AGMkztrlIGgkxdElmJuZ16RhjhcVgxFw+WmJWY7zqQiOLTh5dkzG4lJvc+zEdCjC+dLgMEsNkejbcYz13ZyhjPzS0VCFuOVHulLlmyNR+rm8VQXBG3+nLsw2oNp5gduVT78tKYgEZTxBmkrSERIDAx4cIuVprhI5pj7g7CSL4EX+gGNg+QdjZDcJE3KSSgyhNbcZM+OB05B/DIaPbqdsqG81Mcm4yUCBUOu59ZT1WONGj04rXw2pmfAufHu3tfehHKJ24H2ny5BZtHBKoIw5mFeBbqlotEeuzUzJe4B5rpeKC9kxUVhQA7dQ7BlAvwIqZXZZCweXTqWViaEKsOxc2CgosrqpxR7QmVLOxQ3R48n7Ft97SU848yVPboLBgTih90ekokuaNTFB2OHh5MobNeYqxoBPgKjeQBTgrf4ETV/YVxnnoiiHYIvcHbcd+CTGtIGR197B4FVmoGRjV1Scwa3IiFgVL4Gdvfu6aFz1S83OirP10QkFDzcqlhIWxfuuZH2NBvyky4p4gH3Tr56E1ZESuscMg6V4oA5Yza3bt90zHOBs4k6F2YLg8/gV9hIaE14oa6d2RFRwbXPVVNfM8biiOHwmVcsg7d8O9E8JThS9LoFoNEFwD8wF+gH/CwHnwcfC7LwtBvo40x/NkEvlrX4+zb5gt/R/fPPuYgY7jOYLCjYqbMJhexpO6GknnI1/PI2DHrzMNnTqP86gOPcTGSgsQ633suKQS/LsUVmdqw4ywrH+jCRhtR8S4ZZ4yKnB2tGfDaVjDMU488ZO9upB9UtoU+o6mRUkfp12OCRQwflLLhAO+atVtKTjxdozvrXdrDy0s8nernZK7SVLyvxumvStHKyi48kDKrrO4iClBcTRjpRnBTiIwIVzgdtHKNjWLHmsYo8L3er0hckhnuQHnisvDcgaF7CGZe13C/BO3EdeAx1PgNmykpXW2LbAu0MuFRypQAdjhYzDpJdAgnCzwo+LfKsLKsA7ZUXhj1ZUHPZ2ICSHpxLz1MRV3cV8ve+tHLP7yZo3IRALJgBhZYtv6eroQogtGtMacO7I12J9RL4ohPngVB3LIb5nYouydc9/RIK3XN0cdd2Jd9aTXBT4WpezrPSwudX5ODBs14tcsT8eZ15InkL05GetttsvKA/CpUNElA4vFep4R+rI6RdYYxVD7oNEtvF+Fq7Ti/ZvbOoXMYWUDQdQztW9owUUegMDX36nrO/e27jxZEN0GVFOzgYdCfAI3CCao1VLQpuPxnJGDmuwBBkpy7hNJSecpYIe8pbzhVy+wVcWxELVqhimVKLUvQWN1kGszajECElvfZMs5L0G70nzcq5wxwNMqbV81ZtReas0/QFKJaQc8mRA9I+hXs4Chv/jCBB8NcFj3g4LomjT/GjNTfj6iGJ4IxsK8X3EGVjq+9Zyp/ZBltFf19S+9zZQnpWSzyWzkWqbWxygEUOhmOurxdw2PCS7sTasRf17wZ56JOalMKnARgmRt6jq63ActUAsKXY3eKb38Gw4a94Nx+iFjMj4oQA0EKps1QtbEMjiMK7pxM/5FS7b8/I6jcjaLvwAiZ/sPt1Sa9Jns8JZDDhIDp86IA3q5qPqsVrT0t4Lzs4IjwixQqz77jPdL5E16ZJa/PhRsTfb3EeO6Qx9RJ5VAQ7R9o9nVvaLF2VsXTvYKNTNwVwQmdOIZ4rMpn+TUsZV7ucRg/nnLKcS/G6EgwlwMZlJVqE1spzmrT6rc7SOV2TnBOREvveD6ZO9g9Pjk9LdEUuRwRe4/oM+hReSt3os8jFZognUH4JEJPmDNbzIglxAqedRjd1N7oJJ/R2kc4GgeMMSbAJHNrdJdhaHBlfH1wHkFaVaqCr+/FOK4nBx3e1FeC2jM4i6cEygiwdQFINixJaYTGi0k7L6qsRC2tSFGMxKdt1qeR7qOR1+MjqQdKWaGYoae02v/TaO05+5b6xC72TdrtLH2h49E3De3dBAxdQc0UzbXYg+zc3deOwMzZE6aaoW2h/9UjHgdTmgyk1fagwPKPPcH3DPuJu/TAc0K7S2sADffZJaD43oCf1gtIEK1D2R24Ws2LQeLW4RVSAHGuAjlJP4dGKZIL4FyEIpNUYFDw3NTPSogQAt6N6cPJnXl4r87w/PHXL/fFdHFWyLTL7jQTo5FLdkY/Sw0wnZNGE6UwVtzRP5cNfjK8zD34tTQRDkHBk0DHqT9V5tFPSA9cTkpX7Co/CYeGRjLji6BZdOzGtOp1vhWfG2zp6wJTnYPnK6gsorJhrqWVGcSY3NR1YJAY1pDGIHg/UDG4dmcxhJsypwjrrqS7R6R1CVUT7DsgpRRxE5/Izk86Qn0FPqgzW7iBJeXouh5cUX+FE5RyEaGU2HBGjPWcYWT7lajxlIiJm422pDE5jxGHtjA4HSKujf7/4cKpuAz2tMt6UTQIHgayYLGs/1hr6q2V+tfa/ZNfB+V941sdiu4GbROJhNWvP0Jpz7rz3wHVlnAItPSVBKz3pmpR5E6QZxLc8VVN0DLCrG/1wtH/os7smLdq6gZ20+jJjUQvPEBeha7EvPjj1Z3ltLigp6/ae675gkj3x5rQZ5UlfbdkZ23Lwfe5FW701fqQdbeYoVn+l7onRWWVQBAVLlXFVnUxi4ADg2GP4S1tK/PLoZJq9benmroSAEeLxs9XmTr/deKbapIVB6RM1lVhcrjt03S6mnDrrW0+Mw21mRhLBYRGXTvllxOulwJo1U2qQpVwHRiz/InDnCi3UvUQAjNee07ohkIAasDKe+MbsvXJdK7a/wHjli6v5cK7MH8FZ1ZH9UPkojvcv2WxCn/xP6emTZ0KgcGXda0FK7Qf6YZRdpTMdejJ8FkwVDjj16yRFgbZtluWb4f1tlM+uv/2CQwBN8m3yBq+o7SHyiqE5tbtzZmOWaXmC00/XdxPYspDiqww853SQKOvjgTW90rmdkxxJHbQWNBVKbZ4/faH4qFNHpkJ3eZdxDyHPt2uHtoTCfnkuvrs8EyNJZ+SDyM+hN7hc/5boQ65bh4GThg0dGyRX+mh8PXucavZvxodV5oLltVU2OFhE2mWrEiQcKz8NEZUjwzUdjmGVgGfA+z8bypw92gNyxm/ClITPRpNkjCHa1ZPjy5P6z4sRXFLamBrd4Ig1/xWdgwxDZ+lnlwwQRYDqrC1iKodkpM2Qxpwo/KrgREGWCfG8aC1whlVUEqHC5wzGoeO2f3ofscXhgGbEsN5b0Z/r36FyVv+gBu3w6PR/xvTbA6li1S9pTd0fx5N8PFTW65T+VefTGR2gHaGuzZCSa5QaO9YDjSquc7UEbb2sd1qXjVa/2esnreeVxJfVTkHzcc8BhFviRRe4zUvlXAdDwVkpK0+N4dVJukSqfCFja4UTXqmQePFM5m02t4iwUnwM1f2a67EK62LMjBrjwjnFm3CiJ0QpFn0iCF6QGNag32I3/y3ikrOqfyh40rbBOKOvPzojHrCHgWaL7EHu6p/WF4oyp6SeUQ51YTjnwCyesuLg3lI7BK+MiAbzr6RKD0WPckWfuHchJNsqfGOo+VMyAroUGS8ARj5wVllx50z2eOG2YjqcPQYuBI+JXCm7DJc+r3h/ufXdit2cArK0EwbI6q4xGN13g9nEOoKtto/KPvt9dVctvh8O6uqL6lPgLLl+Twp0sLGG+iIGGV1SZvfQkVSXfhdSurmvv5Z7CUzsQnxShhbgOpmeecHgIXHlxcoL0xo4fNx9O3HzHvRqV4/cWpsu0Pwz11179dFclfsT+puq/26NfSg45KzpfK0CB6LTckD6vg8d3kAp8Sf19XLqT48uXG92uZlDWIzbg0vytYIMkGIWr/TPJEaWCuT1aJJLe95krnLycMfD19xecksPNRWQ5ELKStpO+DXqRcR/3mceljb+BQhJvDn14dtxaNOvOD8dh8nroO5vZExmQN0w9BNRjAaP2sIqdROcBGiFeBk/s1JoNkiliRJ0fUzruVyk5xfJGfKAi6QOfk+y+1wXoEe7f+StDbLFkg/rW26Bz46CtPC+cvNarFipFo/UodLyxSyMAQ4/nMTm09nJlYnVHNUSKIcvUdLp7dSTLoUrjNGatLuNaPpFUxPFghCq42parNWElYrLipiXL84AygL9qLnru8kkGXBg3aZ/pG9ytygZsUJPYSyhOz5xaO3RcXTEzuIfo334vvqVWyFron9dsA3jVdmHNME+/jF6P7m1Jjib9czNejLcFMW+9QB2FRoChwEJUU5BJ0mQmrYkasfNEDa6bc1E44xPWMfZTOlMR2w7PGjqZrMllLkZyRAGbxZj74DW4fjHIwvIriTRYOLIh4iJRlyzrvV4ztQy8relMKbZYg80b4DVPlTr7EbVygHOOoKUihx7yzPDEAbtucVelAFj1WqeV9E7Rgbvnns3LAwTaiCr0eI+ox1YHtTjffCseT6VmgXp+nty8R+fp55bST/ZeWnnyk+wG+wH/zstq7RLI3PU3OkxNshQ8zCyIhZhaI8bOQQX747Pzo4OPx2f7h9cYunNXKkTzIRPg7yuCxXzLIHjCI95YbVmj4Tszi4WUvjIC2qXW5qCclKCapijU4Nmpx/3NBoWJ7cuDp09yUQIvob3U5RJHUzzzY15ONZRHazOkV5KzxXaqUkp3YVulDQm5Oxajweldsc0uLmS3Vq5MBsjJAh23vGQ5VKRFZOOrUEajgfVaGlgSS3HrfMvz5SOLoX0z/Gr32cDFLFYfX/OsqkWKgsO1Hmnv7IPVg7IwDXB4DOk+pY6ao3sudBzohMDF+CEv2iQHXcq/LzJmeT6CDZNZhsBQdZo44Nd/eB5W8thUlKn77iRfvUo3Aihy0jtkjmrsF1KGSAirwRhFq32RaO5Q2EcSZe41TwMJM48AODYl9Wsl8bK8iidyBCzZSn0M5MyX9ya3SI/a7ffflb55jtbIxkWg7E4GpODeVM/TK0ZnZa03avR3YWkI0CrihDHc+6ISwK7TYYX6XT2nE9m+RA6fpqeSdptcMT02jtbBgnrHDcFcuKk/kD82kdZe2eX0zLC5qoVSFr9pLtUwFqjzX4KE05MjrM648T9Gr6tRPfEsk1LZCWxZ2RX1IDY4Bvj6D5EH4wLU8+x8V/FZi/qgo7CzpFN9SoWIIoFeL5vQEb2zRD/sVQWPs6pHk3yvCnmswrJHnprhvGUOWhh9ZPmhLhggJSQV/I3moxS/1Ly+nODu72DF4HBijmXRHAXcoMkH5drEgmMK7QS+Wfp1hHH7xFr3/eG3jd+kqVFjesvC9roZvjfIfgrKgfBJ0VFolUrC8v4FStRh6uvaaRqZWtrCx9QF+hz9og7/g/6v8vvT/YrsT7pjxyNMu6dziY+mC/GERP5SvAULbvf7ai7CUOFz+JvqmiKfIrQlbmB4tnr21LhlJA+LMHvSfuyfIbHVjgjTXepu/Z0zmj5YR27gGu4AQKk97vdnI7NeYI4WwHlNAAB9xg3MiMwYGU3Q38ZcmuzhaIzKYSb6+wXJ3DIcR0CK6uP3mgYNzZMdZvIlJo915h45g2ZblaWSmcU7ZNRfaToMze9yQKnS75Te1JFtGHS2u1+a/dZM45zl7iwHDnHQgZV9wBbZLaJ1dVI+hlQSJLZBzUbDkTbjXwoRzBXzrW/iEOu4Y0ZRnfmOe2tBwyd6IKIUhWP/lI/RafyNPh2rh0SIR6GtIiB+azknsTR4eVBdAHHZoHuLcxp819YXoczvXu0zfem/wlI/ny/WhDfaRFftAF3tEukbBIHN8WSy2vnP1yGQ+Tga++tyijfRTgOvH/hhi24N493dmkiAn18t5IoFI6XbUEZUo0m1RNejQ90qkjj/nRyEXi3cXTOM5wPbv1Iz3BGWcg8AHkabgoGUObcAcUfXva/7TIiFocZ+ufp86SXYonpdNgjLRuhS0k1DX1GkyOIi/Q+XzgoHvrcxf88PQCUCbbxBPG3Natw11WmRJr6y9xZMa4ULwxboDRFsy1ZUDkMju/ZjcJIb48EYpBFFB0LvRt67LQ7aDPDXVVxV212uxUqIMWdFd3OPfYhbuuen+azptfXo7R+ZUG+1FSk5AGt+gfDUc0LaU+GDk2v8JfGTr+dMOlTG6RPGveW1YJjtd8rqJGrzKEmxcrzbPfWrKMfp1mMnW8/cQ13XJzidBnrl1nmc+y+jUgoXjQGr/vku/TTSOdMLkYiGJmqw1hApOqoyQ+swZNxV/Fglj631jntIbIJwoAQiqeg/IRPVQAnnTTV9sooCXxFRvDyw2ALngP7MJb5WzoCJJ7KXpuFDNJasKKnsSQQ+kU4Ycnmr4z14EAdClAPx/BfLt59dMs/NAQpgX2g0wbcB/G/xh5KQrsnny2X5fruumRuJ6omrbqKGK5STuh6faNd/yITQZa3u/Mrsrz9qNMtJnWjaqfps1Gc2GqjoODSFbmDJ9F4h5O6d6mfWKqBUjFMDFe7dkW+grtebVPKWF2WpBtrFwww/dB3vKLN02ZGfqA4xGHsDXNNNUtAzT0fq8ag8eq3XLlVedUOykT9A8kbscnRQQvV2supNe2Q7MiLueSX/X63JtYs/2zKD26gFijxWew7752znFq/YQsssRUc9xUQyzpy7PDbtqKTSe5KMkCTmBcbNn2zbiQ9AnamLBI3NyxoI3CqicctwM7bR6P/APwkFu1MxoXxYT8wzFy/k1tz/5tNDTl0Slz0WF37UcLJs+aufnJDS7ti3p8Ifzan1SQmZV24lCWRC7e6zFoj7FsOMaMuaXcdm9FOpK5lZncYfqpYAMDAis8Oy43vuUxXuF3XJArd57Qa3AkcTvOHWyT9QjDz9KkKjvTQd/cmOxonhVqZW1xm6By+Gw4GnDcB5F8uG8lhn5ayUFLGoBQpUtG62OOxtEZxXoF7ubiLSxeqR8o8aO50zd0IsnFwZA8NakRiIwkBM0uLkCN2YzViDyeL7JNUYJVTt+ab/PnEVsbYjRG3tAaNJZVImuJcw1keDj7qKvWCgRM5PV4QFlc6wMatrdyrrIrSMJCuHt2P9ajVXTG8Ts/Z6nRs/pmEfbfzL3ri7kvwRHM3Bp/sFh1l9qIUVJmTPAPfvyQteRyn+tAhLqdgYhcL36HzxYrNUj3jPBWLKNJlJDWTW6kFu9gBZx62Ipf+OtfTtNPhqFxT1Sr/3Z4Dy2s3+xH90zR7NWH1GwM194SCoMV9HLV3yLl+ALR4wYQkgRFBKddKGn2HR1/FpZDTP6BNAaLRUEcINUI7QSc9OvuslhwHY+IyuGxNMaTMJoUI3udNNDODborBoEC9ej7hdFuYYpFWJb1WgSKDfRN2QhgJHwr6gS2a1Or96LifjM8DM0KnkMMN2cQ9BdpvqUe3HKtoOsR75jr8hBbIq8ngkUckpYgpA7GxDAor6AbOJnLq16PFINOWvaRpJYHlQGwyC+BDeG5NcjPMjMH9FjlcYtqkb/0LfhvO5dk9eigiwii5k2RBjaSjcIBZZhk5fc+hw9ddpwNnyVn9M47qtxWZZXTbEgy8Yx5P+tK2oOSGY/TOylESpSHwOq7Fp9NosCTk1qlMe0pCLWpjVZeUBPxKhJz09iKFxfxO8BkzI6pCYtw+lewF2HgBxBbPbMLP8VC5LtMZwC+HCdTobnGbcdl2MVXzuEJU8HeruVkZ+wJkwG4wajwp5fyGuU1WC21NyyZJ0kImKkx9Lc1oBEOIinJjfCSmoTnjI3g4Dl7FxkzRkE4SFFJk6qN0n5u+2u03d58HQNXtuy1XVSlJdQppwvSKpLZWhLExz5NkmXRJueBW0JsetNGN5Vz08iP7L32XteAmOI5Q5B0bwLdkHeKSWwh4FHxRP2P82w3Mfgp9kuN3Wvo0OQu+90/cFJnllNQng0QaHIRO9C7RPInCh9eB2RCL7Je5PByamzZs9aX/XQVK7Va4sctP24txFj3Osab1ykCRK3d+l2L2fqf9dOzVDWJMBFFkclzwxAaZC9TSvyglJ98jJAEPYM45bOtHSTfwpatJpxDsJGz5HmED24WYqNP2YRaFS2YfaT2CCEt2rluOkOzRwwLnRiBhLfpzZgNkHo3oWMKWZYJlcSz9pBs09uixCIYZ5DGtt7IpVZGAbtYYBOLlhuBRNr6lo8X7bMqNhzzBrKlfuMu+GO0imek4UCN16WsVNcTXYDeGlpYHptSM6wNrQWlgWhEu1iK3koUZSjaK2hSk5wg9qXfAYNc5c0nMZwPDmNXaQl0zQ6ZE2MmTlePQ7S4d3UQYp4+q6BVR8xT7pDSTTMZBttIQgRy4taEGhbUUjHTM01soldpqJLJ+oaqhkufcqCUHSowo/JpK7o1BocakzlnMfh60VNmMy01WGXM93DyrvsqYWsxj01bXHvQWx9NUQzDTaMxm/EXJPOTKUld3MFScr9D9dOMNUDmBd5KXZ0wFN8A421TTsu67GH5hl7iYZ1GoEf1Cy/vHeFzuqLGQQNziZyiypNFPkn7SftaUYXcVkHh12xZhW/tmtvHkWJDlv/wN6/D3muFN8pjeS9VGVD0I6JiAPrI1z7/0kw7pw2k6QzWD+7PVSGqgjlQU+z0uoma/Cb7ybHILhVHTKZDmrkYgOzv2Qy929FSpo6raVV3pUVbKWrOMvUHvoNkAm+C3H3Y69oP7jT1FzwSj6cdwEmYmSmWoXUv1XL/kDicPJC6gZ9xv51tbVaOLZzHUzMJvICrWPOUfZzrJFfvSeWK5f4/Mg2zUmf3UsDQFqpVC79m8Dt0Kr8FNE5NhMBx37tIQNiePIB67E+6cgyDDZMgvPGinbrS5Jkb2zjIp49lC+54z8EYJ9r66DMlfkwG26zUg9qZrQlB4Jw7QP4xjCEOTjzBvaE6a3kk5fFJWLXWHFa7Kc5fnykMcbTesnzs48mj/2S5TiKZ99RjqxUBjliD/deF/Iy0UZHZYOWYCsKAUFIMlIF4ZGeaUmyIK4Y20ogBA8hY4D0jrxCuUXFk7ycuS1mBkDWnFvcqCLHXK4kQbP3EwbYItcaMgpILyeLayel290CmGJ2rDNXlztv4zbuQX0RYAEt53NItnrqs+LsQYa8plaMpzIGEagc0sIvNT01G14brDDOmt1vdAAfVBhg5IQR5UK6bBVWIOBaOUuKlJAC2Zou3aDzu1IvybzXAMi3GtBNHMVYvHLwaajE4m86+5HTV0jXFuRelKgt5/LOWLhBZI8ospmkkHKz7T7DcoQvw/zRHdCQ==</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(Cowork) for Manoj</dc:creator>
  <dc:title xmlns:dc="http://purl.org/dc/elements/1.1/">Multiship - QA bug list</dc:title>
  <dcterms:created xmlns:dcterms="http://purl.org/dc/terms/" xmlns:xsi="http://www.w3.org/2001/XMLSchema-instance" xsi:type="dcterms:W3CDTF">2026-10-14T10:12:17Z</dcterms:created>
  <dcterms:modified xmlns:dcterms="http://purl.org/dc/terms/" xmlns:xsi="http://www.w3.org/2001/XMLSchema-instance" xsi:type="dcterms:W3CDTF">2026-10-15T07:06:45Z</dcterms:modified>
  <cp:lastModifiedBy>Claude (Cowork) for Manoj</cp:lastModifiedBy>
</cp:coreProperties>
</file>